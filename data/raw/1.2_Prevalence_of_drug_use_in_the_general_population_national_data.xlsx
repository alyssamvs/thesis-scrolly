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defaultThemeVersion="124226"/>
  <mc:AlternateContent xmlns:mc="http://schemas.openxmlformats.org/markup-compatibility/2006">
    <mc:Choice Requires="x15">
      <x15ac:absPath xmlns:x15ac="http://schemas.microsoft.com/office/spreadsheetml/2010/11/ac" url="C:\Users\Danica\OneDrive - United Nations\Documents\WDR2025\"/>
    </mc:Choice>
  </mc:AlternateContent>
  <xr:revisionPtr revIDLastSave="0" documentId="13_ncr:1_{AF9004A1-8CDC-4760-864A-7BFB74003B07}" xr6:coauthVersionLast="47" xr6:coauthVersionMax="47" xr10:uidLastSave="{00000000-0000-0000-0000-000000000000}"/>
  <bookViews>
    <workbookView xWindow="-120" yWindow="-120" windowWidth="29040" windowHeight="15840" tabRatio="613" xr2:uid="{00000000-000D-0000-FFFF-FFFF00000000}"/>
  </bookViews>
  <sheets>
    <sheet name="Cannabis" sheetId="1" r:id="rId1"/>
    <sheet name="Cocaine" sheetId="3" r:id="rId2"/>
    <sheet name="Amphetamines" sheetId="12" r:id="rId3"/>
    <sheet name="Ecstasy" sheetId="5" r:id="rId4"/>
    <sheet name="Prescription Stimulants" sheetId="19" r:id="rId5"/>
    <sheet name="Opioids" sheetId="11" r:id="rId6"/>
    <sheet name="Opiates" sheetId="15" r:id="rId7"/>
    <sheet name="Prescription opioids" sheetId="16" r:id="rId8"/>
    <sheet name="Tranquillizers and sedatives" sheetId="9" r:id="rId9"/>
    <sheet name="NPS" sheetId="20" r:id="rId10"/>
  </sheets>
  <externalReferences>
    <externalReference r:id="rId11"/>
    <externalReference r:id="rId12"/>
  </externalReferences>
  <definedNames>
    <definedName name="_xlnm._FilterDatabase" localSheetId="2" hidden="1">Amphetamines!$A$3:$O$344</definedName>
    <definedName name="_xlnm._FilterDatabase" localSheetId="0" hidden="1">Cannabis!$A$3:$O$444</definedName>
    <definedName name="_xlnm._FilterDatabase" localSheetId="1" hidden="1">Cocaine!$A$3:$O$358</definedName>
    <definedName name="_xlnm._FilterDatabase" localSheetId="3" hidden="1">Ecstasy!$A$3:$O$354</definedName>
    <definedName name="_xlnm._FilterDatabase" localSheetId="9" hidden="1">NPS!$A$4:$LQ$313</definedName>
    <definedName name="_xlnm._FilterDatabase" localSheetId="6" hidden="1">Opiates!$A$3:$O$304</definedName>
    <definedName name="_xlnm._FilterDatabase" localSheetId="5" hidden="1">Opioids!$A$3:$O$173</definedName>
    <definedName name="_xlnm._FilterDatabase" localSheetId="7" hidden="1">'Prescription opioids'!$A$3:$O$103</definedName>
    <definedName name="_xlnm._FilterDatabase" localSheetId="4" hidden="1">'Prescription Stimulants'!$A$3:$O$3</definedName>
    <definedName name="_xlnm._FilterDatabase" localSheetId="8" hidden="1">'Tranquillizers and sedatives'!$A$3:$L$186</definedName>
    <definedName name="AgeGp">[1]DeltaPivots!$AN$152:$AT$510</definedName>
    <definedName name="dfgesvv" localSheetId="9" hidden="1">NPS!$B$4:$R$313</definedName>
    <definedName name="Pop">[1]LookupTables!$O$5:$Q$251</definedName>
    <definedName name="_xlnm.Print_Area" localSheetId="2">Amphetamines!$B$1:$O$344</definedName>
    <definedName name="_xlnm.Print_Area" localSheetId="0">Cannabis!$B$1:$O$443</definedName>
    <definedName name="_xlnm.Print_Area" localSheetId="1">Cocaine!$B$1:$O$358</definedName>
    <definedName name="_xlnm.Print_Area" localSheetId="3">Ecstasy!$C$1:$O$354</definedName>
    <definedName name="_xlnm.Print_Area" localSheetId="6">Opiates!$B$1:$O$304</definedName>
    <definedName name="_xlnm.Print_Area" localSheetId="7">'Prescription opioids'!$B$1:$O$103</definedName>
    <definedName name="_xlnm.Print_Area" localSheetId="4">'Prescription Stimulants'!$B$1:$O$55</definedName>
    <definedName name="_xlnm.Print_Area" localSheetId="8">'Tranquillizers and sedatives'!$B$1:$L$186</definedName>
    <definedName name="Query3">#REF!</definedName>
    <definedName name="Query5">#REF!</definedName>
    <definedName name="rtajbcsks3" localSheetId="0" hidden="1">Cannabis!$B$3:$O$443</definedName>
    <definedName name="sdfSFFDBDnd" localSheetId="8" hidden="1">'Tranquillizers and sedatives'!$B$3:$L$186</definedName>
    <definedName name="tcountry">[2]LookupTables!$A$4:$E$237</definedName>
    <definedName name="WestEurope">#REF!</definedName>
    <definedName name="YearEst">[1]DeltaPivots!$B$98:$D$674</definedName>
    <definedName name="YearRep">[1]DeltaPivots!$B$98:$C$608</definedName>
    <definedName name="Years">[1]DeltaPivots!$B$10:$C$88</definedName>
    <definedName name="YearsNew">[1]DeltaPivots!$B$541:$D$543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6" l="1"/>
  <c r="I18" i="16"/>
  <c r="G164" i="11"/>
  <c r="G163" i="11"/>
  <c r="F163" i="11"/>
  <c r="F164" i="11"/>
  <c r="G341" i="5"/>
  <c r="F341" i="5"/>
  <c r="G328" i="12"/>
  <c r="F328" i="12"/>
  <c r="G347" i="3"/>
  <c r="F347" i="3"/>
  <c r="G423" i="1"/>
  <c r="F423" i="1"/>
  <c r="G53" i="19"/>
  <c r="F53" i="19"/>
  <c r="I76" i="3"/>
  <c r="E133"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tc={22A405AA-288E-4854-94B4-CBA82BB74B9A}</author>
    <author>tc={AD5C121B-0B20-46CB-A956-C4BFA526A178}</author>
  </authors>
  <commentList>
    <comment ref="L73" authorId="0" shapeId="0" xr:uid="{22A405AA-288E-4854-94B4-CBA82BB74B9A}">
      <text>
        <t>[Threaded comment]
Your version of Excel allows you to read this threaded comment; however, any edits to it will get removed if the file is opened in a newer version of Excel. Learn more: https://go.microsoft.com/fwlink/?linkid=870924
Comment:
    Govt source from Table 4 of this link https://www.canada.ca/en/health-canada/services/canadian-alcohol-drugs-survey/2019-summary/detailed-tables.html#t10</t>
      </text>
    </comment>
    <comment ref="L271" authorId="1" shapeId="0" xr:uid="{AD5C121B-0B20-46CB-A956-C4BFA526A178}">
      <text>
        <t>[Threaded comment]
Your version of Excel allows you to read this threaded comment; however, any edits to it will get removed if the file is opened in a newer version of Excel. Learn more: https://go.microsoft.com/fwlink/?linkid=870924
Comment:
    Denmark did not submit ARQ Module 1, so it takes EMCDDA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tc={CA0B0892-C6C5-4ABA-A8C0-CC8B2AFEC3D3}</author>
  </authors>
  <commentList>
    <comment ref="L207" authorId="0" shapeId="0" xr:uid="{CA0B0892-C6C5-4ABA-A8C0-CC8B2AFEC3D3}">
      <text>
        <t>[Threaded comment]
Your version of Excel allows you to read this threaded comment; however, any edits to it will get removed if the file is opened in a newer version of Excel. Learn more: https://go.microsoft.com/fwlink/?linkid=870924
Comment:
    Denmark did not submit ARQ Module 1, so it takes EMCDDA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tc={902A8EF9-B3B5-481E-8C31-AADCC018C9E6}</author>
  </authors>
  <commentList>
    <comment ref="L189" authorId="0" shapeId="0" xr:uid="{902A8EF9-B3B5-481E-8C31-AADCC018C9E6}">
      <text>
        <t>[Threaded comment]
Your version of Excel allows you to read this threaded comment; however, any edits to it will get removed if the file is opened in a newer version of Excel. Learn more: https://go.microsoft.com/fwlink/?linkid=870924
Comment:
    to check later if they submit data via ARQ too, no submission as of 28 Sept 2022</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tc={EE5DFBAC-10A7-44AE-9E30-C3BACABEF563}</author>
  </authors>
  <commentList>
    <comment ref="L199" authorId="0" shapeId="0" xr:uid="{EE5DFBAC-10A7-44AE-9E30-C3BACABEF563}">
      <text>
        <t>[Threaded comment]
Your version of Excel allows you to read this threaded comment; however, any edits to it will get removed if the file is opened in a newer version of Excel. Learn more: https://go.microsoft.com/fwlink/?linkid=870924
Comment:
    to check later if they submit data via ARQ too, no submission as of 28 Sept 2022</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tc={041DA4C3-C8D0-4EFF-9F64-D4FB2F985346}</author>
  </authors>
  <commentList>
    <comment ref="O20" authorId="0" shapeId="0" xr:uid="{041DA4C3-C8D0-4EFF-9F64-D4FB2F985346}">
      <text>
        <t>[Threaded comment]
Your version of Excel allows you to read this threaded comment; however, any edits to it will get removed if the file is opened in a newer version of Excel. Learn more: https://go.microsoft.com/fwlink/?linkid=870924
Comment:
    In the entire sample, there were only 8 people who used both heroin and pharmaceutical opioids without specification if the pharmaceutical opioids were used according to medical prescription or not. Also, there were only 10 persons who used illegal fentanyl and pharmaceutical opioids medically or non-medically.</t>
      </text>
    </comment>
  </commentList>
</comments>
</file>

<file path=xl/sharedStrings.xml><?xml version="1.0" encoding="utf-8"?>
<sst xmlns="http://schemas.openxmlformats.org/spreadsheetml/2006/main" count="11967" uniqueCount="864">
  <si>
    <t>CANNABIS</t>
  </si>
  <si>
    <t xml:space="preserve">Annual Prevalence of Use as a percentage of the population aged 15-64 (unless otherwise indicated) </t>
  </si>
  <si>
    <t>Region</t>
  </si>
  <si>
    <t>Sub-region</t>
  </si>
  <si>
    <t>Country/Territory</t>
  </si>
  <si>
    <t>Best</t>
  </si>
  <si>
    <t>Low</t>
  </si>
  <si>
    <t>High</t>
  </si>
  <si>
    <t>Male</t>
  </si>
  <si>
    <t>Female</t>
  </si>
  <si>
    <t>Year</t>
  </si>
  <si>
    <t>Age</t>
  </si>
  <si>
    <t>Source</t>
  </si>
  <si>
    <t>Method</t>
  </si>
  <si>
    <t>Adjustment/
 notes</t>
  </si>
  <si>
    <t>Specific notes</t>
  </si>
  <si>
    <t>Africa</t>
  </si>
  <si>
    <t>East Africa</t>
  </si>
  <si>
    <t>Kenya</t>
  </si>
  <si>
    <t>15-65</t>
  </si>
  <si>
    <t>Government/UNODC Estimate</t>
  </si>
  <si>
    <t>HHS</t>
  </si>
  <si>
    <t>e</t>
  </si>
  <si>
    <t>"Low" and "High" figures are results of a sensitivity analysis.</t>
  </si>
  <si>
    <t>ARQ</t>
  </si>
  <si>
    <t>Govt</t>
  </si>
  <si>
    <t>b, e</t>
  </si>
  <si>
    <t>15-64</t>
  </si>
  <si>
    <t xml:space="preserve">ARQ, NGO, Council of Europe </t>
  </si>
  <si>
    <t xml:space="preserve">SS, A </t>
  </si>
  <si>
    <t xml:space="preserve">c, d, e, f </t>
  </si>
  <si>
    <t>Madagascar</t>
  </si>
  <si>
    <t>SS, A</t>
  </si>
  <si>
    <t>d, e</t>
  </si>
  <si>
    <t>Mauritius</t>
  </si>
  <si>
    <t>15-54</t>
  </si>
  <si>
    <t>Government source</t>
  </si>
  <si>
    <t>a</t>
  </si>
  <si>
    <t xml:space="preserve">ARQ </t>
  </si>
  <si>
    <t>North Africa</t>
  </si>
  <si>
    <t>Algeria</t>
  </si>
  <si>
    <t>12+</t>
  </si>
  <si>
    <t>Egypt</t>
  </si>
  <si>
    <t xml:space="preserve">MedSPAD/UNODC estimate </t>
  </si>
  <si>
    <t>SS</t>
  </si>
  <si>
    <t>d</t>
  </si>
  <si>
    <t>Govt; Academic Research</t>
  </si>
  <si>
    <t>HHS, SS</t>
  </si>
  <si>
    <t>a, d</t>
  </si>
  <si>
    <t>Morocco</t>
  </si>
  <si>
    <t>15+</t>
  </si>
  <si>
    <t xml:space="preserve">HHS </t>
  </si>
  <si>
    <t>Tunisia</t>
  </si>
  <si>
    <t>Southern Africa</t>
  </si>
  <si>
    <t>South Africa</t>
  </si>
  <si>
    <t>Academic Research/UNODC estimate</t>
  </si>
  <si>
    <t xml:space="preserve">a, e </t>
  </si>
  <si>
    <t>Zambia</t>
  </si>
  <si>
    <t xml:space="preserve">UNODC Estimate </t>
  </si>
  <si>
    <t>West and Central Africa</t>
  </si>
  <si>
    <t>Burkina Faso</t>
  </si>
  <si>
    <t>UNODC Estimate</t>
  </si>
  <si>
    <t>Cabo Verde</t>
  </si>
  <si>
    <t>UNODC/Govt.</t>
  </si>
  <si>
    <t>Côte d'Ivoire</t>
  </si>
  <si>
    <t>Liberia</t>
  </si>
  <si>
    <t>WHO GSHS/UNODC Estimate</t>
  </si>
  <si>
    <t>a, b, e</t>
  </si>
  <si>
    <t xml:space="preserve">Nigeria </t>
  </si>
  <si>
    <t>Government/UNODC</t>
  </si>
  <si>
    <t>HHS/I</t>
  </si>
  <si>
    <t>Nigeria</t>
  </si>
  <si>
    <t>Sierra Leone</t>
  </si>
  <si>
    <t>Togo</t>
  </si>
  <si>
    <t xml:space="preserve">SS </t>
  </si>
  <si>
    <t xml:space="preserve">d, e </t>
  </si>
  <si>
    <t>Americas</t>
  </si>
  <si>
    <t>Caribbean</t>
  </si>
  <si>
    <t>Bahamas</t>
  </si>
  <si>
    <t>12-65</t>
  </si>
  <si>
    <t>Barbados</t>
  </si>
  <si>
    <t>CICAD</t>
  </si>
  <si>
    <t>Dominican Republic</t>
  </si>
  <si>
    <t>Haiti</t>
  </si>
  <si>
    <t>Jamaica</t>
  </si>
  <si>
    <t>Cannabis herb</t>
  </si>
  <si>
    <t>12-55</t>
  </si>
  <si>
    <t xml:space="preserve">e </t>
  </si>
  <si>
    <t>Puerto Rico</t>
  </si>
  <si>
    <t>Saint Lucia</t>
  </si>
  <si>
    <t>Trinidad and Tobago</t>
  </si>
  <si>
    <t>Central America</t>
  </si>
  <si>
    <t>Belize</t>
  </si>
  <si>
    <t>Costa Rica</t>
  </si>
  <si>
    <t>12-70</t>
  </si>
  <si>
    <t>El Salvador</t>
  </si>
  <si>
    <t>Guatemala</t>
  </si>
  <si>
    <t>Government source/UNODC Estimate</t>
  </si>
  <si>
    <t>c, d</t>
  </si>
  <si>
    <t>Honduras</t>
  </si>
  <si>
    <t>Nicaragua</t>
  </si>
  <si>
    <t>c</t>
  </si>
  <si>
    <t>Panama</t>
  </si>
  <si>
    <t>Urban areas. Cannabis herb.</t>
  </si>
  <si>
    <t>North America</t>
  </si>
  <si>
    <t>Bermuda</t>
  </si>
  <si>
    <t>16-65</t>
  </si>
  <si>
    <t>Canada</t>
  </si>
  <si>
    <t>Non-medical cannabis use. Includes users who used solely for non-medical purposes and users who used for both, medical and non-medical purposes in the past 12 months, excludes users who used solely for medical purposes.</t>
  </si>
  <si>
    <t>ARQ/Government source</t>
  </si>
  <si>
    <t>Mexico</t>
  </si>
  <si>
    <t>ARQ/Government</t>
  </si>
  <si>
    <t>Government Source</t>
  </si>
  <si>
    <t>United States of America</t>
  </si>
  <si>
    <t>Estimates for age group 15-64 were derived on the basis of published prevalence for the age group 12+ and rates between age groups 12+ and 15-64 obtained from a published data set dated 2021.</t>
  </si>
  <si>
    <t>Estimates for age group 15-64 were derived on the basis of published prevalence for the age group 12+ and rates obtained from a published data set dated 2021.</t>
  </si>
  <si>
    <t>Estimates by sex were derived on the basis of a published data set dated 2021.</t>
  </si>
  <si>
    <t>South America</t>
  </si>
  <si>
    <t>Argentina</t>
  </si>
  <si>
    <t>16-75</t>
  </si>
  <si>
    <t>Bolivia (Plurinational State of)</t>
  </si>
  <si>
    <t>Marihuana (cannabis herb)</t>
  </si>
  <si>
    <t>ARQ/UNODC Estimate</t>
  </si>
  <si>
    <t>Cannabis herb and resin</t>
  </si>
  <si>
    <t>Brazil</t>
  </si>
  <si>
    <t xml:space="preserve">Government source </t>
  </si>
  <si>
    <t>Chile</t>
  </si>
  <si>
    <t>Study data were collected from November 2022 to May 2023</t>
  </si>
  <si>
    <t>Includes marijuana and hashish</t>
  </si>
  <si>
    <t>Colombia</t>
  </si>
  <si>
    <t xml:space="preserve">18-65 </t>
  </si>
  <si>
    <t>Ecuador</t>
  </si>
  <si>
    <t>Guyana</t>
  </si>
  <si>
    <t>Paraguay</t>
  </si>
  <si>
    <t>Peru</t>
  </si>
  <si>
    <t>Suriname</t>
  </si>
  <si>
    <t>Herb</t>
  </si>
  <si>
    <t>Uruguay</t>
  </si>
  <si>
    <t>Venezuela (Bolivarian Republic of)</t>
  </si>
  <si>
    <t>Asia</t>
  </si>
  <si>
    <t>Central Asia and Transcaucasia</t>
  </si>
  <si>
    <t>Armenia</t>
  </si>
  <si>
    <t>Azerbaijan</t>
  </si>
  <si>
    <t>Georgia</t>
  </si>
  <si>
    <t>18-64</t>
  </si>
  <si>
    <t>Government source*</t>
  </si>
  <si>
    <t>Government source/ NGO/Academic research</t>
  </si>
  <si>
    <t>b, d, e</t>
  </si>
  <si>
    <t xml:space="preserve">a, d, e </t>
  </si>
  <si>
    <t>Kazakhstan</t>
  </si>
  <si>
    <t>INCSR</t>
  </si>
  <si>
    <t>Uzbekistan</t>
  </si>
  <si>
    <t>East and South-East Asia</t>
  </si>
  <si>
    <t>Cambodia</t>
  </si>
  <si>
    <t>China, Macao SAR</t>
  </si>
  <si>
    <t>2019-2021</t>
  </si>
  <si>
    <t>12-92</t>
  </si>
  <si>
    <t>Macao SAR provided lifetime, past year and past month prevalence of use of any drug and lifetime prevalence of cannabis use. The past year use figure was estimated on the basis of these data.</t>
  </si>
  <si>
    <t>China, Taiwan Province of China</t>
  </si>
  <si>
    <t>12-64</t>
  </si>
  <si>
    <t>AMCEWG</t>
  </si>
  <si>
    <t>Indonesia</t>
  </si>
  <si>
    <t>10-59</t>
  </si>
  <si>
    <t>Estimate for 13 provinces</t>
  </si>
  <si>
    <t>10-60</t>
  </si>
  <si>
    <t>20 of 34 provinces.</t>
  </si>
  <si>
    <t>Japan</t>
  </si>
  <si>
    <t>Cannabis herb (marijuana)</t>
  </si>
  <si>
    <t>Lao People's Democratic Republic</t>
  </si>
  <si>
    <t>UNODC report</t>
  </si>
  <si>
    <t>Malaysia</t>
  </si>
  <si>
    <t>2020/21</t>
  </si>
  <si>
    <t>ARQ, published study and UNODC Estimate</t>
  </si>
  <si>
    <t>Past month use. As past month use was relatively high in relation to lifetime prevalence, it was not further adjusted.</t>
  </si>
  <si>
    <t>Myanmar</t>
  </si>
  <si>
    <t>Philippines</t>
  </si>
  <si>
    <t>ARQ/UNODC estimate</t>
  </si>
  <si>
    <t>a, e</t>
  </si>
  <si>
    <t>10-69</t>
  </si>
  <si>
    <t>Cannabis herb. Data for 2015/16.</t>
  </si>
  <si>
    <t>10-64</t>
  </si>
  <si>
    <t>Republic of Korea</t>
  </si>
  <si>
    <t>c, e</t>
  </si>
  <si>
    <t>Singapore</t>
  </si>
  <si>
    <t>2021/22</t>
  </si>
  <si>
    <t>Government source, published study and UNODC estimate</t>
  </si>
  <si>
    <t>Data were collected between 04/2021 and 07/2022. Interval is based on sensitivity analysis of the proportion of ever users who may have used cannabis.</t>
  </si>
  <si>
    <t>Thailand</t>
  </si>
  <si>
    <t>Near and Middle East/South-West Asia</t>
  </si>
  <si>
    <t>Afghanistan</t>
  </si>
  <si>
    <t>INL</t>
  </si>
  <si>
    <t>UNODC/ Govt. Source</t>
  </si>
  <si>
    <t xml:space="preserve">UNODC Study (ICMP) </t>
  </si>
  <si>
    <t>Iran (Islamic Republic of)</t>
  </si>
  <si>
    <t>Grass, hashish, marijuana and Gol</t>
  </si>
  <si>
    <t>18+</t>
  </si>
  <si>
    <t>Academic/UNODC Estimate</t>
  </si>
  <si>
    <t>NSUM</t>
  </si>
  <si>
    <t>Hashish</t>
  </si>
  <si>
    <t>Cannabis resin</t>
  </si>
  <si>
    <t>Israel</t>
  </si>
  <si>
    <t>18-86</t>
  </si>
  <si>
    <t>18-65</t>
  </si>
  <si>
    <t>18-40</t>
  </si>
  <si>
    <t>Kuwait</t>
  </si>
  <si>
    <t>Lebanon</t>
  </si>
  <si>
    <t>Government source/MEDSPAD</t>
  </si>
  <si>
    <t xml:space="preserve">d </t>
  </si>
  <si>
    <t>Pakistan</t>
  </si>
  <si>
    <t xml:space="preserve">INCSR </t>
  </si>
  <si>
    <t>Saudi Arabia</t>
  </si>
  <si>
    <t>R</t>
  </si>
  <si>
    <t>United Arab Emirates</t>
  </si>
  <si>
    <t>South Asia</t>
  </si>
  <si>
    <t>Bangladesh</t>
  </si>
  <si>
    <t>7+</t>
  </si>
  <si>
    <t>Academic research</t>
  </si>
  <si>
    <t>a, e,f</t>
  </si>
  <si>
    <t>Bhutan</t>
  </si>
  <si>
    <t>India</t>
  </si>
  <si>
    <t>10-75</t>
  </si>
  <si>
    <t>Herb, resin and leaf</t>
  </si>
  <si>
    <t>Maldives</t>
  </si>
  <si>
    <t>Nepal</t>
  </si>
  <si>
    <t>15-50</t>
  </si>
  <si>
    <t>Sri Lanka</t>
  </si>
  <si>
    <t>14+</t>
  </si>
  <si>
    <t>ARQ, Government source</t>
  </si>
  <si>
    <t>I</t>
  </si>
  <si>
    <t>g,h</t>
  </si>
  <si>
    <t>h</t>
  </si>
  <si>
    <t>Europe</t>
  </si>
  <si>
    <t>Eastern Europe</t>
  </si>
  <si>
    <t>Belarus</t>
  </si>
  <si>
    <t>ESPAD</t>
  </si>
  <si>
    <t>c, d, e</t>
  </si>
  <si>
    <t>Republic of Moldova</t>
  </si>
  <si>
    <t>Russian Federation</t>
  </si>
  <si>
    <t>ESPAD/UNODC Estimate</t>
  </si>
  <si>
    <t>Approximate adjustment</t>
  </si>
  <si>
    <t>Ukraine</t>
  </si>
  <si>
    <t xml:space="preserve">ESPAD </t>
  </si>
  <si>
    <t>South-Eastern Europe</t>
  </si>
  <si>
    <t>Albania</t>
  </si>
  <si>
    <t>Public health research</t>
  </si>
  <si>
    <t>Bosnia and Herzegovina</t>
  </si>
  <si>
    <t xml:space="preserve">c, d, e </t>
  </si>
  <si>
    <t>Bulgaria</t>
  </si>
  <si>
    <t>Croatia</t>
  </si>
  <si>
    <t>EMCDDA (EUDA)</t>
  </si>
  <si>
    <t>Kosovo under UNSCR 1244</t>
  </si>
  <si>
    <t>Montenegro</t>
  </si>
  <si>
    <t>North Macedonia</t>
  </si>
  <si>
    <t>Romania</t>
  </si>
  <si>
    <t>Serbia</t>
  </si>
  <si>
    <t>a, d, e</t>
  </si>
  <si>
    <t>Türkiye</t>
  </si>
  <si>
    <t>Western and Central Europe</t>
  </si>
  <si>
    <t>Austria</t>
  </si>
  <si>
    <t xml:space="preserve">EMCDDA (EUDA) </t>
  </si>
  <si>
    <t>Belgium</t>
  </si>
  <si>
    <t>EMCDDA (EUDA)/Government source</t>
  </si>
  <si>
    <t>Cyprus</t>
  </si>
  <si>
    <t>Czechia</t>
  </si>
  <si>
    <t>Denmark</t>
  </si>
  <si>
    <t>16-64</t>
  </si>
  <si>
    <t>EUDA</t>
  </si>
  <si>
    <t>Estonia</t>
  </si>
  <si>
    <t>Finland</t>
  </si>
  <si>
    <t>France</t>
  </si>
  <si>
    <t>Germany</t>
  </si>
  <si>
    <t>ARQ/Academic</t>
  </si>
  <si>
    <t>Greece</t>
  </si>
  <si>
    <t>Hungary</t>
  </si>
  <si>
    <t>Iceland</t>
  </si>
  <si>
    <t>18-67</t>
  </si>
  <si>
    <t>Ireland</t>
  </si>
  <si>
    <t>Data refers to 2014-15.</t>
  </si>
  <si>
    <t>Italy</t>
  </si>
  <si>
    <t>Data refers to 2013-14</t>
  </si>
  <si>
    <t>Latvia</t>
  </si>
  <si>
    <t>Lithuania</t>
  </si>
  <si>
    <t>Luxembourg</t>
  </si>
  <si>
    <t>ARQ/EMCDDA (EUDA)</t>
  </si>
  <si>
    <t>Malta</t>
  </si>
  <si>
    <t>Monaco</t>
  </si>
  <si>
    <t>Netherlands (Kingdom of the)</t>
  </si>
  <si>
    <t>Norway</t>
  </si>
  <si>
    <t>Cannabis herb, resin and other types of cannabis</t>
  </si>
  <si>
    <t>Includes herb and hashish</t>
  </si>
  <si>
    <t>Poland</t>
  </si>
  <si>
    <t>Data refers to 2018-2019</t>
  </si>
  <si>
    <t>Data refers to 2014-2015</t>
  </si>
  <si>
    <t>Portugal</t>
  </si>
  <si>
    <t>Data was collected during 09/2021 - 11/2022</t>
  </si>
  <si>
    <t>Data refers to 2016-2017</t>
  </si>
  <si>
    <t>Slovakia</t>
  </si>
  <si>
    <t>Slovenia</t>
  </si>
  <si>
    <t>a, b</t>
  </si>
  <si>
    <t>Spain</t>
  </si>
  <si>
    <t>Data collection period: 15 February to 3 June 2022</t>
  </si>
  <si>
    <t xml:space="preserve">Survey conducted between February and March 2020. </t>
  </si>
  <si>
    <t>Sweden</t>
  </si>
  <si>
    <t>17-64</t>
  </si>
  <si>
    <t>Switzerland</t>
  </si>
  <si>
    <t>United Kingdom (England and Wales)</t>
  </si>
  <si>
    <t>16-59</t>
  </si>
  <si>
    <t>Data refer to 2023/24. Crime Survey for England and Wales.</t>
  </si>
  <si>
    <t>Data refer to 2022/23. Crime Survey for England and Wales.</t>
  </si>
  <si>
    <t>Data refer to 2021/22. Crime Survey for England and Wales.</t>
  </si>
  <si>
    <t>Data refer to 2019/20. Office for National Statistics (ONS)</t>
  </si>
  <si>
    <t>Data refer to 2018/19. Crime Survey for England and Wales.</t>
  </si>
  <si>
    <t>Data refer to 2017/18. Crime Survey for England and Wales.</t>
  </si>
  <si>
    <t>Data refer to 2016/17. Crime Survey for England and Wales.</t>
  </si>
  <si>
    <t>Data refer to 2015/16. Crime Survey for England and Wales.</t>
  </si>
  <si>
    <t>Data refer to 2014/15. Crime Survey for England and Wales.</t>
  </si>
  <si>
    <t>Data refer to 2013/14. Crime Survey for England and Wales.</t>
  </si>
  <si>
    <t>Data refer to 2012/13. Crime Survey for England and Wales.</t>
  </si>
  <si>
    <t>Data refer to 2011/12. Crime Survey for England and Wales.</t>
  </si>
  <si>
    <t>Data refer to 2010/11. Crime Survey for England and Wales.</t>
  </si>
  <si>
    <t>United Kingdom (Northern Ireland)</t>
  </si>
  <si>
    <t>Data refer to 2014/15</t>
  </si>
  <si>
    <t>Data refer to 2010/11</t>
  </si>
  <si>
    <t>United Kingdom (Scotland)</t>
  </si>
  <si>
    <t>Government source /UNODC Estimates</t>
  </si>
  <si>
    <t>Data refer to 2012/13</t>
  </si>
  <si>
    <t>Data refer to 2009/10</t>
  </si>
  <si>
    <t>Oceania</t>
  </si>
  <si>
    <t>Australia and New Zealand</t>
  </si>
  <si>
    <t>Australia</t>
  </si>
  <si>
    <t>2022/23</t>
  </si>
  <si>
    <t>New Zealand</t>
  </si>
  <si>
    <t>2023/24</t>
  </si>
  <si>
    <t>Data for 2021-22.</t>
  </si>
  <si>
    <t>Data for 2020-21.</t>
  </si>
  <si>
    <t>Data for 2019-20.</t>
  </si>
  <si>
    <t>Data for 2018-19.</t>
  </si>
  <si>
    <t>Data for 2017-18.</t>
  </si>
  <si>
    <t>Data for 2016-17.</t>
  </si>
  <si>
    <t>Data for 2015-16.</t>
  </si>
  <si>
    <t>2012/13 New Zealand Health Survey: Drug Module</t>
  </si>
  <si>
    <t>2007/08 New Zealand Alcohol and Drug Use Survey</t>
  </si>
  <si>
    <t xml:space="preserve">a </t>
  </si>
  <si>
    <t>Melanesia</t>
  </si>
  <si>
    <t>Fiji</t>
  </si>
  <si>
    <t xml:space="preserve">Except where the prevalence values are taken from household surveys, changes between years need to be interpreted with caution as they might reflect a change in the methodology or the data source from which the estimate was derived and therefore should not be considered as a change in prevalence.
Method: HHS=Household survey, SS=School survey, A=Adjusted from other sources, I=Indirect estimates, R=Registry. 
UNODC Adjustments: a=adjusted for age (15-64), b=population-based/household-type study/survey, c=adjusted from a limited geographic population-based study/survey, d=adjusted from school/youth survey, e=adjusted from lifetime/monthly prevalence to annual prevalence, f=adjusted from specialized population surveys (including Rapid Assessments), g=adjusted from treatment data, h=adjusted from drug registries, i=adjusted from HIV, problematic drug users (only for heroin), j=lifetime prevalence reported, x=figure may include non-medical use of prescription opioids, z=figures may also include other non-ATS stimulants, z*= figures include the use of prescription stimulants, (non-prescription/non-therapeutic use). 
The 'Method' and 'Adjustment/notes' columns have been completed only for more recent data included in previous and present issues of the World Drug Report. </t>
  </si>
  <si>
    <t>*https://altgeorgia.ge/media/uploads/gps-2022-report_eng.pdf</t>
  </si>
  <si>
    <r>
      <t xml:space="preserve">COCAINE
</t>
    </r>
    <r>
      <rPr>
        <b/>
        <sz val="16"/>
        <rFont val="Frutiger 45"/>
      </rPr>
      <t xml:space="preserve">(includes cocaine salt, "crack" cocaine and other types such as coca paste, cocaine base, </t>
    </r>
    <r>
      <rPr>
        <b/>
        <i/>
        <sz val="16"/>
        <rFont val="Frutiger 45"/>
      </rPr>
      <t>basuco</t>
    </r>
    <r>
      <rPr>
        <b/>
        <sz val="16"/>
        <rFont val="Frutiger 45"/>
      </rPr>
      <t xml:space="preserve">, </t>
    </r>
    <r>
      <rPr>
        <b/>
        <i/>
        <sz val="16"/>
        <rFont val="Frutiger 45"/>
      </rPr>
      <t>paco</t>
    </r>
    <r>
      <rPr>
        <b/>
        <sz val="16"/>
        <rFont val="Frutiger 45"/>
      </rPr>
      <t xml:space="preserve"> and </t>
    </r>
    <r>
      <rPr>
        <b/>
        <i/>
        <sz val="16"/>
        <rFont val="Frutiger 45"/>
      </rPr>
      <t>merla</t>
    </r>
    <r>
      <rPr>
        <b/>
        <sz val="16"/>
        <rFont val="Frutiger 45"/>
        <family val="2"/>
      </rPr>
      <t>)</t>
    </r>
  </si>
  <si>
    <t>Crack</t>
  </si>
  <si>
    <t>MedSPAD/UNODC Estimate</t>
  </si>
  <si>
    <t>Government source; Academic Research</t>
  </si>
  <si>
    <t xml:space="preserve">Includes cocaine salts and "crack" </t>
  </si>
  <si>
    <t>HSS</t>
  </si>
  <si>
    <t>UNODC/Government source</t>
  </si>
  <si>
    <t>Government source/UNODC</t>
  </si>
  <si>
    <t>UNODC Estimate/ Government source</t>
  </si>
  <si>
    <t>Cocaine salts and crack</t>
  </si>
  <si>
    <t>12-35</t>
  </si>
  <si>
    <t>Urban areas</t>
  </si>
  <si>
    <t>Government source (ENA)</t>
  </si>
  <si>
    <t> </t>
  </si>
  <si>
    <t>Cocaine salts and "crack". Estimates by sex were derived on the basis of a published data set dated 2021.</t>
  </si>
  <si>
    <t>Cocaine salts</t>
  </si>
  <si>
    <t xml:space="preserve">Includes cocaine salts and "paco" </t>
  </si>
  <si>
    <t>Does not include crack</t>
  </si>
  <si>
    <t>Cocaine hydrochloride</t>
  </si>
  <si>
    <t>Salts and pasta base</t>
  </si>
  <si>
    <t>Includes cocaine salts and other smokable forms of cocaine</t>
  </si>
  <si>
    <t>Includes cocaine salts, crack cocaine and "pasta base"</t>
  </si>
  <si>
    <t>Cocaine salts, crack and "pasta base"</t>
  </si>
  <si>
    <t>Government source/ARQ</t>
  </si>
  <si>
    <t>Cocaine salts and "basuco"</t>
  </si>
  <si>
    <t>Cocaine salts and "pasta base de cocaina"</t>
  </si>
  <si>
    <t>UNODC Estimate/ARQ</t>
  </si>
  <si>
    <t>Cocaine salts and pasta base</t>
  </si>
  <si>
    <t>Data for 2015/16</t>
  </si>
  <si>
    <t xml:space="preserve">Data refers to 2012/13. </t>
  </si>
  <si>
    <t>e, f</t>
  </si>
  <si>
    <t>UNODC/ Government source</t>
  </si>
  <si>
    <t>Academic source</t>
  </si>
  <si>
    <t>f, g</t>
  </si>
  <si>
    <t>Salt and "crack"</t>
  </si>
  <si>
    <t>g</t>
  </si>
  <si>
    <t>Syrian Arab Republic</t>
  </si>
  <si>
    <t>Government sources</t>
  </si>
  <si>
    <t>Appoximate adjustment</t>
  </si>
  <si>
    <t>18-60</t>
  </si>
  <si>
    <t>Cocaine salt</t>
  </si>
  <si>
    <t>UNODC best estimate based on ARQ data on prevalence of male and female</t>
  </si>
  <si>
    <t>Including crack</t>
  </si>
  <si>
    <t>Includes crack</t>
  </si>
  <si>
    <t xml:space="preserve">Government sources </t>
  </si>
  <si>
    <t>Cocaine salts and "crack" cocaine</t>
  </si>
  <si>
    <t>cocaine and crack</t>
  </si>
  <si>
    <t>Cocaine hydrocloride and crack</t>
  </si>
  <si>
    <t>Data for 2014-15.</t>
  </si>
  <si>
    <t>Only cocaine salts</t>
  </si>
  <si>
    <t>Data refers to 2018/19</t>
  </si>
  <si>
    <t>Data refers to 2014/15</t>
  </si>
  <si>
    <t>Cocaine hydrochrolide; Data was collected during 09/2021 - 11/2022</t>
  </si>
  <si>
    <t>Data refers to 2016/2017. Cocaine salts</t>
  </si>
  <si>
    <t>Breakdown by sex was only available for powder cocaine, however, the prevalence was very similar to the category "any cocaine". Data refer to 2023/24. Crime Survey for England and Wales.</t>
  </si>
  <si>
    <t>Breakdown by sex was only available for powder cocaine, however, the prevalence was very similar to the category "any cocaine". Data refer to 2022/23. Crime Survey for England and Wales.</t>
  </si>
  <si>
    <t>Data refer to 2014/15. Crime Survey for England and Wales</t>
  </si>
  <si>
    <t>Data refer to 2011/12</t>
  </si>
  <si>
    <t>Cocaine/crack</t>
  </si>
  <si>
    <r>
      <t xml:space="preserve">Except where the prevalence values are taken from household surveys, changes between years need to be interpreted with caution as they might reflect a change in the methodology or the data source from which the estimate was derived and therefore should not be considered as a change in prevalence.
</t>
    </r>
    <r>
      <rPr>
        <sz val="12"/>
        <rFont val="Frutiger 45"/>
        <family val="2"/>
      </rPr>
      <t xml:space="preserve">Method: HHS=Household survey, SS=School survey, A=Adjusted from other sources, I=Indirect estimates, R=Registry.
UNODC Adjustments: a=adjusted for age (15-64), b=population-based/household-type study/survey, c=adjusted from a limited geographic population-based study/survey, d=adjusted from school/youth survey, e=adjusted from lifetime/monthly prevalence adjusted to annual prevalence, f=adjusted from specialized population surveys (including Rapid Assessments), g=adjusted from treatment data, h=adjusted from drug registries, i=adjusted from HIV, problematic drug users (only for heroin), j=lifetime prevalence reported, x=figure may include non-medical use of prescription opioids, z=figures may also include other non-ATS stimulants, z*= figures include the use of prescription stimulants, (non-prescription/non-therapeutic use). 
The 'Method' and 'Adjustment/notes' columns have been completed only for more recent data included in previous and present issues of the World Drug Report. </t>
    </r>
  </si>
  <si>
    <r>
      <t xml:space="preserve">AMPHETAMINES
</t>
    </r>
    <r>
      <rPr>
        <b/>
        <sz val="16"/>
        <rFont val="Frutiger 45"/>
      </rPr>
      <t>(includes both amphetamine and methamphetamine)</t>
    </r>
  </si>
  <si>
    <t>a, b, d</t>
  </si>
  <si>
    <t>Methamphetamine</t>
  </si>
  <si>
    <t>z</t>
  </si>
  <si>
    <t>d, e, z</t>
  </si>
  <si>
    <t>Grenada</t>
  </si>
  <si>
    <t>Amphetamine-type stimulants, including non-medical use of pharmaceutical amphetamine-type products, excluding ecstasy</t>
  </si>
  <si>
    <t>0.003</t>
  </si>
  <si>
    <t>Amphetamine and methamphetamine</t>
  </si>
  <si>
    <t>z**</t>
  </si>
  <si>
    <t>Includes prescription stimulants</t>
  </si>
  <si>
    <t>d,e</t>
  </si>
  <si>
    <t>Includes use of illegal amphetamine or methamphetamine. Does not include pharmaceutical stimulants.</t>
  </si>
  <si>
    <t>Amphetamine</t>
  </si>
  <si>
    <t>z*</t>
  </si>
  <si>
    <t>Methamphetamine. Estimates for the age group 15-64 were derived on the basis of published prevalence for the age group 12+ and rates between age groups 12+ and 15-64 obtained from a published data set dated 2021.</t>
  </si>
  <si>
    <t>Methamphetmine. Estimates for the age group 15-64 were derived on the basis of published prevalence for the age group 12+ and rates obtained from a published data set dated 2021.</t>
  </si>
  <si>
    <t>Methamphetamine. Estimates by sex were derivedon the basis of a published data set dated 2021.</t>
  </si>
  <si>
    <t>ARQ/UNODC Estimates</t>
  </si>
  <si>
    <t>Includes methamphetamine and prescription stimulants</t>
  </si>
  <si>
    <t>Government</t>
  </si>
  <si>
    <t>Includes methylphenidate (ritalin, concerta, aradix), fenmetrazine (preludio o adepsina), amhetamines (aderall), dexamphetamine (dexedrina, dextrostat), premoline (clyret) and similar.</t>
  </si>
  <si>
    <t>Amphetamines</t>
  </si>
  <si>
    <t>d, e , z</t>
  </si>
  <si>
    <t>Includes amphetamine and methamphetamine</t>
  </si>
  <si>
    <t>Brunei Darussalam</t>
  </si>
  <si>
    <t>China</t>
  </si>
  <si>
    <t>Estimate for 13 provinces. Includes amphetamine and methamphetamine.</t>
  </si>
  <si>
    <t>20 of 34 provinces. Methamphetamine.</t>
  </si>
  <si>
    <t>a, c, d, e</t>
  </si>
  <si>
    <t>d, g, h</t>
  </si>
  <si>
    <t>d, f</t>
  </si>
  <si>
    <t>Methamphetamine. Data refers to 2015/16.</t>
  </si>
  <si>
    <t xml:space="preserve">Methamphetamine. Data refers to 2012/13. </t>
  </si>
  <si>
    <t>b, c, e</t>
  </si>
  <si>
    <t>Methamphetamine tablets and crystal methamphetamine</t>
  </si>
  <si>
    <t>Viet Nam</t>
  </si>
  <si>
    <t>UNODC/Government Source</t>
  </si>
  <si>
    <t>"Yaba"</t>
  </si>
  <si>
    <t xml:space="preserve">HHS, c </t>
  </si>
  <si>
    <t>Amphetamine. UNODC best estimate based on ARQ data on prevalence of male and female</t>
  </si>
  <si>
    <t>Government source/UNODC estimate</t>
  </si>
  <si>
    <t>ARQ/Academic source</t>
  </si>
  <si>
    <t>Amphetamine. Data refers to 2014/15</t>
  </si>
  <si>
    <t>Data refers to 2013/2014</t>
  </si>
  <si>
    <t>Includes methamphetamine</t>
  </si>
  <si>
    <t>Data refers to 2014/2015</t>
  </si>
  <si>
    <t>Amphetamine; Data was collected during 09/2021 - 11/2022</t>
  </si>
  <si>
    <t>Data refers to 2016/2017. Amphetamine.</t>
  </si>
  <si>
    <t>Survey conducted between February and March 2020. Amphetamine-type stimulants, including non-medical use of pharmaceutical amphetamine-type products, excluding ecstasy</t>
  </si>
  <si>
    <t>Speed, amphetamine sulphate, crystal meth, other amphetamines</t>
  </si>
  <si>
    <t>Amphetamine-type stimulants, including non-medical use of pharmaceutical amphetamine-type products, excluding ecstasy. Data refers to 2021/22. Crime Survey for England and Wales.</t>
  </si>
  <si>
    <t>Amphetamine-type stimulants, including non-medical use of pharmaceutical amphetamine-type products, excluding ecstasy. Data refers to 2019/20. Office for National Statistics (ONS)</t>
  </si>
  <si>
    <t>Includes amphetamine and methamphetamine. Data refers to 2018/19. Crime Survey for England and Wales.</t>
  </si>
  <si>
    <t>Includes amphetamine and methamphetamine. Data refers to 2017/18. Crime Survey for England and Wales.</t>
  </si>
  <si>
    <t>Includes amphetamine and methamphetamine. Data refers to 2016/17. Crime Survey for England and Wales.</t>
  </si>
  <si>
    <t>Includes amphetamine and methamphetamine. Data refers to 2015/16. Crime Survey for England and Wales.</t>
  </si>
  <si>
    <t>Includes amphetamine and methamphetamine. Data refers to 2014/15. Crime Survey for England and Wales</t>
  </si>
  <si>
    <t xml:space="preserve">Includes amphetamine and methamphetamine. Data refers to 2013/14. Crime Survey for England and Wales. </t>
  </si>
  <si>
    <t>Data refers to 2012/13. Crime Survey for England and Wales.</t>
  </si>
  <si>
    <t>Data refers to 2011/12. Crime Survey for England and Wales.</t>
  </si>
  <si>
    <t>Data refers to 2010/11. Crime Survey for England and Wales.</t>
  </si>
  <si>
    <t>Data refers to 2010/11</t>
  </si>
  <si>
    <t>Data refers to 2014/15. Amphetamine and crystal methamphetamine</t>
  </si>
  <si>
    <t>Data refers to 2012/13</t>
  </si>
  <si>
    <t>Data refers to 2009/10</t>
  </si>
  <si>
    <t>Methamphetamine and amphetamine. Drug category was changed in 2022–2023. Results for 2019 and earlier years are not comparable.</t>
  </si>
  <si>
    <t xml:space="preserve">Data refers to 2020-21. Amphetamine-type stimulants, including non-medical use of pharmaceutical amphetamine-type products, excluding ecstasy. </t>
  </si>
  <si>
    <t xml:space="preserve">Data refers to 2019-20. Amphetamine-type stimulants, including non-medical use of pharmaceutical amphetamine-type products, excluding ecstasy. </t>
  </si>
  <si>
    <t>Data refers to 2017-18.</t>
  </si>
  <si>
    <t>Data refers to 2016-17.</t>
  </si>
  <si>
    <t>Data refers to 2015-16.</t>
  </si>
  <si>
    <t>2013/14 New Zealand Health Survey</t>
  </si>
  <si>
    <r>
      <t>Except where the prevalence values are taken from household surveys, changes between years need to be interpreted with caution as they might reflect a change in the methodology or the data source from which the estimate was derived and therefore should not be considered as a change in prevalence</t>
    </r>
    <r>
      <rPr>
        <sz val="12"/>
        <rFont val="Frutiger 45"/>
        <family val="2"/>
      </rPr>
      <t xml:space="preserve">.
Where a country has reported a combined prevalence for amphetamines and other stimulants these have been reported under "Amphetamines" and a flag included to state if this includes prescription stimulants. Where a combined prevalence has not been reported by the Member State and the prescription stimulant prevalence is known, this has been reported under "Prescription stimulants". 
Method: HHS=Household survey, SS=School survey, A=Adjusted from other sources, I=Indirect estimates, R=Registry. 
UNODC Adjustments: a=adjusted for age (15-64), b=population-based/household-type study/survey, c=adjusted from a limited geographic population-based study/survey, d=adjusted from school/youth survey, e=adjusted from lifetime/monthly prevalence adjusted to annual prevalence, f=adjusted from specialized population surveys (including Rapid Assessments), g=adjusted from treatment data, h=adjusted from drug registries, i=adjusted from HIV, problematic drug users (only for heroin), j=lifetime prevalence reported, x=figure may include non-medical use of prescription opioids, z=figures may also include other non-ATS stimulants, z*= figures include the use of prescription stimulants, (non-prescription/non-therapeutic use),  z**= figures only include prescription stimulants. 
The 'Method' and 'Adjustment/notes' columns have been completed only for more recent data included in previous and present issues of the World Drug Report. </t>
    </r>
  </si>
  <si>
    <t>"ECSTASY"-TYPE SUBSTANCES</t>
  </si>
  <si>
    <t>HHS, c</t>
  </si>
  <si>
    <t>Data not directly comparable to previous years.</t>
  </si>
  <si>
    <t>Government source/UNODC Estimates</t>
  </si>
  <si>
    <t>a, b, d, e</t>
  </si>
  <si>
    <t>Estimate for 13 provinces.</t>
  </si>
  <si>
    <t>e, g</t>
  </si>
  <si>
    <t>b, d</t>
  </si>
  <si>
    <t>MDMA</t>
  </si>
  <si>
    <t>Data refers to 2013/14. New Survey reported</t>
  </si>
  <si>
    <t xml:space="preserve">b, c </t>
  </si>
  <si>
    <t>Data collected in 2014</t>
  </si>
  <si>
    <t>Data refers to 2016/2017</t>
  </si>
  <si>
    <t>a,b</t>
  </si>
  <si>
    <t>Survey conducted between February and March 2020.</t>
  </si>
  <si>
    <t>Data refers to 2021/22. Crime Survey for England and Wales.</t>
  </si>
  <si>
    <t>Data refers to 2019/20. Office for National Statistics (ONS)</t>
  </si>
  <si>
    <t>Data refers to 2018/19. Crime Survey for England and Wales.</t>
  </si>
  <si>
    <t>Data refers to 2017/18. Crime Survey for England and Wales.</t>
  </si>
  <si>
    <t>Data refers to 2016/17. Crime Survey for England and Wales.</t>
  </si>
  <si>
    <t>Data refers to 2015/16. Crime Survey for England and Wales.</t>
  </si>
  <si>
    <t>Data refers to 2014/15. Crime Survey for England and Wales.</t>
  </si>
  <si>
    <t>Data refers to 2013/14. Crime Survey for England and Wales.</t>
  </si>
  <si>
    <t xml:space="preserve">Government source/ NGO/Academic research </t>
  </si>
  <si>
    <t xml:space="preserve">a, z </t>
  </si>
  <si>
    <r>
      <t>Except where the prevalence values are taken from household surveys, changes between years need to be interpreted with caution as they might reflect a change in the methodology or the data source from which the estimate was derived and therefore should not be considered as a change in prevalence.</t>
    </r>
    <r>
      <rPr>
        <sz val="12"/>
        <rFont val="Frutiger 45"/>
        <family val="2"/>
      </rPr>
      <t xml:space="preserve">
Method: HHS=Household survey, SS=School survey, A=Adjusted from other sources, I=Indirect estimates, R=Registry.
UNODC Adjustments: a=adjusted for age (15-64), b=population-based/household-type study/survey, c=adjusted from a limited geographic population-based study/survey, d=adjusted from school/youth survey, e=adjusted from lifetime/monthly prevalence adjusted to annual prevalence, f=adjusted from specialized population surveys (including Rapid Assessments), g=adjusted from treatment data, h=adjusted from drug registries, i=adjusted from HIV, problematic drug users (only for heroin), j=lifetime prevalence reported, x=figure may include non-medical use of prescription opioids, z=figures may also include other non-ATS stimulants, z*= figures include the use of prescription stimulants (non-prescription/non-therapeutic use). 
The 'Method' and 'Adjustment/notes' columns have been completed only for more recent data included in previous and present issues of the World Drug Report. </t>
    </r>
  </si>
  <si>
    <t>PRESCRIPTION STIMULANTS</t>
  </si>
  <si>
    <t>Prescription amphetamines</t>
  </si>
  <si>
    <t>OAS</t>
  </si>
  <si>
    <t>Without prescription</t>
  </si>
  <si>
    <t>Use of pharmaceutical stimulants for other reasons than recommended</t>
  </si>
  <si>
    <t>Non-medical use of pharmaceutical products containing amphetamine-type stimulants</t>
  </si>
  <si>
    <t>Only includes prescription stimulants</t>
  </si>
  <si>
    <t>Problem prescription stimulants users</t>
  </si>
  <si>
    <t>Non-medical use of pharmaceutical stimulants</t>
  </si>
  <si>
    <r>
      <t>Except where the prevalence values are taken from household surveys, changes between years need to be interpreted with caution as they might reflect a change in the methodology or the data source from which the estimate was derived and therefore should not be considered as a change in prevalence</t>
    </r>
    <r>
      <rPr>
        <sz val="12"/>
        <rFont val="Frutiger 45"/>
        <family val="2"/>
      </rPr>
      <t xml:space="preserve">.
Where a country has reported a combined prevalence for amphetamines and other stimulants these have been reported under "Amphetamines" and a flag included to state if this includes prescription stimulants. Where a combined prevalence has not been reported by the Member State and the prescription stimulant prevalence is known, this has been reported under "Prescription stimulants".  
Method: HHS=Household survey, SS=School survey, A=Adjusted from other sources, I=Indirect estimates, R=Registry.
UNODC Adjustments: a=adjusted for age (15-64), b=population-based/household-type study/survey, c=adjusted from a limited geographic population-based study/survey, d=adjusted from school/youth survey, e=adjusted from lifetime/monthly prevalence adjusted to annual prevalence, f=adjusted from specialized population surveys (including Rapid Assessments), g=adjusted from treatment data, h=adjusted from drug registries, i=adjusted from HIV, problematic drug users (only for heroin), j=lifetime prevalence reported, x=figure may include non-medical use of prescription opioids, z=figures may also include other non-ATS stimulants, z*= figures include the use of prescription stimulants (non-prescription/non-therapeutic use),  z**= figures only include prescription stimulants. 
The 'Method' and 'Adjustment/notes' columns have been completed only for more recent data included in previous and present issues of the World Drug Report. </t>
    </r>
  </si>
  <si>
    <t>OPIOIDS
(includes opiates, other illicit opioids and prescription opioids)</t>
  </si>
  <si>
    <t>a,x</t>
  </si>
  <si>
    <t>Opioids, includes prescription opioids</t>
  </si>
  <si>
    <t>x</t>
  </si>
  <si>
    <t>Includes prescription opioids</t>
  </si>
  <si>
    <t>Democratic Republic of the Congo</t>
  </si>
  <si>
    <t>Cure Research estimate</t>
  </si>
  <si>
    <t>Includes heroin and prescription opioids</t>
  </si>
  <si>
    <t>a, d, e, x</t>
  </si>
  <si>
    <t>CICAD/MEM</t>
  </si>
  <si>
    <t>Opiates</t>
  </si>
  <si>
    <t>Heroin + Prescription  opioids / Perscription opioids without prescription</t>
  </si>
  <si>
    <t>e, x</t>
  </si>
  <si>
    <t>Includes non-medical use of pharmaceutical opioids, does not include heroin.</t>
  </si>
  <si>
    <t>Use of illegal fentanyl</t>
  </si>
  <si>
    <t>include prescription opioids</t>
  </si>
  <si>
    <t xml:space="preserve">United States of America </t>
  </si>
  <si>
    <t>Opioids</t>
  </si>
  <si>
    <t>Opiates and prescription opioids</t>
  </si>
  <si>
    <t xml:space="preserve">Opioids, including opiates and synthetic opioids </t>
  </si>
  <si>
    <t>People with drug use disorders or problem/high-risk drug use. Opioids, including opiates and synthetic opioids</t>
  </si>
  <si>
    <t>Includes heroin and opium</t>
  </si>
  <si>
    <t>CICAD OAS/Governement sources</t>
  </si>
  <si>
    <t>Armenian Pubic Health Associations</t>
  </si>
  <si>
    <t>Methadone outside of medical prescription</t>
  </si>
  <si>
    <t>SCAD Report - Academic Research</t>
  </si>
  <si>
    <t>UNODC (GAP survey)</t>
  </si>
  <si>
    <t>Kyrgyzstan</t>
  </si>
  <si>
    <t>Tajikistan</t>
  </si>
  <si>
    <t>Turkmenistan</t>
  </si>
  <si>
    <t>Reference Group to the UN on HIV and IDU</t>
  </si>
  <si>
    <t>UNODC/ Government Source</t>
  </si>
  <si>
    <t xml:space="preserve">UNODC (GAP survey) </t>
  </si>
  <si>
    <t>a, e, x</t>
  </si>
  <si>
    <t>Includes opium, heroin and prescription opioids</t>
  </si>
  <si>
    <t>Govenment sources</t>
  </si>
  <si>
    <t xml:space="preserve">I </t>
  </si>
  <si>
    <t>People who use opioids.</t>
  </si>
  <si>
    <t>These estimates are based on a methodology that uses a multiplier calculated in 2006-2009, when the population of opioid users was believed to have been larger than in 2016. Caution should be used in using these estimates because they are under review which is related to the change in pattern of drug abuse among patients entering medical facilities for treatment and care</t>
  </si>
  <si>
    <t>Number of persons in treatment for opioid use disorders, adjusted with a (latency) multiplier of 5.</t>
  </si>
  <si>
    <t>new</t>
  </si>
  <si>
    <t>Population with opioid use disorders</t>
  </si>
  <si>
    <t>Opioids, including opiates and synthetic opioids</t>
  </si>
  <si>
    <t>Problem opioid users</t>
  </si>
  <si>
    <t>EMCDDA (EUDA)/ARQ/UNODC Estimates</t>
  </si>
  <si>
    <t>Belgian Health Interview Survey</t>
  </si>
  <si>
    <t>Opioid users</t>
  </si>
  <si>
    <t>High-risk opioid users: Heroin, Methadone, Buprenorphine, other opioids</t>
  </si>
  <si>
    <t>Problem opioid users: Heroin, Methadone, Buprenorphine, other opioids</t>
  </si>
  <si>
    <t>Heroin, Methadone, Buprenorphine, Fentanyl illicit, Other opioids. (high-risk opioid use)</t>
  </si>
  <si>
    <t xml:space="preserve">Heroin, Methadone, Buprenorphine, Fentanyl illicit, Other opioids. </t>
  </si>
  <si>
    <t>Heroin, Methadone, Buprenorphine, Fentanyl illicit, Other opioids. Benchmark:data from low threshold facilities, multiplier: nomination technique within questionnaire study among clients of low threshold facilities</t>
  </si>
  <si>
    <t>Problem opioid users: Heroin,Methadone,Buprenorphine, Fentanyl illicit, other opioids</t>
  </si>
  <si>
    <t>Problem opioid users (Heroin, but includes methadone, buprenorphine)</t>
  </si>
  <si>
    <t>Heroin and fentanyl</t>
  </si>
  <si>
    <t>Other pharmaceutical opioids</t>
  </si>
  <si>
    <t>Problem opioid users. Covers people who have been treated for opioid use disorders, new cases of people been diagnosed with hepatitis C, people who have driven under influence of opioids. Estimation based on capture-recapture method</t>
  </si>
  <si>
    <t>Prescription opioids</t>
  </si>
  <si>
    <t>Heroin, methadone, buprenorphine, fentanyl illicit, other opioids. Last 30 days</t>
  </si>
  <si>
    <t>Heroin, methadone, buprenorphine, fentanyl illicit, other opioids.</t>
  </si>
  <si>
    <t>Problem opioid users. Estimation based on capture-recapture method</t>
  </si>
  <si>
    <t>Data refers to 2013/14. Problem opioid users. Includes some prescription opioids.</t>
  </si>
  <si>
    <t>Government sources/Academic sources</t>
  </si>
  <si>
    <t>Opioid-dependent users</t>
  </si>
  <si>
    <t>Opioid users (heroin and illicit opioids)</t>
  </si>
  <si>
    <t>Includes heroin, opium and other opioids</t>
  </si>
  <si>
    <t>Data refers to 2013/14. Includes heroin, methadone and morphine.</t>
  </si>
  <si>
    <t>Problem opioid users. Estimation based on capture-recapture and multiplier benchmark mortality methods</t>
  </si>
  <si>
    <t>Indirect estimation of problem/high-risk opioid users</t>
  </si>
  <si>
    <t>Indirect estimation of problem/high-risk opioid users. Heroin, methadone.</t>
  </si>
  <si>
    <t>High-risk opioid users: Daily opioid users</t>
  </si>
  <si>
    <t>Problem opioid users:Daily opioid users</t>
  </si>
  <si>
    <t>Netherlands</t>
  </si>
  <si>
    <t xml:space="preserve">Use of strong painkiller (e.g. oxycodone, tramadol) without a medical prescription. </t>
  </si>
  <si>
    <t>Problem opioid users. Injecting users or long-term regular users of opioids</t>
  </si>
  <si>
    <t>High-risk opioid users: Heroin, Methadone, Buprenorhine, Other opioids.</t>
  </si>
  <si>
    <t>Problem opioid users: Heroin, methadone, buprenorhine, other opioids</t>
  </si>
  <si>
    <t>Problem opioid users. Users of low-threshold programs and Core National Drug Treatment Database and OST prison population</t>
  </si>
  <si>
    <t>Opiates and non-medical use of pharmaceutical opioids</t>
  </si>
  <si>
    <t>Any opioid</t>
  </si>
  <si>
    <t>Includes heroin, pharmaceutical opioids, methadone and buprenorphine</t>
  </si>
  <si>
    <t>Includes prescription/other opioids</t>
  </si>
  <si>
    <t>Prescription opioids and/or opiates</t>
  </si>
  <si>
    <t>15-45</t>
  </si>
  <si>
    <r>
      <t xml:space="preserve">Except where the prevalence values are taken from household surveys, changes between years need to be interpreted with caution as they might reflect a change in the methodology or the data source from which the estimate was derived and therefore should not be considered as a change in prevalence.
</t>
    </r>
    <r>
      <rPr>
        <b/>
        <sz val="12"/>
        <rFont val="Frutiger 45"/>
      </rPr>
      <t xml:space="preserve">Opioids include prescription opioids, opiates (opiates include opium and heroin). Includes estimates for the countries for which a total Opioid prevalence was reported or available.
</t>
    </r>
    <r>
      <rPr>
        <sz val="12"/>
        <rFont val="Frutiger 45"/>
        <family val="2"/>
      </rPr>
      <t xml:space="preserve">
Method: HHS=Household survey, SS=School survey, A=Adjusted from other sources, I=Indirect estimates, R=Registry. 
Note: According to the Government of Canada, while prescription opioid use in Canada is reportable (see Table on Prescription opioids), other opioid use was not reportable in 2011, 2012 and 2013; data on heroin and opium use based on the household survey is not reportable and the Government of Canada does not report an estimate based on indirect methods.
UNODC Adjustments: a=adjusted for age (15-64), b=population-based/household-type study/survey, c=adjusted from a limited geographic population-based study/survey, d=adjusted from school/youth survey, e=adjusted from lifetime/monthly prevalence adjusted to annual prevalence, f=adjusted from specialized population surveys (including Rapid Assessments), g=adjusted from treatment data, h=adjusted from drug registries, i=adjusted from HIV, problematic drug users (only for heroin), j=lifetime prevalence reported, x=figure may include non-medical use of prescription opioids, z=figures may also include other non-ATS stimulants, z*= figures include the use of prescription stimulants (non-prescription/non-therapeutic use).   
The 'Method' and 'Adjustment/notes' columns have been completed only for more recent data included in previous and present issues of the World Drug Report. </t>
    </r>
  </si>
  <si>
    <t>OPIATES 
(also includes problem opiate users)</t>
  </si>
  <si>
    <t>Government report</t>
  </si>
  <si>
    <t>Problem opiate users</t>
  </si>
  <si>
    <t xml:space="preserve">Reference Group to the UN on HIV and IDU </t>
  </si>
  <si>
    <t xml:space="preserve">c, i </t>
  </si>
  <si>
    <t>Problem heroin users</t>
  </si>
  <si>
    <t>Rwanda</t>
  </si>
  <si>
    <t>Seychelles</t>
  </si>
  <si>
    <t>Somalia</t>
  </si>
  <si>
    <t>Uganda</t>
  </si>
  <si>
    <t>Opium and heroin</t>
  </si>
  <si>
    <t xml:space="preserve">15-64 </t>
  </si>
  <si>
    <t>Opium</t>
  </si>
  <si>
    <t>Libya</t>
  </si>
  <si>
    <t>Heroin</t>
  </si>
  <si>
    <t>UNAIDS/GARPR</t>
  </si>
  <si>
    <t>People who inject drugs</t>
  </si>
  <si>
    <t>Eswatini</t>
  </si>
  <si>
    <t>Zimbabwe</t>
  </si>
  <si>
    <t>Central African Republic</t>
  </si>
  <si>
    <t>Chad</t>
  </si>
  <si>
    <t>Opium, heroin, morphine</t>
  </si>
  <si>
    <t>Congo</t>
  </si>
  <si>
    <t>Ghana</t>
  </si>
  <si>
    <t>Niger</t>
  </si>
  <si>
    <t>Senegal</t>
  </si>
  <si>
    <t>d,e, x</t>
  </si>
  <si>
    <t xml:space="preserve"> </t>
  </si>
  <si>
    <t>Heroin only</t>
  </si>
  <si>
    <t>Heroin. Estimate aggregating chronic heroin users (ONDCP,RAND) and survey-based data (NSDUH).</t>
  </si>
  <si>
    <t>CICAD OAS/Government sources</t>
  </si>
  <si>
    <r>
      <t xml:space="preserve">Prevalence of heroin use among </t>
    </r>
    <r>
      <rPr>
        <i/>
        <sz val="12"/>
        <color rgb="FF000000"/>
        <rFont val="Frutiger 45"/>
      </rPr>
      <t>pasta base</t>
    </r>
    <r>
      <rPr>
        <sz val="12"/>
        <color rgb="FF000000"/>
        <rFont val="Frutiger 45"/>
        <family val="2"/>
      </rPr>
      <t xml:space="preserve"> users. Respond Driven Sampling method. </t>
    </r>
  </si>
  <si>
    <t>Academic Research</t>
  </si>
  <si>
    <t>k</t>
  </si>
  <si>
    <t>Heroin. Benchmark multipliers.</t>
  </si>
  <si>
    <t xml:space="preserve">INCSR/ Reference Group to the UN on HIV and IDU </t>
  </si>
  <si>
    <t>UNAIDS</t>
  </si>
  <si>
    <t>Academic research/ Reference Group to the UN on HI</t>
  </si>
  <si>
    <t>Heroin and opium</t>
  </si>
  <si>
    <t>UNODC (ICMP)</t>
  </si>
  <si>
    <t>a, c</t>
  </si>
  <si>
    <t>SMART</t>
  </si>
  <si>
    <t>a,c</t>
  </si>
  <si>
    <t>a,e</t>
  </si>
  <si>
    <t xml:space="preserve">R </t>
  </si>
  <si>
    <t>INCSR/ Reference Group to the UN on HIV and IDU</t>
  </si>
  <si>
    <t>Heroin, opium, opium remnant and opium residue</t>
  </si>
  <si>
    <t>Opium, opium residue and heroin</t>
  </si>
  <si>
    <t>I, b</t>
  </si>
  <si>
    <t>h,g</t>
  </si>
  <si>
    <t xml:space="preserve">h,g </t>
  </si>
  <si>
    <t>People who use opioids, according to IBBS mostly heroin and home-made opiates.</t>
  </si>
  <si>
    <t>R, HHS</t>
  </si>
  <si>
    <t>Number of persons in treatment for heroin use disorders, adjusted with a (latency) multiplier of 5.</t>
  </si>
  <si>
    <t>16-24</t>
  </si>
  <si>
    <t>Main substance of use: heroin</t>
  </si>
  <si>
    <t>Includes poppy tea</t>
  </si>
  <si>
    <t>Data refers to 2013/14. Problem opiate users.</t>
  </si>
  <si>
    <t>Liechtenstein</t>
  </si>
  <si>
    <t>Mainly opiates</t>
  </si>
  <si>
    <t>Daily heroin users</t>
  </si>
  <si>
    <t>Includes "Kompot"</t>
  </si>
  <si>
    <t>Problem opiates use</t>
  </si>
  <si>
    <t>Problem opiate users. Continental Portugal only</t>
  </si>
  <si>
    <t>Problem opioid users: heroin, methadone, buprenorhine, other opioids</t>
  </si>
  <si>
    <t>Data refers to 2016/17 for England. Problem opiate users.</t>
  </si>
  <si>
    <t>Data refers to 2014/15 for England and Wales. Problem opiate users.</t>
  </si>
  <si>
    <t>EMCDDA (EUDA)/UNODC Estimate</t>
  </si>
  <si>
    <t>Data refers to 2011/12. Problem opiate users. Includes data for 2009/10 for Wales</t>
  </si>
  <si>
    <t>Data refers to 2010/11. Problem opiate users. Includes data for 2009/10 for Wales</t>
  </si>
  <si>
    <t>Information Services Division, Scotland</t>
  </si>
  <si>
    <t>Data refers to 2012/13. Estimated as 90% of opiate and benzodiazepine users DORIS</t>
  </si>
  <si>
    <t>Data refers to 2009/10. Problem opiate users</t>
  </si>
  <si>
    <t>Govenment source</t>
  </si>
  <si>
    <t>Heroin. Values rounded to 1 decimal place.</t>
  </si>
  <si>
    <t>Heroin. Values under 'Best' rounded to 2 decimal places.</t>
  </si>
  <si>
    <t>Heroin, opium, homebake</t>
  </si>
  <si>
    <r>
      <t xml:space="preserve">Except where the prevalence values are taken from household surveys, changes between years need to be interpreted with caution as they might reflect a change in the methodology or the data source from which the estimate was derived and therefore should not be considered as a change in prevalence.
The data from household surveys and indirect estimates of problem opiate users is not comparable.
</t>
    </r>
    <r>
      <rPr>
        <sz val="12"/>
        <color rgb="FF000000"/>
        <rFont val="Frutiger 45"/>
        <family val="2"/>
      </rPr>
      <t xml:space="preserve">
Method: HHS=Household survey, SS=School survey, A=Adjusted from other sources, I=Indirect estimates, R=Registry.
Note: According to the Government of Canada, while prescription opioid use in Canada is reportable (see Table on Prescription opioids), other opioid use was not reportable in 2011, 2012 and 2013; data on heroin and opium use based on the household survey is not reportable and the Government of Canada does not report an estimate based on indirect methods.
UNODC Adjustments: a=adjusted for age (15-64), b=population-based/household-type study/survey, c=adjusted from a limited geographic population-based study/survey, d=adjusted from school/youth survey, e=adjusted from lifetime/monthly prevalence adjusted to annual prevalence, f=adjusted from specialized population surveys (including Rapid Assessments), g=adjusted from treatment data, h=adjusted from drug registries, i=adjusted from HIV, problematic drug users (only for heroin), j=lifetime prevalence reported, k=adjusted from multiple benchmark indicators, x=figure may include non-medical use of prescription opioids, z=figures may also include other non-ATS stimulants, z*= figures include the use of prescription stimulants, (non-prescription/non-therapeutic use).  
The 'Method' and 'Adjustment/notes' columns have been completed only for more recent data included in previous and present issues of the World Drug Report. </t>
    </r>
  </si>
  <si>
    <t>PRESCRIPTION OPIOIDS</t>
  </si>
  <si>
    <t>Tramadol</t>
  </si>
  <si>
    <t>Includes Tramadol</t>
  </si>
  <si>
    <t>*</t>
  </si>
  <si>
    <t xml:space="preserve">HHS, I x </t>
  </si>
  <si>
    <t>Pain relievers. Estimates for age group 15-64 were derived on the basis of published prevalence for the age group 12+ and rates between age groups 12+ and 15-64 obtained from a published data set dated 2021.</t>
  </si>
  <si>
    <t>Pain relievers. Estimates for age group 15-64 were derived on the basis of published prevalence for the age group 12+ and rates obtained from a published data set dated 2021.</t>
  </si>
  <si>
    <t>Misuse of prescription pain relievers. Estimates by sex were derived on the basis of a published data set dated 2021.</t>
  </si>
  <si>
    <t>Non-medical use of pharmaceutical opioids</t>
  </si>
  <si>
    <t>ARQ/ UNODC Estimate</t>
  </si>
  <si>
    <t>UNODC Etimate</t>
  </si>
  <si>
    <t>SCAD/Report - Academic Research</t>
  </si>
  <si>
    <t>Estimate for 13 provinces. Tramadol only.</t>
  </si>
  <si>
    <t>20 of 34 provinces. Tramadol.</t>
  </si>
  <si>
    <t>UNODC/ Govt. source</t>
  </si>
  <si>
    <t>Methadone</t>
  </si>
  <si>
    <t>HHS and indirect</t>
  </si>
  <si>
    <t>Pharmaceutical opioids</t>
  </si>
  <si>
    <t>Fentanyl</t>
  </si>
  <si>
    <t>Unspecified opiates other than heroin</t>
  </si>
  <si>
    <t>Data refers to 2013/14</t>
  </si>
  <si>
    <t>Pharmaceutical opioids. Survey conducted between February and March 2020.</t>
  </si>
  <si>
    <t>Data refers to 2019/20 and to heroin use. Office for National Statistics (ONS)</t>
  </si>
  <si>
    <t>Data refers to 2018/19. Methadone. Crime Survey for England and Wales.</t>
  </si>
  <si>
    <t>Data refers to 2017/18. Methadone. Crime Survey for England and Wales.</t>
  </si>
  <si>
    <t>Data refers to 2016/17. Methadone. Crime Survey for England and Wales.</t>
  </si>
  <si>
    <t>Data refers to 2015/16. Methadone.</t>
  </si>
  <si>
    <t>Data refers to 2014/15. Crime Survey for England and Wales</t>
  </si>
  <si>
    <t>Data refers to 2014/15. Methadone/Physeptone.</t>
  </si>
  <si>
    <r>
      <t xml:space="preserve">Except where the prevalence values are taken from household surveys, changes between years need to be interpreted with caution as they might reflect a change in the methodology or the data source from which the estimate was derived and therefore should not be considered as a change in prevalence.
</t>
    </r>
    <r>
      <rPr>
        <b/>
        <sz val="12"/>
        <color rgb="FF000000"/>
        <rFont val="Frutiger 45"/>
      </rPr>
      <t xml:space="preserve">Opioids include prescription opioids and opiates (opiates include opium and heroin).
</t>
    </r>
    <r>
      <rPr>
        <sz val="12"/>
        <color rgb="FF000000"/>
        <rFont val="Frutiger 45"/>
        <family val="2"/>
      </rPr>
      <t xml:space="preserve">
Method: HHS=Household survey, SS=School survey, A=Adjusted from other sources, I=Indirect estimates, R=Registry.
* According to the Government of Canada, while opioid use in Canada is reportable, other opioid use was not reportable in 2011, 2012 and 2013; data on heroin and opium use based on the household survey is not reportable and the Government of Canada does not report an estimate based on indirect methods.
UNODC Adjustments: a=adjusted for age (15-64), b=population-based/household-type study/survey, c=adjusted from a limited geographic population-based study/survey, d=adjusted from school/youth survey, e=adjusted from lifetime/monthly prevalence adjusted to annual prevalence, f=adjusted from specialized population surveys (including Rapid Assessments), g=adjusted from treatment data, h=adjusted from drug registries, i=adjusted from HIV, problematic drug users (only for heroin), j=lifetime prevalence reported, x=figure may include non-medical use of prescription opioids, z=figures may also include other non-ATS stimulants, z*= figures include the use of prescription stimulants (non-prescription/non-therapeutic use).  
The 'Method' and 'Adjustment/notes' columns have been completed only for more recent data included in previous and present issues of the World Drug Report. </t>
    </r>
  </si>
  <si>
    <t>TRANQUILLIZERS and SEDATIVES
(includes barbiturates and benzodiazepines)</t>
  </si>
  <si>
    <t>Annual prevalence of Use as a percentage of the population aged 15-64 (unless otherwise stated)</t>
  </si>
  <si>
    <t>Total</t>
  </si>
  <si>
    <t>12 - 64</t>
  </si>
  <si>
    <t>Benzodiazepines and GHB without prescription</t>
  </si>
  <si>
    <t>12 -70</t>
  </si>
  <si>
    <t>Sedatives/anti-anxiety medication use for reasons other than recommended</t>
  </si>
  <si>
    <t>Benzodiazepines</t>
  </si>
  <si>
    <t>Includes benzodiazepines and barbiturates. Not directly comparable to previous years.</t>
  </si>
  <si>
    <t>Tranquillizers</t>
  </si>
  <si>
    <t>ARQ/UNODC</t>
  </si>
  <si>
    <t>Includes Benzodiazepines and barbiturates.</t>
  </si>
  <si>
    <t>Past month use adjusted for age group. As past month use was relatively high in relation to lifetime prevalence, it was not further adjusted.</t>
  </si>
  <si>
    <t>Benzodiazepines and barbiturates</t>
  </si>
  <si>
    <t>20 of 34 provinces. Includes benzodiazepines and barbiturates.</t>
  </si>
  <si>
    <t>15-60</t>
  </si>
  <si>
    <t>Tranquilizers</t>
  </si>
  <si>
    <t>15-55</t>
  </si>
  <si>
    <t>Data for 2014/15.</t>
  </si>
  <si>
    <t>GHB/GBL</t>
  </si>
  <si>
    <t>Data refers to 2016/17.</t>
  </si>
  <si>
    <t>Includes medical and non-medical use. Not comparable with data for later years</t>
  </si>
  <si>
    <t>Non-medical use of pharmaceutical sedatives and tranquillizers</t>
  </si>
  <si>
    <t>Data refer to 2017/18.</t>
  </si>
  <si>
    <t>Data refer to 2016/17.</t>
  </si>
  <si>
    <t>Data refer to 2015/16.</t>
  </si>
  <si>
    <t xml:space="preserve">Data refer to 2014/15. All Ireland Drug Prevalence Survey 2014/15. </t>
  </si>
  <si>
    <t>Includes prescription sedatives, kava, and GHB</t>
  </si>
  <si>
    <r>
      <t xml:space="preserve">Except where the prevalence values are taken from household surveys, changes between years need to be interpreted with caution as they might reflect a change in the methodology or the data source from which the estimate was derived and therefore should not be considered as a change in prevalence.
</t>
    </r>
    <r>
      <rPr>
        <sz val="12"/>
        <color rgb="FF000000"/>
        <rFont val="Frutiger 45"/>
      </rPr>
      <t xml:space="preserve">
Method: HHS=Household survey, I=Indirect estimates</t>
    </r>
  </si>
  <si>
    <t>NEW PSYCHOACTIVE SUBSTANCES (NPS)</t>
  </si>
  <si>
    <t>Prevalence of Use as a percentage of the population aged 15-64 (unless otherwise stated)</t>
  </si>
  <si>
    <t>NPS Type</t>
  </si>
  <si>
    <t>Substance</t>
  </si>
  <si>
    <t>Lifetime</t>
  </si>
  <si>
    <t>Past year</t>
  </si>
  <si>
    <t>Past Month</t>
  </si>
  <si>
    <t>Synthetic cannabinoids</t>
  </si>
  <si>
    <t>ARQ/Encuesta Nacional de Consumo de Drogas, Alcohol y Tabaco, 2016</t>
  </si>
  <si>
    <t>19-30</t>
  </si>
  <si>
    <t>Monitoring the Future 2019</t>
  </si>
  <si>
    <t>19-28</t>
  </si>
  <si>
    <t>Monitoring the Future 2011</t>
  </si>
  <si>
    <t xml:space="preserve">Central America </t>
  </si>
  <si>
    <t>Monitoring the Future 2018</t>
  </si>
  <si>
    <t>Monitoring the Future 2016</t>
  </si>
  <si>
    <t>Monitoring the Future 2015</t>
  </si>
  <si>
    <t>ARQ; Study data were collected from November 2022 to May 2023</t>
  </si>
  <si>
    <t xml:space="preserve">ARQ / Décimo Tercer Estudio Nacional de Drogasen Población General de Chile, 2018
</t>
  </si>
  <si>
    <t>ARQ / Décimo Segundo Estudio Nacional de Drogas en Población General de Chile, 2016 and 2018</t>
  </si>
  <si>
    <t>ARQ / Décimo Primer Estudio Nacional de Drogas en Población General de Chile, 2014 and 2018</t>
  </si>
  <si>
    <t xml:space="preserve">South-Eastern Europe </t>
  </si>
  <si>
    <t xml:space="preserve">Synthetic cannabinoids. Following their international control in 2015, the synthetic cannabinoids JWH-018 and AM-2201 no longer belong to the category of new psychoactive substances. However, in the context of prevalence of use surveys, it is not possible to differentiate between the synthetic cannabinoids which are under international control and those which are not under international control.  </t>
  </si>
  <si>
    <t>2010-11</t>
  </si>
  <si>
    <t>2012 National Report to the EMCDDA (EUDA)</t>
  </si>
  <si>
    <t>ARQ**. Data refer to use of "spice"</t>
  </si>
  <si>
    <t>ARQ/Gov.</t>
  </si>
  <si>
    <t>2013 National Report to the EMCDDA (EUDA)</t>
  </si>
  <si>
    <t>2011-12</t>
  </si>
  <si>
    <t>Drug Misuse: Findings from the 2011/2012 British Crime Survey for England and Wales</t>
  </si>
  <si>
    <t>Drug Misuse Declared: Findings from the 2010/2011 British Crime Survey England and Wales</t>
  </si>
  <si>
    <t xml:space="preserve">2016 National Drug Strategy Household Survey </t>
  </si>
  <si>
    <t>Ketamine</t>
  </si>
  <si>
    <t>2019</t>
  </si>
  <si>
    <t>2017</t>
  </si>
  <si>
    <t>Monitoring the Future 2017</t>
  </si>
  <si>
    <t>2012</t>
  </si>
  <si>
    <t>Estudio Nacional sobre Consumo de Drogas en Población Estudiantil Universitaria de El Salvador, 2014</t>
  </si>
  <si>
    <t>2016</t>
  </si>
  <si>
    <t>CICAD/Gov.</t>
  </si>
  <si>
    <t>2014</t>
  </si>
  <si>
    <t>Psicoactivas en Argentina 2004 - 2010</t>
  </si>
  <si>
    <t>2018</t>
  </si>
  <si>
    <t>ARQ / Décimo Primer Estudio Nacional de Drogas en Población General 2016</t>
  </si>
  <si>
    <t>ARQ / Décimo Primer Estudio Nacional de Drogas en Población General 2014</t>
  </si>
  <si>
    <t>Estudio Nacional de Consumo de Sustancias Psicoactivas en Colombia 2013</t>
  </si>
  <si>
    <t>Gov.</t>
  </si>
  <si>
    <t>Studiul naţional în populaţia generală privind consumul de tutun, alcool şi droguri GPS – 2013</t>
  </si>
  <si>
    <t>16-44</t>
  </si>
  <si>
    <t xml:space="preserve">2014 National Report to the EMCDDA (EUDA) </t>
  </si>
  <si>
    <t>ARQ/Government source. General Population Survey on Alcohol and Drugs in Spain (EDADES) 2017</t>
  </si>
  <si>
    <t>2015</t>
  </si>
  <si>
    <t>2013</t>
  </si>
  <si>
    <t>ARQ/Office for National Statistics (ONS)</t>
  </si>
  <si>
    <t>2018-19</t>
  </si>
  <si>
    <t>Drug Misuse: Findings from the 2016/2017 Crime Survey for England and Wales/Gov.</t>
  </si>
  <si>
    <t>2017-18</t>
  </si>
  <si>
    <t>2016-17</t>
  </si>
  <si>
    <t>2015-16</t>
  </si>
  <si>
    <t>2014-15</t>
  </si>
  <si>
    <t>ARQ/Drug Misuse: Findings from the 2014/2015 British Crime Survey for England and Wales</t>
  </si>
  <si>
    <t>2013-14</t>
  </si>
  <si>
    <t>Drug Misuse: Findings from the 2013/2014 British Crime Survey for England and Wales</t>
  </si>
  <si>
    <t>2012-13</t>
  </si>
  <si>
    <t>Drug Misuse: Findings from the 2012/2013 British Crime Survey for England and Wales</t>
  </si>
  <si>
    <t>2009-10</t>
  </si>
  <si>
    <t>Drug Misuse Declared: Findings from the 2010/11 British Crime Survey England and Wales</t>
  </si>
  <si>
    <t>2008-09</t>
  </si>
  <si>
    <t>2007-08</t>
  </si>
  <si>
    <t>United Kingdom (England)</t>
  </si>
  <si>
    <t>National report to EMCDDA (EUDA)</t>
  </si>
  <si>
    <t>16+</t>
  </si>
  <si>
    <t>Scottish Crime and Justice Survey 2014-15</t>
  </si>
  <si>
    <t>United Kingdom</t>
  </si>
  <si>
    <t>2006-07</t>
  </si>
  <si>
    <t>Miscellaneous NPS</t>
  </si>
  <si>
    <t>Pregabalin</t>
  </si>
  <si>
    <t>Kratom</t>
  </si>
  <si>
    <t>Synthetic cathinones</t>
  </si>
  <si>
    <t>Mephedrone</t>
  </si>
  <si>
    <t>NPS</t>
  </si>
  <si>
    <t>Other NPS (except ketamine and SCRA)</t>
  </si>
  <si>
    <t>HHS, ARQ, published study and UNODC Estimate.</t>
  </si>
  <si>
    <t>Government source (published HHS)</t>
  </si>
  <si>
    <t>Galaxy</t>
  </si>
  <si>
    <t>Other NPS</t>
  </si>
  <si>
    <t>Gov./ Health Interview Survey Belgium, 2018</t>
  </si>
  <si>
    <t>15-34</t>
  </si>
  <si>
    <t>Gov./ Health Interview Survey Belgium, 2013</t>
  </si>
  <si>
    <t>Other NPS (except ketamine and "magic mushrooms")</t>
  </si>
  <si>
    <t>MDPV</t>
  </si>
  <si>
    <t>15-69</t>
  </si>
  <si>
    <t>Synthetic cathinones and other stimulant NPS</t>
  </si>
  <si>
    <t>ARQ/Gov./ Drug Misuse: Findings from the 2016/2017 Crime Survey for England and Wales</t>
  </si>
  <si>
    <t>Drug Prevalence Survey 2014/15: Regional Drug Task Force (Ireland) and Health &amp; Social Care Trust (Northern Ireland) Results</t>
  </si>
  <si>
    <t>Ireland and Northern Ireland</t>
  </si>
  <si>
    <t>Drug Prevalence Survey 2010/11: Regional Drug Task Force (Ireland) and Health &amp; Social Care Trust (Northern Ireland) Results</t>
  </si>
  <si>
    <t>3-MMC</t>
  </si>
  <si>
    <t>4-FA</t>
  </si>
  <si>
    <t>ARQ/Norwegian Institute of Public Health</t>
  </si>
  <si>
    <t>Portugal Country Drug Report 2017, ECMDDA</t>
  </si>
  <si>
    <t>Portugal Country Drug Report 2017, EMCDDA (EUDA)</t>
  </si>
  <si>
    <t>Mephedrone (4-methylmethcathinone, 4-MMC)</t>
  </si>
  <si>
    <t>Govenment source/Estadísticas 2019: Alcohol, tabaco y drogas ilegales en España</t>
  </si>
  <si>
    <t>Gov./Estadísticas 2017: Alcohol, tabaco y drogas ilegales en España</t>
  </si>
  <si>
    <t>Gov./Informe 2015: Alcohol, Tabaco y drogas ilegales en España</t>
  </si>
  <si>
    <t>Piperazines</t>
  </si>
  <si>
    <t>Drug Misuse: Findings from the 2018/2019 Crime Survey for England and Wales</t>
  </si>
  <si>
    <t>Drug Misuse: Findings from the 2017/2018 Crime Survey for England and Wales</t>
  </si>
  <si>
    <t>Drug Misuse: Findings from the 2016/2017 Crime Survey for England and Wales</t>
  </si>
  <si>
    <t>Gov./Drug Misuse: Findings from the 2015/2016 Crime Survey for England and Wales</t>
  </si>
  <si>
    <t>BZP</t>
  </si>
  <si>
    <t>2016 National Drug Strategy Household Survey not relayed in the latest ARQ.</t>
  </si>
  <si>
    <t>Plant-based substances</t>
  </si>
  <si>
    <t>Khat</t>
  </si>
  <si>
    <t>Salvia Divinorum</t>
  </si>
  <si>
    <t>Mitragyna speciosa (kratom)-leaves</t>
  </si>
  <si>
    <t>Mitragyna speciosa (kratom)-liquid</t>
  </si>
  <si>
    <t>Illegal use of drugs and alcohol in Israel 2009: Seventh national epidemiological survey</t>
  </si>
  <si>
    <t>Yemen</t>
  </si>
  <si>
    <t>Towards Qat Demand Reduction (World Bank)</t>
  </si>
  <si>
    <t>"magic mushrooms"</t>
  </si>
  <si>
    <t>Drug Misuse: Findings from the 2015/2016 Crime Survey for England and Wales</t>
  </si>
  <si>
    <t>Drug Misuse: Findings from the 2013/2014 Crime Survey for England and Wales</t>
  </si>
  <si>
    <t>Drug Misuse: Findings from the 2012/2013 Crime Survey for England and 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</si>
</sst>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_-* #,##0.00_-;\-* #,##0.00_-;_-* &quot;-&quot;??_-;_-@_-"/>
    <numFmt numFmtId="165" formatCode="_([$€-2]* #,##0.00_);_([$€-2]* \(#,##0.00\);_([$€-2]* &quot;-&quot;??_)"/>
    <numFmt numFmtId="166" formatCode="_-* #,##0_-;\-* #,##0_-;_-* &quot;-&quot;??_-;_-@_-"/>
    <numFmt numFmtId="167" formatCode="#,##0\ &quot;Pts&quot;;\-#,##0\ &quot;Pts&quot;"/>
    <numFmt numFmtId="168" formatCode="mmmm\ d\,\ yyyy"/>
    <numFmt numFmtId="169" formatCode="0_)"/>
  </numFmts>
  <fonts count="114">
    <font>
      <sz val="12"/>
      <color theme="1"/>
      <name val="Times New Roman"/>
      <family val="2"/>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2"/>
      <color indexed="8"/>
      <name val="Times New Roman"/>
      <family val="2"/>
    </font>
    <font>
      <b/>
      <sz val="12"/>
      <name val="Frutiger 45"/>
      <family val="2"/>
    </font>
    <font>
      <b/>
      <sz val="16"/>
      <name val="Frutiger 45"/>
      <family val="2"/>
    </font>
    <font>
      <sz val="12"/>
      <name val="Frutiger 45"/>
      <family val="2"/>
    </font>
    <font>
      <sz val="12"/>
      <name val="Frutiger 45"/>
    </font>
    <font>
      <b/>
      <sz val="12"/>
      <name val="Frutiger 45"/>
    </font>
    <font>
      <sz val="10"/>
      <name val="Arial"/>
      <family val="2"/>
    </font>
    <font>
      <b/>
      <sz val="10"/>
      <name val="Arial"/>
      <family val="2"/>
    </font>
    <font>
      <sz val="10"/>
      <name val="Arial"/>
      <family val="2"/>
    </font>
    <font>
      <sz val="12"/>
      <name val="Times New Roman"/>
      <family val="1"/>
    </font>
    <font>
      <sz val="12"/>
      <name val="Times New Roman"/>
      <family val="1"/>
    </font>
    <font>
      <b/>
      <sz val="18"/>
      <color indexed="56"/>
      <name val="Cambri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5"/>
      <color indexed="56"/>
      <name val="Calibri"/>
      <family val="2"/>
    </font>
    <font>
      <b/>
      <sz val="13"/>
      <color indexed="56"/>
      <name val="Calibri"/>
      <family val="2"/>
    </font>
    <font>
      <b/>
      <sz val="11"/>
      <color indexed="56"/>
      <name val="Calibri"/>
      <family val="2"/>
    </font>
    <font>
      <b/>
      <sz val="11"/>
      <color indexed="63"/>
      <name val="Calibri"/>
      <family val="2"/>
    </font>
    <font>
      <b/>
      <sz val="11"/>
      <color indexed="8"/>
      <name val="Calibri"/>
      <family val="2"/>
    </font>
    <font>
      <sz val="12"/>
      <color indexed="8"/>
      <name val="Times New Roman"/>
      <family val="2"/>
    </font>
    <font>
      <sz val="12"/>
      <color indexed="9"/>
      <name val="Times New Roman"/>
      <family val="2"/>
    </font>
    <font>
      <sz val="12"/>
      <color indexed="20"/>
      <name val="Times New Roman"/>
      <family val="2"/>
    </font>
    <font>
      <b/>
      <sz val="12"/>
      <color indexed="52"/>
      <name val="Times New Roman"/>
      <family val="2"/>
    </font>
    <font>
      <b/>
      <sz val="12"/>
      <color indexed="9"/>
      <name val="Times New Roman"/>
      <family val="2"/>
    </font>
    <font>
      <i/>
      <sz val="12"/>
      <color indexed="23"/>
      <name val="Times New Roman"/>
      <family val="2"/>
    </font>
    <font>
      <sz val="12"/>
      <color indexed="17"/>
      <name val="Times New Roman"/>
      <family val="2"/>
    </font>
    <font>
      <b/>
      <sz val="15"/>
      <color indexed="56"/>
      <name val="Times New Roman"/>
      <family val="2"/>
    </font>
    <font>
      <b/>
      <sz val="13"/>
      <color indexed="56"/>
      <name val="Times New Roman"/>
      <family val="2"/>
    </font>
    <font>
      <b/>
      <sz val="11"/>
      <color indexed="56"/>
      <name val="Times New Roman"/>
      <family val="2"/>
    </font>
    <font>
      <sz val="12"/>
      <color indexed="62"/>
      <name val="Times New Roman"/>
      <family val="2"/>
    </font>
    <font>
      <sz val="12"/>
      <color indexed="52"/>
      <name val="Times New Roman"/>
      <family val="2"/>
    </font>
    <font>
      <sz val="12"/>
      <color indexed="60"/>
      <name val="Times New Roman"/>
      <family val="2"/>
    </font>
    <font>
      <b/>
      <sz val="12"/>
      <color indexed="63"/>
      <name val="Times New Roman"/>
      <family val="2"/>
    </font>
    <font>
      <b/>
      <sz val="12"/>
      <color indexed="8"/>
      <name val="Times New Roman"/>
      <family val="2"/>
    </font>
    <font>
      <sz val="12"/>
      <color indexed="10"/>
      <name val="Times New Roman"/>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52"/>
      <name val="Calibri"/>
      <family val="2"/>
    </font>
    <font>
      <sz val="11"/>
      <color indexed="60"/>
      <name val="Calibri"/>
      <family val="2"/>
    </font>
    <font>
      <sz val="11"/>
      <color indexed="10"/>
      <name val="Calibri"/>
      <family val="2"/>
    </font>
    <font>
      <b/>
      <sz val="20"/>
      <color indexed="56"/>
      <name val="Calibri"/>
      <family val="2"/>
    </font>
    <font>
      <sz val="12"/>
      <color indexed="8"/>
      <name val="Times New Roman"/>
      <family val="2"/>
    </font>
    <font>
      <b/>
      <sz val="20"/>
      <color indexed="56"/>
      <name val="Calibri"/>
      <family val="2"/>
    </font>
    <font>
      <sz val="10"/>
      <name val="Arial"/>
      <family val="2"/>
    </font>
    <font>
      <u/>
      <sz val="10"/>
      <color indexed="12"/>
      <name val="Arial"/>
      <family val="2"/>
    </font>
    <font>
      <b/>
      <sz val="20"/>
      <color indexed="56"/>
      <name val="Calibri"/>
      <family val="1"/>
      <charset val="136"/>
    </font>
    <font>
      <sz val="10"/>
      <name val="Arial"/>
      <family val="2"/>
      <charset val="238"/>
    </font>
    <font>
      <b/>
      <sz val="20"/>
      <color indexed="56"/>
      <name val="Calibri"/>
      <family val="3"/>
      <charset val="129"/>
    </font>
    <font>
      <b/>
      <sz val="18"/>
      <color indexed="62"/>
      <name val="Cambria"/>
      <family val="2"/>
    </font>
    <font>
      <sz val="11"/>
      <name val="Arial"/>
      <family val="2"/>
    </font>
    <font>
      <b/>
      <sz val="12"/>
      <name val="Helvetica"/>
      <family val="2"/>
    </font>
    <font>
      <sz val="10"/>
      <name val="Geneva"/>
      <family val="2"/>
    </font>
    <font>
      <i/>
      <sz val="10"/>
      <name val="Arial"/>
      <family val="2"/>
      <charset val="204"/>
    </font>
    <font>
      <sz val="9"/>
      <name val="Helvetica"/>
      <family val="2"/>
    </font>
    <font>
      <b/>
      <i/>
      <sz val="9"/>
      <name val="Helvetica"/>
      <family val="2"/>
    </font>
    <font>
      <sz val="10"/>
      <name val="Arial"/>
      <family val="2"/>
      <charset val="204"/>
    </font>
    <font>
      <sz val="10"/>
      <color indexed="8"/>
      <name val="Tahoma"/>
      <family val="2"/>
    </font>
    <font>
      <sz val="10"/>
      <name val="Geneva"/>
      <family val="2"/>
    </font>
    <font>
      <sz val="12"/>
      <name val="Times New Roman"/>
      <family val="1"/>
    </font>
    <font>
      <b/>
      <sz val="16"/>
      <name val="Frutiger 45"/>
    </font>
    <font>
      <b/>
      <i/>
      <sz val="16"/>
      <name val="Frutiger 45"/>
    </font>
    <font>
      <sz val="10"/>
      <name val="Geneva"/>
      <family val="2"/>
    </font>
    <font>
      <sz val="8"/>
      <name val="Times New Roman"/>
      <family val="2"/>
    </font>
    <font>
      <sz val="12"/>
      <color theme="1"/>
      <name val="Times New Roman"/>
      <family val="2"/>
    </font>
    <font>
      <sz val="11"/>
      <color theme="1"/>
      <name val="Calibri"/>
      <family val="2"/>
      <scheme val="minor"/>
    </font>
    <font>
      <sz val="12"/>
      <color theme="0"/>
      <name val="Times New Roman"/>
      <family val="2"/>
    </font>
    <font>
      <sz val="11"/>
      <color theme="0"/>
      <name val="Calibri"/>
      <family val="2"/>
      <scheme val="minor"/>
    </font>
    <font>
      <sz val="11"/>
      <color rgb="FF9C0006"/>
      <name val="Calibri"/>
      <family val="2"/>
      <scheme val="minor"/>
    </font>
    <font>
      <sz val="10"/>
      <color theme="1"/>
      <name val="Frutiger LT Std 57 Cn"/>
      <family val="2"/>
    </font>
    <font>
      <b/>
      <sz val="11"/>
      <color rgb="FFFA7D00"/>
      <name val="Calibri"/>
      <family val="2"/>
      <scheme val="minor"/>
    </font>
    <font>
      <sz val="11"/>
      <color rgb="FFFA7D00"/>
      <name val="Calibri"/>
      <family val="2"/>
      <scheme val="minor"/>
    </font>
    <font>
      <b/>
      <sz val="11"/>
      <color theme="0"/>
      <name val="Calibri"/>
      <family val="2"/>
      <scheme val="minor"/>
    </font>
    <font>
      <i/>
      <sz val="12"/>
      <color rgb="FF7F7F7F"/>
      <name val="Times New Roman"/>
      <family val="2"/>
    </font>
    <font>
      <i/>
      <sz val="11"/>
      <color rgb="FF7F7F7F"/>
      <name val="Calibri"/>
      <family val="2"/>
      <scheme val="minor"/>
    </font>
    <font>
      <sz val="12"/>
      <color rgb="FF006100"/>
      <name val="Times New Roman"/>
      <family val="2"/>
    </font>
    <font>
      <sz val="11"/>
      <color rgb="FF006100"/>
      <name val="Calibri"/>
      <family val="2"/>
      <scheme val="minor"/>
    </font>
    <font>
      <b/>
      <sz val="20"/>
      <color indexed="56"/>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2"/>
      <color theme="10"/>
      <name val="Times New Roman"/>
      <family val="1"/>
    </font>
    <font>
      <u/>
      <sz val="11"/>
      <color theme="10"/>
      <name val="Calibri"/>
      <family val="2"/>
    </font>
    <font>
      <u/>
      <sz val="11"/>
      <color theme="10"/>
      <name val="Calibri"/>
      <family val="2"/>
      <scheme val="minor"/>
    </font>
    <font>
      <sz val="11"/>
      <color rgb="FF3F3F76"/>
      <name val="Calibri"/>
      <family val="2"/>
      <scheme val="minor"/>
    </font>
    <font>
      <sz val="11"/>
      <color theme="1"/>
      <name val="Calibri"/>
      <family val="2"/>
      <charset val="238"/>
      <scheme val="minor"/>
    </font>
    <font>
      <sz val="11"/>
      <color rgb="FF9C6500"/>
      <name val="Calibri"/>
      <family val="2"/>
      <scheme val="minor"/>
    </font>
    <font>
      <sz val="11"/>
      <color indexed="8"/>
      <name val="Calibri"/>
      <family val="2"/>
      <scheme val="minor"/>
    </font>
    <font>
      <sz val="8"/>
      <color theme="1"/>
      <name val="Calibri"/>
      <family val="2"/>
      <scheme val="minor"/>
    </font>
    <font>
      <b/>
      <sz val="11"/>
      <color rgb="FF3F3F3F"/>
      <name val="Calibri"/>
      <family val="2"/>
      <scheme val="minor"/>
    </font>
    <font>
      <sz val="11"/>
      <color rgb="FFFF0000"/>
      <name val="Calibri"/>
      <family val="2"/>
      <scheme val="minor"/>
    </font>
    <font>
      <b/>
      <sz val="18"/>
      <color theme="3"/>
      <name val="Cambria"/>
      <family val="2"/>
      <scheme val="major"/>
    </font>
    <font>
      <b/>
      <sz val="11"/>
      <color theme="1"/>
      <name val="Calibri"/>
      <family val="2"/>
      <scheme val="minor"/>
    </font>
    <font>
      <sz val="12"/>
      <color rgb="FFFF0000"/>
      <name val="Times New Roman"/>
      <family val="2"/>
    </font>
    <font>
      <sz val="16"/>
      <color theme="1"/>
      <name val="Times New Roman"/>
      <family val="2"/>
    </font>
    <font>
      <sz val="12"/>
      <color rgb="FF000000"/>
      <name val="Frutiger 45"/>
      <family val="2"/>
    </font>
    <font>
      <sz val="12"/>
      <color theme="1"/>
      <name val="Frutiger 45"/>
      <family val="2"/>
    </font>
    <font>
      <sz val="12"/>
      <color rgb="FF000000"/>
      <name val="Times New Roman"/>
      <family val="2"/>
    </font>
    <font>
      <b/>
      <sz val="16"/>
      <color rgb="FF000000"/>
      <name val="Frutiger 45"/>
      <family val="2"/>
    </font>
    <font>
      <b/>
      <sz val="12"/>
      <color rgb="FF000000"/>
      <name val="Frutiger 45"/>
    </font>
    <font>
      <b/>
      <sz val="12"/>
      <color rgb="FF000000"/>
      <name val="Frutiger 45"/>
      <family val="2"/>
    </font>
    <font>
      <i/>
      <sz val="12"/>
      <color rgb="FF000000"/>
      <name val="Frutiger 45"/>
    </font>
    <font>
      <sz val="12"/>
      <color rgb="FF000000"/>
      <name val="Frutiger 45"/>
    </font>
    <font>
      <sz val="10"/>
      <color rgb="FF000000"/>
      <name val="Calibri"/>
      <family val="2"/>
      <scheme val="minor"/>
    </font>
    <font>
      <b/>
      <sz val="14"/>
      <color rgb="FF000000"/>
      <name val="Frutiger 45"/>
      <family val="2"/>
    </font>
    <font>
      <b/>
      <sz val="18"/>
      <color rgb="FF000000"/>
      <name val="Frutiger 45"/>
    </font>
  </fonts>
  <fills count="6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indexed="46"/>
        <bgColor indexed="22"/>
      </patternFill>
    </fill>
    <fill>
      <patternFill patternType="solid">
        <fgColor indexed="31"/>
        <bgColor indexed="64"/>
      </patternFill>
    </fill>
    <fill>
      <patternFill patternType="solid">
        <fgColor indexed="31"/>
        <bgColor indexed="22"/>
      </patternFill>
    </fill>
    <fill>
      <patternFill patternType="solid">
        <fgColor indexed="43"/>
      </patternFill>
    </fill>
    <fill>
      <patternFill patternType="solid">
        <fgColor indexed="9"/>
        <bgColor indexed="64"/>
      </patternFill>
    </fill>
    <fill>
      <patternFill patternType="solid">
        <fgColor indexed="22"/>
        <bgColor indexed="64"/>
      </patternFill>
    </fill>
    <fill>
      <patternFill patternType="solid">
        <fgColor indexed="5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rgb="FFC6EFCE"/>
      </patternFill>
    </fill>
    <fill>
      <patternFill patternType="solid">
        <fgColor rgb="FFFFCC99"/>
      </patternFill>
    </fill>
    <fill>
      <patternFill patternType="solid">
        <fgColor rgb="FFFFEB9C"/>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s>
  <borders count="56">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style="thin">
        <color indexed="22"/>
      </left>
      <right style="thin">
        <color indexed="22"/>
      </right>
      <top style="thin">
        <color indexed="22"/>
      </top>
      <bottom style="thin">
        <color indexed="22"/>
      </bottom>
      <diagonal/>
    </border>
    <border>
      <left/>
      <right/>
      <top style="thin">
        <color indexed="64"/>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hair">
        <color indexed="9"/>
      </left>
      <right style="hair">
        <color indexed="9"/>
      </right>
      <top style="hair">
        <color indexed="9"/>
      </top>
      <bottom style="hair">
        <color indexed="9"/>
      </bottom>
      <diagonal/>
    </border>
    <border>
      <left style="hair">
        <color indexed="9"/>
      </left>
      <right/>
      <top style="hair">
        <color indexed="9"/>
      </top>
      <bottom/>
      <diagonal/>
    </border>
    <border>
      <left style="hair">
        <color indexed="9"/>
      </left>
      <right/>
      <top/>
      <bottom/>
      <diagonal/>
    </border>
    <border>
      <left/>
      <right style="hair">
        <color indexed="9"/>
      </right>
      <top/>
      <bottom/>
      <diagonal/>
    </border>
    <border>
      <left style="hair">
        <color indexed="9"/>
      </left>
      <right/>
      <top/>
      <bottom style="hair">
        <color indexed="9"/>
      </bottom>
      <diagonal/>
    </border>
    <border>
      <left/>
      <right/>
      <top/>
      <bottom style="hair">
        <color indexed="9"/>
      </bottom>
      <diagonal/>
    </border>
    <border>
      <left style="thin">
        <color indexed="9"/>
      </left>
      <right/>
      <top style="hair">
        <color indexed="9"/>
      </top>
      <bottom/>
      <diagonal/>
    </border>
    <border>
      <left/>
      <right/>
      <top style="hair">
        <color indexed="9"/>
      </top>
      <bottom/>
      <diagonal/>
    </border>
    <border>
      <left style="thin">
        <color indexed="9"/>
      </left>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hair">
        <color theme="0"/>
      </left>
      <right style="hair">
        <color theme="0"/>
      </right>
      <top/>
      <bottom style="hair">
        <color theme="0"/>
      </bottom>
      <diagonal/>
    </border>
    <border>
      <left style="hair">
        <color theme="0"/>
      </left>
      <right style="hair">
        <color theme="0"/>
      </right>
      <top/>
      <bottom style="hair">
        <color rgb="FFFFFFFF"/>
      </bottom>
      <diagonal/>
    </border>
    <border>
      <left style="hair">
        <color theme="0"/>
      </left>
      <right style="hair">
        <color theme="0"/>
      </right>
      <top style="hair">
        <color theme="0"/>
      </top>
      <bottom style="hair">
        <color theme="0"/>
      </bottom>
      <diagonal/>
    </border>
    <border>
      <left style="hair">
        <color theme="0"/>
      </left>
      <right style="hair">
        <color theme="0"/>
      </right>
      <top style="hair">
        <color rgb="FFFFFFFF"/>
      </top>
      <bottom style="hair">
        <color rgb="FFFFFFFF"/>
      </bottom>
      <diagonal/>
    </border>
    <border>
      <left style="hair">
        <color theme="0"/>
      </left>
      <right style="hair">
        <color theme="0"/>
      </right>
      <top style="hair">
        <color rgb="FFFFFFFF"/>
      </top>
      <bottom/>
      <diagonal/>
    </border>
    <border>
      <left/>
      <right style="thin">
        <color indexed="64"/>
      </right>
      <top/>
      <bottom/>
      <diagonal/>
    </border>
    <border>
      <left style="hair">
        <color indexed="9"/>
      </left>
      <right style="hair">
        <color indexed="9"/>
      </right>
      <top style="hair">
        <color indexed="9"/>
      </top>
      <bottom/>
      <diagonal/>
    </border>
    <border>
      <left style="hair">
        <color indexed="9"/>
      </left>
      <right style="hair">
        <color indexed="9"/>
      </right>
      <top/>
      <bottom style="hair">
        <color indexed="9"/>
      </bottom>
      <diagonal/>
    </border>
    <border>
      <left style="hair">
        <color indexed="9"/>
      </left>
      <right/>
      <top style="hair">
        <color indexed="9"/>
      </top>
      <bottom style="thin">
        <color theme="0"/>
      </bottom>
      <diagonal/>
    </border>
    <border>
      <left/>
      <right/>
      <top style="hair">
        <color indexed="9"/>
      </top>
      <bottom style="thin">
        <color theme="0"/>
      </bottom>
      <diagonal/>
    </border>
    <border>
      <left/>
      <right style="thin">
        <color theme="0"/>
      </right>
      <top style="hair">
        <color indexed="9"/>
      </top>
      <bottom style="thin">
        <color theme="0"/>
      </bottom>
      <diagonal/>
    </border>
    <border>
      <left style="thin">
        <color theme="0"/>
      </left>
      <right/>
      <top style="hair">
        <color indexed="9"/>
      </top>
      <bottom style="thin">
        <color theme="0"/>
      </bottom>
      <diagonal/>
    </border>
    <border>
      <left/>
      <right style="hair">
        <color indexed="9"/>
      </right>
      <top style="hair">
        <color indexed="9"/>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style="thin">
        <color theme="0"/>
      </top>
      <bottom style="thin">
        <color theme="0"/>
      </bottom>
      <diagonal/>
    </border>
    <border>
      <left style="thin">
        <color theme="0"/>
      </left>
      <right style="hair">
        <color indexed="9"/>
      </right>
      <top style="hair">
        <color indexed="9"/>
      </top>
      <bottom/>
      <diagonal/>
    </border>
    <border>
      <left style="thin">
        <color theme="0"/>
      </left>
      <right style="hair">
        <color indexed="9"/>
      </right>
      <top/>
      <bottom style="hair">
        <color indexed="9"/>
      </bottom>
      <diagonal/>
    </border>
    <border>
      <left style="thin">
        <color theme="0"/>
      </left>
      <right/>
      <top style="hair">
        <color indexed="9"/>
      </top>
      <bottom/>
      <diagonal/>
    </border>
    <border>
      <left style="thin">
        <color theme="0"/>
      </left>
      <right/>
      <top/>
      <bottom style="hair">
        <color indexed="9"/>
      </bottom>
      <diagonal/>
    </border>
    <border>
      <left style="hair">
        <color theme="0"/>
      </left>
      <right style="hair">
        <color theme="0"/>
      </right>
      <top/>
      <bottom/>
      <diagonal/>
    </border>
    <border>
      <left/>
      <right/>
      <top/>
      <bottom style="hair">
        <color rgb="FFFFFFFF"/>
      </bottom>
      <diagonal/>
    </border>
    <border>
      <left/>
      <right style="hair">
        <color theme="0"/>
      </right>
      <top style="hair">
        <color rgb="FFFFFFFF"/>
      </top>
      <bottom/>
      <diagonal/>
    </border>
    <border>
      <left/>
      <right style="hair">
        <color theme="0"/>
      </right>
      <top/>
      <bottom/>
      <diagonal/>
    </border>
    <border>
      <left/>
      <right style="hair">
        <color theme="0"/>
      </right>
      <top/>
      <bottom style="hair">
        <color rgb="FFFFFFFF"/>
      </bottom>
      <diagonal/>
    </border>
  </borders>
  <cellStyleXfs count="1097">
    <xf numFmtId="0" fontId="0" fillId="0" borderId="0"/>
    <xf numFmtId="0" fontId="26"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72" fillId="30"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5" fillId="2" borderId="0" applyNumberFormat="0" applyBorder="0" applyAlignment="0" applyProtection="0"/>
    <xf numFmtId="0" fontId="17"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17" fillId="2" borderId="0" applyNumberFormat="0" applyBorder="0" applyAlignment="0" applyProtection="0"/>
    <xf numFmtId="0" fontId="4" fillId="2" borderId="0" applyNumberFormat="0" applyBorder="0" applyAlignment="0" applyProtection="0"/>
    <xf numFmtId="0" fontId="73" fillId="30" borderId="0" applyNumberFormat="0" applyBorder="0" applyAlignment="0" applyProtection="0"/>
    <xf numFmtId="0" fontId="4" fillId="2" borderId="0" applyNumberFormat="0" applyBorder="0" applyAlignment="0" applyProtection="0"/>
    <xf numFmtId="0" fontId="17" fillId="3" borderId="0" applyNumberFormat="0" applyBorder="0" applyAlignment="0" applyProtection="0"/>
    <xf numFmtId="0" fontId="17" fillId="3" borderId="0" applyNumberFormat="0" applyBorder="0" applyAlignment="0" applyProtection="0"/>
    <xf numFmtId="0" fontId="4"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4" fillId="3" borderId="0" applyNumberFormat="0" applyBorder="0" applyAlignment="0" applyProtection="0"/>
    <xf numFmtId="0" fontId="17" fillId="3" borderId="0" applyNumberFormat="0" applyBorder="0" applyAlignment="0" applyProtection="0"/>
    <xf numFmtId="0" fontId="4" fillId="3" borderId="0" applyNumberFormat="0" applyBorder="0" applyAlignment="0" applyProtection="0"/>
    <xf numFmtId="0" fontId="17" fillId="3" borderId="0" applyNumberFormat="0" applyBorder="0" applyAlignment="0" applyProtection="0"/>
    <xf numFmtId="0" fontId="4" fillId="3" borderId="0" applyNumberFormat="0" applyBorder="0" applyAlignment="0" applyProtection="0"/>
    <xf numFmtId="0" fontId="26" fillId="3" borderId="0" applyNumberFormat="0" applyBorder="0" applyAlignment="0" applyProtection="0"/>
    <xf numFmtId="0" fontId="5" fillId="3" borderId="0" applyNumberFormat="0" applyBorder="0" applyAlignment="0" applyProtection="0"/>
    <xf numFmtId="0" fontId="73" fillId="31" borderId="0" applyNumberFormat="0" applyBorder="0" applyAlignment="0" applyProtection="0"/>
    <xf numFmtId="0" fontId="4" fillId="3"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4"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4" fillId="4" borderId="0" applyNumberFormat="0" applyBorder="0" applyAlignment="0" applyProtection="0"/>
    <xf numFmtId="0" fontId="17" fillId="4" borderId="0" applyNumberFormat="0" applyBorder="0" applyAlignment="0" applyProtection="0"/>
    <xf numFmtId="0" fontId="4" fillId="4" borderId="0" applyNumberFormat="0" applyBorder="0" applyAlignment="0" applyProtection="0"/>
    <xf numFmtId="0" fontId="17" fillId="4" borderId="0" applyNumberFormat="0" applyBorder="0" applyAlignment="0" applyProtection="0"/>
    <xf numFmtId="0" fontId="4" fillId="4" borderId="0" applyNumberFormat="0" applyBorder="0" applyAlignment="0" applyProtection="0"/>
    <xf numFmtId="0" fontId="26" fillId="4" borderId="0" applyNumberFormat="0" applyBorder="0" applyAlignment="0" applyProtection="0"/>
    <xf numFmtId="0" fontId="5" fillId="4" borderId="0" applyNumberFormat="0" applyBorder="0" applyAlignment="0" applyProtection="0"/>
    <xf numFmtId="0" fontId="73" fillId="32" borderId="0" applyNumberFormat="0" applyBorder="0" applyAlignment="0" applyProtection="0"/>
    <xf numFmtId="0" fontId="4" fillId="4"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4"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4" fillId="5" borderId="0" applyNumberFormat="0" applyBorder="0" applyAlignment="0" applyProtection="0"/>
    <xf numFmtId="0" fontId="17" fillId="5" borderId="0" applyNumberFormat="0" applyBorder="0" applyAlignment="0" applyProtection="0"/>
    <xf numFmtId="0" fontId="4" fillId="5" borderId="0" applyNumberFormat="0" applyBorder="0" applyAlignment="0" applyProtection="0"/>
    <xf numFmtId="0" fontId="17" fillId="5" borderId="0" applyNumberFormat="0" applyBorder="0" applyAlignment="0" applyProtection="0"/>
    <xf numFmtId="0" fontId="4" fillId="5" borderId="0" applyNumberFormat="0" applyBorder="0" applyAlignment="0" applyProtection="0"/>
    <xf numFmtId="0" fontId="26" fillId="5" borderId="0" applyNumberFormat="0" applyBorder="0" applyAlignment="0" applyProtection="0"/>
    <xf numFmtId="0" fontId="5" fillId="5" borderId="0" applyNumberFormat="0" applyBorder="0" applyAlignment="0" applyProtection="0"/>
    <xf numFmtId="0" fontId="73" fillId="33" borderId="0" applyNumberFormat="0" applyBorder="0" applyAlignment="0" applyProtection="0"/>
    <xf numFmtId="0" fontId="4" fillId="5" borderId="0" applyNumberFormat="0" applyBorder="0" applyAlignment="0" applyProtection="0"/>
    <xf numFmtId="0" fontId="17" fillId="6" borderId="0" applyNumberFormat="0" applyBorder="0" applyAlignment="0" applyProtection="0"/>
    <xf numFmtId="0" fontId="17" fillId="6" borderId="0" applyNumberFormat="0" applyBorder="0" applyAlignment="0" applyProtection="0"/>
    <xf numFmtId="0" fontId="4"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4" fillId="6" borderId="0" applyNumberFormat="0" applyBorder="0" applyAlignment="0" applyProtection="0"/>
    <xf numFmtId="0" fontId="17" fillId="6" borderId="0" applyNumberFormat="0" applyBorder="0" applyAlignment="0" applyProtection="0"/>
    <xf numFmtId="0" fontId="4" fillId="6" borderId="0" applyNumberFormat="0" applyBorder="0" applyAlignment="0" applyProtection="0"/>
    <xf numFmtId="0" fontId="17" fillId="6" borderId="0" applyNumberFormat="0" applyBorder="0" applyAlignment="0" applyProtection="0"/>
    <xf numFmtId="0" fontId="4" fillId="6" borderId="0" applyNumberFormat="0" applyBorder="0" applyAlignment="0" applyProtection="0"/>
    <xf numFmtId="0" fontId="26" fillId="6" borderId="0" applyNumberFormat="0" applyBorder="0" applyAlignment="0" applyProtection="0"/>
    <xf numFmtId="0" fontId="5" fillId="6" borderId="0" applyNumberFormat="0" applyBorder="0" applyAlignment="0" applyProtection="0"/>
    <xf numFmtId="0" fontId="73" fillId="34" borderId="0" applyNumberFormat="0" applyBorder="0" applyAlignment="0" applyProtection="0"/>
    <xf numFmtId="0" fontId="4" fillId="6" borderId="0" applyNumberFormat="0" applyBorder="0" applyAlignment="0" applyProtection="0"/>
    <xf numFmtId="0" fontId="26"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72" fillId="35"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17"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17" fillId="7" borderId="0" applyNumberFormat="0" applyBorder="0" applyAlignment="0" applyProtection="0"/>
    <xf numFmtId="0" fontId="4" fillId="7" borderId="0" applyNumberFormat="0" applyBorder="0" applyAlignment="0" applyProtection="0"/>
    <xf numFmtId="0" fontId="73" fillId="35" borderId="0" applyNumberFormat="0" applyBorder="0" applyAlignment="0" applyProtection="0"/>
    <xf numFmtId="0" fontId="4" fillId="7"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4"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4" fillId="8" borderId="0" applyNumberFormat="0" applyBorder="0" applyAlignment="0" applyProtection="0"/>
    <xf numFmtId="0" fontId="17" fillId="8" borderId="0" applyNumberFormat="0" applyBorder="0" applyAlignment="0" applyProtection="0"/>
    <xf numFmtId="0" fontId="4" fillId="8" borderId="0" applyNumberFormat="0" applyBorder="0" applyAlignment="0" applyProtection="0"/>
    <xf numFmtId="0" fontId="17" fillId="8" borderId="0" applyNumberFormat="0" applyBorder="0" applyAlignment="0" applyProtection="0"/>
    <xf numFmtId="0" fontId="4" fillId="8" borderId="0" applyNumberFormat="0" applyBorder="0" applyAlignment="0" applyProtection="0"/>
    <xf numFmtId="0" fontId="26" fillId="8" borderId="0" applyNumberFormat="0" applyBorder="0" applyAlignment="0" applyProtection="0"/>
    <xf numFmtId="0" fontId="5" fillId="8" borderId="0" applyNumberFormat="0" applyBorder="0" applyAlignment="0" applyProtection="0"/>
    <xf numFmtId="0" fontId="73" fillId="36" borderId="0" applyNumberFormat="0" applyBorder="0" applyAlignment="0" applyProtection="0"/>
    <xf numFmtId="0" fontId="4" fillId="8"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4"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4" fillId="9" borderId="0" applyNumberFormat="0" applyBorder="0" applyAlignment="0" applyProtection="0"/>
    <xf numFmtId="0" fontId="17" fillId="9" borderId="0" applyNumberFormat="0" applyBorder="0" applyAlignment="0" applyProtection="0"/>
    <xf numFmtId="0" fontId="4" fillId="9" borderId="0" applyNumberFormat="0" applyBorder="0" applyAlignment="0" applyProtection="0"/>
    <xf numFmtId="0" fontId="17" fillId="9" borderId="0" applyNumberFormat="0" applyBorder="0" applyAlignment="0" applyProtection="0"/>
    <xf numFmtId="0" fontId="4" fillId="9" borderId="0" applyNumberFormat="0" applyBorder="0" applyAlignment="0" applyProtection="0"/>
    <xf numFmtId="0" fontId="26" fillId="9" borderId="0" applyNumberFormat="0" applyBorder="0" applyAlignment="0" applyProtection="0"/>
    <xf numFmtId="0" fontId="5" fillId="9" borderId="0" applyNumberFormat="0" applyBorder="0" applyAlignment="0" applyProtection="0"/>
    <xf numFmtId="0" fontId="73" fillId="37" borderId="0" applyNumberFormat="0" applyBorder="0" applyAlignment="0" applyProtection="0"/>
    <xf numFmtId="0" fontId="4" fillId="9"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4"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4" fillId="10" borderId="0" applyNumberFormat="0" applyBorder="0" applyAlignment="0" applyProtection="0"/>
    <xf numFmtId="0" fontId="17" fillId="10" borderId="0" applyNumberFormat="0" applyBorder="0" applyAlignment="0" applyProtection="0"/>
    <xf numFmtId="0" fontId="4" fillId="10" borderId="0" applyNumberFormat="0" applyBorder="0" applyAlignment="0" applyProtection="0"/>
    <xf numFmtId="0" fontId="17" fillId="10" borderId="0" applyNumberFormat="0" applyBorder="0" applyAlignment="0" applyProtection="0"/>
    <xf numFmtId="0" fontId="4" fillId="10" borderId="0" applyNumberFormat="0" applyBorder="0" applyAlignment="0" applyProtection="0"/>
    <xf numFmtId="0" fontId="26" fillId="10" borderId="0" applyNumberFormat="0" applyBorder="0" applyAlignment="0" applyProtection="0"/>
    <xf numFmtId="0" fontId="5" fillId="10" borderId="0" applyNumberFormat="0" applyBorder="0" applyAlignment="0" applyProtection="0"/>
    <xf numFmtId="0" fontId="73" fillId="38" borderId="0" applyNumberFormat="0" applyBorder="0" applyAlignment="0" applyProtection="0"/>
    <xf numFmtId="0" fontId="4" fillId="10"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4"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4" fillId="5" borderId="0" applyNumberFormat="0" applyBorder="0" applyAlignment="0" applyProtection="0"/>
    <xf numFmtId="0" fontId="17" fillId="5" borderId="0" applyNumberFormat="0" applyBorder="0" applyAlignment="0" applyProtection="0"/>
    <xf numFmtId="0" fontId="4" fillId="5" borderId="0" applyNumberFormat="0" applyBorder="0" applyAlignment="0" applyProtection="0"/>
    <xf numFmtId="0" fontId="17" fillId="5" borderId="0" applyNumberFormat="0" applyBorder="0" applyAlignment="0" applyProtection="0"/>
    <xf numFmtId="0" fontId="4" fillId="5" borderId="0" applyNumberFormat="0" applyBorder="0" applyAlignment="0" applyProtection="0"/>
    <xf numFmtId="0" fontId="26" fillId="5" borderId="0" applyNumberFormat="0" applyBorder="0" applyAlignment="0" applyProtection="0"/>
    <xf numFmtId="0" fontId="5" fillId="5" borderId="0" applyNumberFormat="0" applyBorder="0" applyAlignment="0" applyProtection="0"/>
    <xf numFmtId="0" fontId="73" fillId="39" borderId="0" applyNumberFormat="0" applyBorder="0" applyAlignment="0" applyProtection="0"/>
    <xf numFmtId="0" fontId="4" fillId="5" borderId="0" applyNumberFormat="0" applyBorder="0" applyAlignment="0" applyProtection="0"/>
    <xf numFmtId="0" fontId="17" fillId="8" borderId="0" applyNumberFormat="0" applyBorder="0" applyAlignment="0" applyProtection="0"/>
    <xf numFmtId="0" fontId="17" fillId="8" borderId="0" applyNumberFormat="0" applyBorder="0" applyAlignment="0" applyProtection="0"/>
    <xf numFmtId="0" fontId="4"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4" fillId="8" borderId="0" applyNumberFormat="0" applyBorder="0" applyAlignment="0" applyProtection="0"/>
    <xf numFmtId="0" fontId="17" fillId="8" borderId="0" applyNumberFormat="0" applyBorder="0" applyAlignment="0" applyProtection="0"/>
    <xf numFmtId="0" fontId="4" fillId="8" borderId="0" applyNumberFormat="0" applyBorder="0" applyAlignment="0" applyProtection="0"/>
    <xf numFmtId="0" fontId="17" fillId="8" borderId="0" applyNumberFormat="0" applyBorder="0" applyAlignment="0" applyProtection="0"/>
    <xf numFmtId="0" fontId="4" fillId="8" borderId="0" applyNumberFormat="0" applyBorder="0" applyAlignment="0" applyProtection="0"/>
    <xf numFmtId="0" fontId="26" fillId="8" borderId="0" applyNumberFormat="0" applyBorder="0" applyAlignment="0" applyProtection="0"/>
    <xf numFmtId="0" fontId="5" fillId="8" borderId="0" applyNumberFormat="0" applyBorder="0" applyAlignment="0" applyProtection="0"/>
    <xf numFmtId="0" fontId="73" fillId="40" borderId="0" applyNumberFormat="0" applyBorder="0" applyAlignment="0" applyProtection="0"/>
    <xf numFmtId="0" fontId="4" fillId="8"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4"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4" fillId="11" borderId="0" applyNumberFormat="0" applyBorder="0" applyAlignment="0" applyProtection="0"/>
    <xf numFmtId="0" fontId="17" fillId="11" borderId="0" applyNumberFormat="0" applyBorder="0" applyAlignment="0" applyProtection="0"/>
    <xf numFmtId="0" fontId="4" fillId="11" borderId="0" applyNumberFormat="0" applyBorder="0" applyAlignment="0" applyProtection="0"/>
    <xf numFmtId="0" fontId="17" fillId="11" borderId="0" applyNumberFormat="0" applyBorder="0" applyAlignment="0" applyProtection="0"/>
    <xf numFmtId="0" fontId="4" fillId="11" borderId="0" applyNumberFormat="0" applyBorder="0" applyAlignment="0" applyProtection="0"/>
    <xf numFmtId="0" fontId="26" fillId="11" borderId="0" applyNumberFormat="0" applyBorder="0" applyAlignment="0" applyProtection="0"/>
    <xf numFmtId="0" fontId="5" fillId="11" borderId="0" applyNumberFormat="0" applyBorder="0" applyAlignment="0" applyProtection="0"/>
    <xf numFmtId="0" fontId="73" fillId="41" borderId="0" applyNumberFormat="0" applyBorder="0" applyAlignment="0" applyProtection="0"/>
    <xf numFmtId="0" fontId="4" fillId="11" borderId="0" applyNumberFormat="0" applyBorder="0" applyAlignment="0" applyProtection="0"/>
    <xf numFmtId="0" fontId="27" fillId="12" borderId="0" applyNumberFormat="0" applyBorder="0" applyAlignment="0" applyProtection="0"/>
    <xf numFmtId="0" fontId="74" fillId="42" borderId="0" applyNumberFormat="0" applyBorder="0" applyAlignment="0" applyProtection="0"/>
    <xf numFmtId="0" fontId="27"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75" fillId="42" borderId="0" applyNumberFormat="0" applyBorder="0" applyAlignment="0" applyProtection="0"/>
    <xf numFmtId="0" fontId="18" fillId="12"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27" fillId="9" borderId="0" applyNumberFormat="0" applyBorder="0" applyAlignment="0" applyProtection="0"/>
    <xf numFmtId="0" fontId="18" fillId="9" borderId="0" applyNumberFormat="0" applyBorder="0" applyAlignment="0" applyProtection="0"/>
    <xf numFmtId="0" fontId="18" fillId="9" borderId="0" applyNumberFormat="0" applyBorder="0" applyAlignment="0" applyProtection="0"/>
    <xf numFmtId="0" fontId="27" fillId="9" borderId="0" applyNumberFormat="0" applyBorder="0" applyAlignment="0" applyProtection="0"/>
    <xf numFmtId="0" fontId="75" fillId="43"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27" fillId="10" borderId="0" applyNumberFormat="0" applyBorder="0" applyAlignment="0" applyProtection="0"/>
    <xf numFmtId="0" fontId="18" fillId="10" borderId="0" applyNumberFormat="0" applyBorder="0" applyAlignment="0" applyProtection="0"/>
    <xf numFmtId="0" fontId="18" fillId="10" borderId="0" applyNumberFormat="0" applyBorder="0" applyAlignment="0" applyProtection="0"/>
    <xf numFmtId="0" fontId="27" fillId="10" borderId="0" applyNumberFormat="0" applyBorder="0" applyAlignment="0" applyProtection="0"/>
    <xf numFmtId="0" fontId="75" fillId="44" borderId="0" applyNumberFormat="0" applyBorder="0" applyAlignment="0" applyProtection="0"/>
    <xf numFmtId="0" fontId="18" fillId="10"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27"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27" fillId="13" borderId="0" applyNumberFormat="0" applyBorder="0" applyAlignment="0" applyProtection="0"/>
    <xf numFmtId="0" fontId="75" fillId="45"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27"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27" fillId="14" borderId="0" applyNumberFormat="0" applyBorder="0" applyAlignment="0" applyProtection="0"/>
    <xf numFmtId="0" fontId="75" fillId="46"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27"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27" fillId="15" borderId="0" applyNumberFormat="0" applyBorder="0" applyAlignment="0" applyProtection="0"/>
    <xf numFmtId="0" fontId="75" fillId="47"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27"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27" fillId="16" borderId="0" applyNumberFormat="0" applyBorder="0" applyAlignment="0" applyProtection="0"/>
    <xf numFmtId="0" fontId="75" fillId="48"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27"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27" fillId="17" borderId="0" applyNumberFormat="0" applyBorder="0" applyAlignment="0" applyProtection="0"/>
    <xf numFmtId="0" fontId="75" fillId="49" borderId="0" applyNumberFormat="0" applyBorder="0" applyAlignment="0" applyProtection="0"/>
    <xf numFmtId="0" fontId="18" fillId="17" borderId="0" applyNumberFormat="0" applyBorder="0" applyAlignment="0" applyProtection="0"/>
    <xf numFmtId="0" fontId="27" fillId="18" borderId="0" applyNumberFormat="0" applyBorder="0" applyAlignment="0" applyProtection="0"/>
    <xf numFmtId="0" fontId="74" fillId="50" borderId="0" applyNumberFormat="0" applyBorder="0" applyAlignment="0" applyProtection="0"/>
    <xf numFmtId="0" fontId="27"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75" fillId="50" borderId="0" applyNumberFormat="0" applyBorder="0" applyAlignment="0" applyProtection="0"/>
    <xf numFmtId="0" fontId="18" fillId="18"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27" fillId="13" borderId="0" applyNumberFormat="0" applyBorder="0" applyAlignment="0" applyProtection="0"/>
    <xf numFmtId="0" fontId="18" fillId="13" borderId="0" applyNumberFormat="0" applyBorder="0" applyAlignment="0" applyProtection="0"/>
    <xf numFmtId="0" fontId="18" fillId="13" borderId="0" applyNumberFormat="0" applyBorder="0" applyAlignment="0" applyProtection="0"/>
    <xf numFmtId="0" fontId="27" fillId="13" borderId="0" applyNumberFormat="0" applyBorder="0" applyAlignment="0" applyProtection="0"/>
    <xf numFmtId="0" fontId="75" fillId="51" borderId="0" applyNumberFormat="0" applyBorder="0" applyAlignment="0" applyProtection="0"/>
    <xf numFmtId="0" fontId="18" fillId="13" borderId="0" applyNumberFormat="0" applyBorder="0" applyAlignment="0" applyProtection="0"/>
    <xf numFmtId="0" fontId="27" fillId="14" borderId="0" applyNumberFormat="0" applyBorder="0" applyAlignment="0" applyProtection="0"/>
    <xf numFmtId="0" fontId="74" fillId="52" borderId="0" applyNumberFormat="0" applyBorder="0" applyAlignment="0" applyProtection="0"/>
    <xf numFmtId="0" fontId="27" fillId="14" borderId="0" applyNumberFormat="0" applyBorder="0" applyAlignment="0" applyProtection="0"/>
    <xf numFmtId="0" fontId="18" fillId="14" borderId="0" applyNumberFormat="0" applyBorder="0" applyAlignment="0" applyProtection="0"/>
    <xf numFmtId="0" fontId="18" fillId="14" borderId="0" applyNumberFormat="0" applyBorder="0" applyAlignment="0" applyProtection="0"/>
    <xf numFmtId="0" fontId="75" fillId="52" borderId="0" applyNumberFormat="0" applyBorder="0" applyAlignment="0" applyProtection="0"/>
    <xf numFmtId="0" fontId="18" fillId="14" borderId="0" applyNumberFormat="0" applyBorder="0" applyAlignment="0" applyProtection="0"/>
    <xf numFmtId="0" fontId="27" fillId="19" borderId="0" applyNumberFormat="0" applyBorder="0" applyAlignment="0" applyProtection="0"/>
    <xf numFmtId="0" fontId="74" fillId="53" borderId="0" applyNumberFormat="0" applyBorder="0" applyAlignment="0" applyProtection="0"/>
    <xf numFmtId="0" fontId="27"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75" fillId="53" borderId="0" applyNumberFormat="0" applyBorder="0" applyAlignment="0" applyProtection="0"/>
    <xf numFmtId="0" fontId="18" fillId="19"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8"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8" fillId="3" borderId="0" applyNumberFormat="0" applyBorder="0" applyAlignment="0" applyProtection="0"/>
    <xf numFmtId="0" fontId="76" fillId="54" borderId="0" applyNumberFormat="0" applyBorder="0" applyAlignment="0" applyProtection="0"/>
    <xf numFmtId="0" fontId="19" fillId="3" borderId="0" applyNumberFormat="0" applyBorder="0" applyAlignment="0" applyProtection="0"/>
    <xf numFmtId="0" fontId="20" fillId="20" borderId="1" applyNumberFormat="0" applyAlignment="0" applyProtection="0"/>
    <xf numFmtId="0" fontId="77" fillId="0" borderId="0">
      <alignment horizontal="right" vertical="center" indent="1"/>
    </xf>
    <xf numFmtId="0" fontId="20" fillId="20" borderId="1" applyNumberFormat="0" applyAlignment="0" applyProtection="0"/>
    <xf numFmtId="0" fontId="20" fillId="20" borderId="1" applyNumberFormat="0" applyAlignment="0" applyProtection="0"/>
    <xf numFmtId="0" fontId="29" fillId="20" borderId="1" applyNumberFormat="0" applyAlignment="0" applyProtection="0"/>
    <xf numFmtId="0" fontId="20" fillId="20" borderId="1" applyNumberFormat="0" applyAlignment="0" applyProtection="0"/>
    <xf numFmtId="0" fontId="20" fillId="20" borderId="1" applyNumberFormat="0" applyAlignment="0" applyProtection="0"/>
    <xf numFmtId="0" fontId="29" fillId="20" borderId="1" applyNumberFormat="0" applyAlignment="0" applyProtection="0"/>
    <xf numFmtId="0" fontId="78" fillId="55" borderId="22" applyNumberFormat="0" applyAlignment="0" applyProtection="0"/>
    <xf numFmtId="0" fontId="20" fillId="20" borderId="1" applyNumberFormat="0" applyAlignment="0" applyProtection="0"/>
    <xf numFmtId="0" fontId="30" fillId="21" borderId="3" applyNumberFormat="0" applyAlignment="0" applyProtection="0"/>
    <xf numFmtId="0" fontId="30" fillId="21" borderId="3" applyNumberFormat="0" applyAlignment="0" applyProtection="0"/>
    <xf numFmtId="0" fontId="42" fillId="21" borderId="3" applyNumberFormat="0" applyAlignment="0" applyProtection="0"/>
    <xf numFmtId="0" fontId="42" fillId="21" borderId="3" applyNumberFormat="0" applyAlignment="0" applyProtection="0"/>
    <xf numFmtId="0" fontId="80" fillId="56" borderId="24" applyNumberFormat="0" applyAlignment="0" applyProtection="0"/>
    <xf numFmtId="0" fontId="42" fillId="21" borderId="3" applyNumberFormat="0" applyAlignment="0" applyProtection="0"/>
    <xf numFmtId="0" fontId="51" fillId="0" borderId="4" applyNumberFormat="0" applyFill="0" applyAlignment="0" applyProtection="0"/>
    <xf numFmtId="0" fontId="49" fillId="0" borderId="4" applyNumberFormat="0" applyFill="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67"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5"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4"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72" fillId="0" borderId="0" applyFont="0" applyFill="0" applyBorder="0" applyAlignment="0" applyProtection="0"/>
    <xf numFmtId="164" fontId="72" fillId="0" borderId="0" applyFont="0" applyFill="0" applyBorder="0" applyAlignment="0" applyProtection="0"/>
    <xf numFmtId="164" fontId="72" fillId="0" borderId="0" applyFont="0" applyFill="0" applyBorder="0" applyAlignment="0" applyProtection="0"/>
    <xf numFmtId="164" fontId="72" fillId="0" borderId="0" applyFont="0" applyFill="0" applyBorder="0" applyAlignment="0" applyProtection="0"/>
    <xf numFmtId="164" fontId="72" fillId="0" borderId="0" applyFont="0" applyFill="0" applyBorder="0" applyAlignment="0" applyProtection="0"/>
    <xf numFmtId="164" fontId="72" fillId="0" borderId="0" applyFont="0" applyFill="0" applyBorder="0" applyAlignment="0" applyProtection="0"/>
    <xf numFmtId="164" fontId="14" fillId="0" borderId="0" applyFont="0" applyFill="0" applyBorder="0" applyAlignment="0" applyProtection="0"/>
    <xf numFmtId="164" fontId="15"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6" fontId="11" fillId="0" borderId="0" applyFont="0" applyFill="0" applyBorder="0" applyAlignment="0" applyProtection="0"/>
    <xf numFmtId="164" fontId="14" fillId="0" borderId="0" applyFont="0" applyFill="0" applyBorder="0" applyAlignment="0" applyProtection="0"/>
    <xf numFmtId="164" fontId="50" fillId="0" borderId="0" applyFont="0" applyFill="0" applyBorder="0" applyAlignment="0" applyProtection="0"/>
    <xf numFmtId="164" fontId="7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72" fillId="0" borderId="0" applyFont="0" applyFill="0" applyBorder="0" applyAlignment="0" applyProtection="0"/>
    <xf numFmtId="164" fontId="72" fillId="0" borderId="0" applyFont="0" applyFill="0" applyBorder="0" applyAlignment="0" applyProtection="0"/>
    <xf numFmtId="164" fontId="7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5" fillId="0" borderId="0" applyFont="0" applyFill="0" applyBorder="0" applyAlignment="0" applyProtection="0"/>
    <xf numFmtId="164" fontId="72" fillId="0" borderId="0" applyFont="0" applyFill="0" applyBorder="0" applyAlignment="0" applyProtection="0"/>
    <xf numFmtId="164" fontId="72" fillId="0" borderId="0" applyFont="0" applyFill="0" applyBorder="0" applyAlignment="0" applyProtection="0"/>
    <xf numFmtId="164" fontId="72" fillId="0" borderId="0" applyFont="0" applyFill="0" applyBorder="0" applyAlignment="0" applyProtection="0"/>
    <xf numFmtId="164" fontId="72" fillId="0" borderId="0" applyFont="0" applyFill="0" applyBorder="0" applyAlignment="0" applyProtection="0"/>
    <xf numFmtId="164" fontId="72"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72" fillId="0" borderId="0" applyFont="0" applyFill="0" applyBorder="0" applyAlignment="0" applyProtection="0"/>
    <xf numFmtId="164" fontId="5"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5" fillId="0" borderId="0" applyFont="0" applyFill="0" applyBorder="0" applyAlignment="0" applyProtection="0"/>
    <xf numFmtId="164" fontId="1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72"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72" fillId="0" borderId="0" applyFont="0" applyFill="0" applyBorder="0" applyAlignment="0" applyProtection="0"/>
    <xf numFmtId="164" fontId="72" fillId="0" borderId="0" applyFont="0" applyFill="0" applyBorder="0" applyAlignment="0" applyProtection="0"/>
    <xf numFmtId="164" fontId="72" fillId="0" borderId="0" applyFont="0" applyFill="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3" fontId="11" fillId="0" borderId="0" applyFill="0" applyBorder="0" applyAlignment="0" applyProtection="0"/>
    <xf numFmtId="0" fontId="11" fillId="57" borderId="25" applyNumberFormat="0" applyFont="0" applyAlignment="0" applyProtection="0"/>
    <xf numFmtId="0" fontId="42" fillId="21" borderId="3" applyNumberFormat="0" applyAlignment="0" applyProtection="0"/>
    <xf numFmtId="167" fontId="11" fillId="0" borderId="0" applyFill="0" applyBorder="0" applyAlignment="0" applyProtection="0"/>
    <xf numFmtId="168" fontId="11" fillId="0" borderId="0" applyFill="0" applyBorder="0" applyAlignment="0" applyProtection="0"/>
    <xf numFmtId="165" fontId="13"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49" fillId="0" borderId="4" applyNumberFormat="0" applyFill="0" applyAlignment="0" applyProtection="0"/>
    <xf numFmtId="0" fontId="31" fillId="0" borderId="0" applyNumberFormat="0" applyFill="0" applyBorder="0" applyAlignment="0" applyProtection="0"/>
    <xf numFmtId="0" fontId="81" fillId="0" borderId="0" applyNumberFormat="0" applyFill="0" applyBorder="0" applyAlignment="0" applyProtection="0"/>
    <xf numFmtId="0" fontId="31"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82" fillId="0" borderId="0" applyNumberFormat="0" applyFill="0" applyBorder="0" applyAlignment="0" applyProtection="0"/>
    <xf numFmtId="0" fontId="43" fillId="0" borderId="0" applyNumberFormat="0" applyFill="0" applyBorder="0" applyAlignment="0" applyProtection="0"/>
    <xf numFmtId="2" fontId="11" fillId="0" borderId="0" applyFill="0" applyBorder="0" applyAlignment="0" applyProtection="0"/>
    <xf numFmtId="0" fontId="46" fillId="0" borderId="2" applyNumberFormat="0" applyFill="0" applyAlignment="0" applyProtection="0"/>
    <xf numFmtId="0" fontId="11" fillId="23" borderId="0" applyNumberFormat="0" applyFont="0" applyBorder="0" applyAlignment="0"/>
    <xf numFmtId="0" fontId="44" fillId="4" borderId="0" applyNumberFormat="0" applyBorder="0" applyAlignment="0" applyProtection="0"/>
    <xf numFmtId="0" fontId="32" fillId="4" borderId="0" applyNumberFormat="0" applyBorder="0" applyAlignment="0" applyProtection="0"/>
    <xf numFmtId="0" fontId="83" fillId="58" borderId="0" applyNumberFormat="0" applyBorder="0" applyAlignment="0" applyProtection="0"/>
    <xf numFmtId="0" fontId="32"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84" fillId="58" borderId="0" applyNumberFormat="0" applyBorder="0" applyAlignment="0" applyProtection="0"/>
    <xf numFmtId="0" fontId="44" fillId="4" borderId="0" applyNumberFormat="0" applyBorder="0" applyAlignment="0" applyProtection="0"/>
    <xf numFmtId="169" fontId="59" fillId="0" borderId="6" applyNumberFormat="0" applyFill="0" applyBorder="0" applyProtection="0">
      <alignment horizontal="left"/>
    </xf>
    <xf numFmtId="0" fontId="51" fillId="0" borderId="4" applyNumberFormat="0" applyFill="0" applyAlignment="0" applyProtection="0"/>
    <xf numFmtId="0" fontId="21" fillId="0" borderId="7" applyNumberFormat="0" applyFill="0" applyAlignment="0" applyProtection="0"/>
    <xf numFmtId="0" fontId="21" fillId="0" borderId="7" applyNumberFormat="0" applyFill="0" applyAlignment="0" applyProtection="0"/>
    <xf numFmtId="0" fontId="85" fillId="0" borderId="4" applyNumberFormat="0" applyProtection="0">
      <alignment horizontal="left"/>
    </xf>
    <xf numFmtId="0" fontId="85" fillId="0" borderId="4" applyNumberFormat="0" applyFill="0" applyAlignment="0" applyProtection="0"/>
    <xf numFmtId="0" fontId="85" fillId="0" borderId="4" applyNumberFormat="0" applyFill="0" applyAlignment="0" applyProtection="0"/>
    <xf numFmtId="0" fontId="85" fillId="0" borderId="4" applyNumberFormat="0" applyProtection="0">
      <alignment horizontal="left"/>
    </xf>
    <xf numFmtId="0" fontId="49" fillId="0" borderId="4" applyNumberFormat="0" applyFill="0" applyAlignment="0" applyProtection="0"/>
    <xf numFmtId="0" fontId="33" fillId="0" borderId="7" applyNumberFormat="0" applyFill="0" applyAlignment="0" applyProtection="0"/>
    <xf numFmtId="0" fontId="49" fillId="0" borderId="4" applyNumberFormat="0" applyFill="0" applyAlignment="0" applyProtection="0"/>
    <xf numFmtId="0" fontId="49" fillId="0" borderId="4" applyNumberFormat="0" applyFill="0" applyAlignment="0" applyProtection="0"/>
    <xf numFmtId="0" fontId="21" fillId="0" borderId="7" applyNumberFormat="0" applyFill="0" applyAlignment="0" applyProtection="0"/>
    <xf numFmtId="0" fontId="21" fillId="0" borderId="7" applyNumberFormat="0" applyFill="0" applyAlignment="0" applyProtection="0"/>
    <xf numFmtId="0" fontId="56" fillId="0" borderId="4" applyNumberFormat="0" applyFill="0" applyAlignment="0" applyProtection="0"/>
    <xf numFmtId="0" fontId="21" fillId="0" borderId="7" applyNumberFormat="0" applyFill="0" applyAlignment="0" applyProtection="0"/>
    <xf numFmtId="0" fontId="33" fillId="0" borderId="7" applyNumberFormat="0" applyFill="0" applyAlignment="0" applyProtection="0"/>
    <xf numFmtId="0" fontId="33" fillId="0" borderId="7" applyNumberFormat="0" applyFill="0" applyAlignment="0" applyProtection="0"/>
    <xf numFmtId="0" fontId="85" fillId="0" borderId="4" applyNumberFormat="0" applyProtection="0">
      <alignment horizontal="left"/>
    </xf>
    <xf numFmtId="0" fontId="54" fillId="0" borderId="4" applyNumberFormat="0" applyFill="0" applyAlignment="0" applyProtection="0"/>
    <xf numFmtId="0" fontId="49" fillId="0" borderId="4" applyNumberFormat="0" applyFill="0" applyAlignment="0" applyProtection="0"/>
    <xf numFmtId="0" fontId="86" fillId="0" borderId="26" applyNumberFormat="0" applyFill="0" applyAlignment="0" applyProtection="0"/>
    <xf numFmtId="0" fontId="21" fillId="0" borderId="7"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34"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34" fillId="0" borderId="8" applyNumberFormat="0" applyFill="0" applyAlignment="0" applyProtection="0"/>
    <xf numFmtId="0" fontId="87" fillId="0" borderId="27" applyNumberFormat="0" applyFill="0" applyAlignment="0" applyProtection="0"/>
    <xf numFmtId="0" fontId="22" fillId="0" borderId="8" applyNumberFormat="0" applyFill="0" applyAlignment="0" applyProtection="0"/>
    <xf numFmtId="0" fontId="23" fillId="0" borderId="9" applyNumberFormat="0" applyFill="0" applyAlignment="0" applyProtection="0"/>
    <xf numFmtId="0" fontId="23" fillId="0" borderId="9" applyNumberFormat="0" applyFill="0" applyAlignment="0" applyProtection="0"/>
    <xf numFmtId="0" fontId="35" fillId="0" borderId="9" applyNumberFormat="0" applyFill="0" applyAlignment="0" applyProtection="0"/>
    <xf numFmtId="0" fontId="23" fillId="0" borderId="9" applyNumberFormat="0" applyFill="0" applyAlignment="0" applyProtection="0"/>
    <xf numFmtId="0" fontId="23" fillId="0" borderId="9" applyNumberFormat="0" applyFill="0" applyAlignment="0" applyProtection="0"/>
    <xf numFmtId="0" fontId="35" fillId="0" borderId="9" applyNumberFormat="0" applyFill="0" applyAlignment="0" applyProtection="0"/>
    <xf numFmtId="0" fontId="88" fillId="0" borderId="28" applyNumberFormat="0" applyFill="0" applyAlignment="0" applyProtection="0"/>
    <xf numFmtId="0" fontId="23" fillId="0" borderId="9" applyNumberFormat="0" applyFill="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5"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5" fillId="0" borderId="0" applyNumberFormat="0" applyFill="0" applyBorder="0" applyAlignment="0" applyProtection="0"/>
    <xf numFmtId="0" fontId="88" fillId="0" borderId="0" applyNumberFormat="0" applyFill="0" applyBorder="0" applyAlignment="0" applyProtection="0"/>
    <xf numFmtId="0" fontId="23" fillId="0" borderId="0" applyNumberFormat="0" applyFill="0" applyBorder="0" applyAlignment="0" applyProtection="0"/>
    <xf numFmtId="169" fontId="59" fillId="0" borderId="6" applyNumberFormat="0" applyFill="0" applyBorder="0" applyProtection="0">
      <alignment horizontal="left"/>
    </xf>
    <xf numFmtId="0" fontId="89" fillId="0" borderId="0" applyNumberFormat="0" applyFill="0" applyBorder="0" applyAlignment="0" applyProtection="0"/>
    <xf numFmtId="0" fontId="53" fillId="0" borderId="0" applyNumberFormat="0" applyFill="0" applyBorder="0" applyAlignment="0" applyProtection="0">
      <alignment vertical="top"/>
      <protection locked="0"/>
    </xf>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53" fillId="0" borderId="0" applyNumberFormat="0" applyFill="0" applyBorder="0" applyAlignment="0" applyProtection="0"/>
    <xf numFmtId="0" fontId="91" fillId="0" borderId="0" applyNumberFormat="0" applyFill="0" applyBorder="0" applyAlignment="0" applyProtection="0"/>
    <xf numFmtId="0" fontId="36" fillId="7" borderId="1" applyNumberFormat="0" applyAlignment="0" applyProtection="0"/>
    <xf numFmtId="0" fontId="36" fillId="7" borderId="1" applyNumberFormat="0" applyAlignment="0" applyProtection="0"/>
    <xf numFmtId="0" fontId="45" fillId="7" borderId="1" applyNumberFormat="0" applyAlignment="0" applyProtection="0"/>
    <xf numFmtId="0" fontId="45" fillId="7" borderId="1" applyNumberFormat="0" applyAlignment="0" applyProtection="0"/>
    <xf numFmtId="0" fontId="92" fillId="59" borderId="22" applyNumberFormat="0" applyAlignment="0" applyProtection="0"/>
    <xf numFmtId="0" fontId="45" fillId="7" borderId="1" applyNumberFormat="0" applyAlignment="0" applyProtection="0"/>
    <xf numFmtId="0" fontId="45" fillId="20" borderId="1" applyNumberFormat="0" applyAlignment="0" applyProtection="0"/>
    <xf numFmtId="0" fontId="11" fillId="57" borderId="25" applyNumberFormat="0" applyFont="0" applyAlignment="0" applyProtection="0"/>
    <xf numFmtId="0" fontId="21" fillId="0" borderId="7" applyNumberFormat="0" applyFill="0" applyAlignment="0" applyProtection="0"/>
    <xf numFmtId="0" fontId="22" fillId="0" borderId="8" applyNumberFormat="0" applyFill="0" applyAlignment="0" applyProtection="0"/>
    <xf numFmtId="0" fontId="23" fillId="0" borderId="9" applyNumberFormat="0" applyFill="0" applyAlignment="0" applyProtection="0"/>
    <xf numFmtId="0" fontId="23" fillId="0" borderId="0" applyNumberFormat="0" applyFill="0" applyBorder="0" applyAlignment="0" applyProtection="0"/>
    <xf numFmtId="0" fontId="37" fillId="0" borderId="2" applyNumberFormat="0" applyFill="0" applyAlignment="0" applyProtection="0"/>
    <xf numFmtId="0" fontId="37" fillId="0" borderId="2" applyNumberFormat="0" applyFill="0" applyAlignment="0" applyProtection="0"/>
    <xf numFmtId="0" fontId="46" fillId="0" borderId="2" applyNumberFormat="0" applyFill="0" applyAlignment="0" applyProtection="0"/>
    <xf numFmtId="0" fontId="46" fillId="0" borderId="2" applyNumberFormat="0" applyFill="0" applyAlignment="0" applyProtection="0"/>
    <xf numFmtId="0" fontId="79" fillId="0" borderId="23" applyNumberFormat="0" applyFill="0" applyAlignment="0" applyProtection="0"/>
    <xf numFmtId="0" fontId="46" fillId="0" borderId="2" applyNumberFormat="0" applyFill="0" applyAlignment="0" applyProtection="0"/>
    <xf numFmtId="0" fontId="12" fillId="24" borderId="0" applyNumberFormat="0">
      <alignment horizontal="left" vertical="top" wrapText="1"/>
    </xf>
    <xf numFmtId="0" fontId="12" fillId="24" borderId="0" applyNumberFormat="0">
      <alignment horizontal="left" vertical="top" wrapText="1"/>
    </xf>
    <xf numFmtId="0" fontId="12" fillId="24" borderId="0" applyNumberFormat="0">
      <alignment horizontal="left" vertical="top" wrapText="1"/>
    </xf>
    <xf numFmtId="0" fontId="12" fillId="25" borderId="0" applyNumberFormat="0">
      <alignment horizontal="left" vertical="top" wrapText="1"/>
    </xf>
    <xf numFmtId="0" fontId="12" fillId="24" borderId="0" applyNumberFormat="0">
      <alignment horizontal="left" vertical="top" wrapText="1"/>
    </xf>
    <xf numFmtId="0" fontId="60" fillId="0" borderId="0"/>
    <xf numFmtId="0" fontId="66" fillId="0" borderId="0"/>
    <xf numFmtId="0" fontId="60" fillId="0" borderId="0"/>
    <xf numFmtId="0" fontId="60" fillId="0" borderId="0"/>
    <xf numFmtId="0" fontId="70" fillId="0" borderId="0"/>
    <xf numFmtId="0" fontId="51" fillId="0" borderId="4" applyNumberFormat="0" applyFill="0" applyAlignment="0" applyProtection="0"/>
    <xf numFmtId="0" fontId="49" fillId="0" borderId="4" applyNumberFormat="0" applyFill="0" applyAlignment="0" applyProtection="0"/>
    <xf numFmtId="0" fontId="93" fillId="0" borderId="0"/>
    <xf numFmtId="0" fontId="47" fillId="26" borderId="0" applyNumberFormat="0" applyBorder="0" applyAlignment="0" applyProtection="0"/>
    <xf numFmtId="0" fontId="38" fillId="26" borderId="0" applyNumberFormat="0" applyBorder="0" applyAlignment="0" applyProtection="0"/>
    <xf numFmtId="0" fontId="94" fillId="60" borderId="0" applyNumberFormat="0" applyBorder="0" applyAlignment="0" applyProtection="0"/>
    <xf numFmtId="0" fontId="38" fillId="26" borderId="0" applyNumberFormat="0" applyBorder="0" applyAlignment="0" applyProtection="0"/>
    <xf numFmtId="0" fontId="47" fillId="26" borderId="0" applyNumberFormat="0" applyBorder="0" applyAlignment="0" applyProtection="0"/>
    <xf numFmtId="0" fontId="47" fillId="26" borderId="0" applyNumberFormat="0" applyBorder="0" applyAlignment="0" applyProtection="0"/>
    <xf numFmtId="0" fontId="94" fillId="60" borderId="0" applyNumberFormat="0" applyBorder="0" applyAlignment="0" applyProtection="0"/>
    <xf numFmtId="0" fontId="47" fillId="26" borderId="0" applyNumberFormat="0" applyBorder="0" applyAlignment="0" applyProtection="0"/>
    <xf numFmtId="0" fontId="52" fillId="0" borderId="0"/>
    <xf numFmtId="0" fontId="11" fillId="0" borderId="0"/>
    <xf numFmtId="0" fontId="72" fillId="0" borderId="0"/>
    <xf numFmtId="0" fontId="14" fillId="0" borderId="0"/>
    <xf numFmtId="0" fontId="14" fillId="0" borderId="0"/>
    <xf numFmtId="0" fontId="11" fillId="0" borderId="0">
      <alignment vertical="distributed"/>
    </xf>
    <xf numFmtId="0" fontId="95" fillId="0" borderId="0"/>
    <xf numFmtId="0" fontId="95" fillId="0" borderId="0"/>
    <xf numFmtId="0" fontId="14" fillId="0" borderId="0"/>
    <xf numFmtId="0" fontId="72" fillId="0" borderId="0"/>
    <xf numFmtId="0" fontId="14" fillId="0" borderId="0"/>
    <xf numFmtId="0" fontId="11" fillId="0" borderId="0">
      <alignment vertical="distributed"/>
    </xf>
    <xf numFmtId="0" fontId="14" fillId="0" borderId="0"/>
    <xf numFmtId="0" fontId="67" fillId="0" borderId="0"/>
    <xf numFmtId="0" fontId="14" fillId="0" borderId="0"/>
    <xf numFmtId="0" fontId="14" fillId="0" borderId="0"/>
    <xf numFmtId="0" fontId="14" fillId="0" borderId="0"/>
    <xf numFmtId="0" fontId="73" fillId="0" borderId="0"/>
    <xf numFmtId="0" fontId="1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4" fillId="0" borderId="0"/>
    <xf numFmtId="0" fontId="4" fillId="0" borderId="0"/>
    <xf numFmtId="0" fontId="73" fillId="0" borderId="0"/>
    <xf numFmtId="0" fontId="73" fillId="0" borderId="0"/>
    <xf numFmtId="0" fontId="73" fillId="0" borderId="0"/>
    <xf numFmtId="0" fontId="73" fillId="0" borderId="0"/>
    <xf numFmtId="0" fontId="73" fillId="0" borderId="0"/>
    <xf numFmtId="0" fontId="14" fillId="0" borderId="0"/>
    <xf numFmtId="0" fontId="14" fillId="0" borderId="0"/>
    <xf numFmtId="0" fontId="14" fillId="0" borderId="0"/>
    <xf numFmtId="0" fontId="15" fillId="0" borderId="0"/>
    <xf numFmtId="0" fontId="14" fillId="0" borderId="0"/>
    <xf numFmtId="0" fontId="14" fillId="0" borderId="0"/>
    <xf numFmtId="0" fontId="73" fillId="0" borderId="0"/>
    <xf numFmtId="0" fontId="11" fillId="0" borderId="0"/>
    <xf numFmtId="0" fontId="11" fillId="0" borderId="0"/>
    <xf numFmtId="0" fontId="58" fillId="0" borderId="0"/>
    <xf numFmtId="0" fontId="14" fillId="0" borderId="0"/>
    <xf numFmtId="0" fontId="11" fillId="0" borderId="0"/>
    <xf numFmtId="0" fontId="17" fillId="0" borderId="0"/>
    <xf numFmtId="0" fontId="4" fillId="0" borderId="0"/>
    <xf numFmtId="0" fontId="4" fillId="0" borderId="0"/>
    <xf numFmtId="0" fontId="14" fillId="0" borderId="0"/>
    <xf numFmtId="0" fontId="14" fillId="0" borderId="0"/>
    <xf numFmtId="0" fontId="14" fillId="0" borderId="0"/>
    <xf numFmtId="0" fontId="14" fillId="0" borderId="0"/>
    <xf numFmtId="0" fontId="73" fillId="0" borderId="0"/>
    <xf numFmtId="0" fontId="73" fillId="0" borderId="0"/>
    <xf numFmtId="0" fontId="73" fillId="0" borderId="0"/>
    <xf numFmtId="0" fontId="73" fillId="0" borderId="0"/>
    <xf numFmtId="0" fontId="73" fillId="0" borderId="0"/>
    <xf numFmtId="0" fontId="73" fillId="0" borderId="0"/>
    <xf numFmtId="0" fontId="15" fillId="0" borderId="0"/>
    <xf numFmtId="0" fontId="14" fillId="0" borderId="0"/>
    <xf numFmtId="0" fontId="14" fillId="0" borderId="0"/>
    <xf numFmtId="0" fontId="11" fillId="0" borderId="0"/>
    <xf numFmtId="0" fontId="73" fillId="0" borderId="0"/>
    <xf numFmtId="0" fontId="11" fillId="0" borderId="0"/>
    <xf numFmtId="0" fontId="14" fillId="0" borderId="0"/>
    <xf numFmtId="0" fontId="11" fillId="0" borderId="0"/>
    <xf numFmtId="0" fontId="58" fillId="0" borderId="0"/>
    <xf numFmtId="0" fontId="11" fillId="0" borderId="0"/>
    <xf numFmtId="0" fontId="11" fillId="0" borderId="0"/>
    <xf numFmtId="0" fontId="17" fillId="0" borderId="0"/>
    <xf numFmtId="0" fontId="4" fillId="0" borderId="0"/>
    <xf numFmtId="0" fontId="17" fillId="0" borderId="0"/>
    <xf numFmtId="0" fontId="4" fillId="0" borderId="0"/>
    <xf numFmtId="0" fontId="17" fillId="0" borderId="0"/>
    <xf numFmtId="0" fontId="4" fillId="0" borderId="0"/>
    <xf numFmtId="0" fontId="17" fillId="0" borderId="0"/>
    <xf numFmtId="0" fontId="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3" fillId="0" borderId="0"/>
    <xf numFmtId="0" fontId="73" fillId="0" borderId="0"/>
    <xf numFmtId="0" fontId="11" fillId="0" borderId="0">
      <alignment vertical="distributed"/>
    </xf>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96" fillId="0" borderId="0"/>
    <xf numFmtId="0" fontId="96" fillId="0" borderId="0"/>
    <xf numFmtId="0" fontId="11" fillId="0" borderId="0"/>
    <xf numFmtId="0" fontId="11" fillId="0" borderId="0"/>
    <xf numFmtId="0" fontId="1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96"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4" fillId="0" borderId="0"/>
    <xf numFmtId="0" fontId="14" fillId="0" borderId="0"/>
    <xf numFmtId="0" fontId="73" fillId="0" borderId="0"/>
    <xf numFmtId="0" fontId="73" fillId="0" borderId="0"/>
    <xf numFmtId="0" fontId="11" fillId="0" borderId="0"/>
    <xf numFmtId="0" fontId="9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73" fillId="0" borderId="0"/>
    <xf numFmtId="0" fontId="11" fillId="0" borderId="0"/>
    <xf numFmtId="0" fontId="11" fillId="0" borderId="0"/>
    <xf numFmtId="0" fontId="11" fillId="0" borderId="0"/>
    <xf numFmtId="0" fontId="11" fillId="0" borderId="0"/>
    <xf numFmtId="0" fontId="14" fillId="0" borderId="0"/>
    <xf numFmtId="0" fontId="14" fillId="0" borderId="0"/>
    <xf numFmtId="0" fontId="14" fillId="0" borderId="0"/>
    <xf numFmtId="0" fontId="14" fillId="0" borderId="0"/>
    <xf numFmtId="0" fontId="5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73" fillId="0" borderId="0"/>
    <xf numFmtId="0" fontId="7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1" fillId="0" borderId="0"/>
    <xf numFmtId="0" fontId="11" fillId="0" borderId="0"/>
    <xf numFmtId="0" fontId="58" fillId="0" borderId="0"/>
    <xf numFmtId="0" fontId="11" fillId="0" borderId="0"/>
    <xf numFmtId="0" fontId="11" fillId="0" borderId="0"/>
    <xf numFmtId="0" fontId="11" fillId="0" borderId="0"/>
    <xf numFmtId="0" fontId="1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5" fillId="0" borderId="0"/>
    <xf numFmtId="0" fontId="14" fillId="0" borderId="0"/>
    <xf numFmtId="0" fontId="14" fillId="0" borderId="0"/>
    <xf numFmtId="0" fontId="96" fillId="0" borderId="0"/>
    <xf numFmtId="0" fontId="14" fillId="0" borderId="0"/>
    <xf numFmtId="0" fontId="73" fillId="0" borderId="0"/>
    <xf numFmtId="0" fontId="58" fillId="0" borderId="0"/>
    <xf numFmtId="0" fontId="11" fillId="0" borderId="0"/>
    <xf numFmtId="0" fontId="73" fillId="0" borderId="0"/>
    <xf numFmtId="0" fontId="73" fillId="0" borderId="0"/>
    <xf numFmtId="0" fontId="73" fillId="0" borderId="0"/>
    <xf numFmtId="0" fontId="73" fillId="0" borderId="0"/>
    <xf numFmtId="0" fontId="11" fillId="0" borderId="0"/>
    <xf numFmtId="0" fontId="11" fillId="0" borderId="0"/>
    <xf numFmtId="0" fontId="11" fillId="0" borderId="0"/>
    <xf numFmtId="0" fontId="11" fillId="0" borderId="0"/>
    <xf numFmtId="0" fontId="11" fillId="0" borderId="0"/>
    <xf numFmtId="0" fontId="72" fillId="0" borderId="0"/>
    <xf numFmtId="0" fontId="11" fillId="0" borderId="0"/>
    <xf numFmtId="0" fontId="72" fillId="0" borderId="0"/>
    <xf numFmtId="0" fontId="11" fillId="0" borderId="0">
      <alignment vertical="distributed"/>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15" fillId="0" borderId="0"/>
    <xf numFmtId="0" fontId="14" fillId="0" borderId="0"/>
    <xf numFmtId="0" fontId="14" fillId="0" borderId="0"/>
    <xf numFmtId="0" fontId="73" fillId="0" borderId="0"/>
    <xf numFmtId="0" fontId="11" fillId="0" borderId="0"/>
    <xf numFmtId="0" fontId="72" fillId="0" borderId="0"/>
    <xf numFmtId="0" fontId="14" fillId="0" borderId="0"/>
    <xf numFmtId="0" fontId="73" fillId="0" borderId="0"/>
    <xf numFmtId="0" fontId="72" fillId="0" borderId="0"/>
    <xf numFmtId="0" fontId="14" fillId="0" borderId="0"/>
    <xf numFmtId="0" fontId="11" fillId="0" borderId="0"/>
    <xf numFmtId="0" fontId="73" fillId="0" borderId="0"/>
    <xf numFmtId="0" fontId="11" fillId="0" borderId="0"/>
    <xf numFmtId="0" fontId="14" fillId="0" borderId="0"/>
    <xf numFmtId="0" fontId="15" fillId="0" borderId="0"/>
    <xf numFmtId="0" fontId="14" fillId="0" borderId="0"/>
    <xf numFmtId="0" fontId="11" fillId="0" borderId="0"/>
    <xf numFmtId="0" fontId="17" fillId="0" borderId="0"/>
    <xf numFmtId="0" fontId="4" fillId="0" borderId="0"/>
    <xf numFmtId="0" fontId="4" fillId="0" borderId="0"/>
    <xf numFmtId="0" fontId="11" fillId="0" borderId="0"/>
    <xf numFmtId="0" fontId="11" fillId="0" borderId="0"/>
    <xf numFmtId="0" fontId="11" fillId="0" borderId="0"/>
    <xf numFmtId="0" fontId="17" fillId="0" borderId="0"/>
    <xf numFmtId="0" fontId="4" fillId="0" borderId="0"/>
    <xf numFmtId="0" fontId="4" fillId="0" borderId="0"/>
    <xf numFmtId="0" fontId="4" fillId="0" borderId="0"/>
    <xf numFmtId="0" fontId="15" fillId="0" borderId="0"/>
    <xf numFmtId="0" fontId="14" fillId="0" borderId="0"/>
    <xf numFmtId="0" fontId="14" fillId="0" borderId="0"/>
    <xf numFmtId="0" fontId="58" fillId="0" borderId="0"/>
    <xf numFmtId="0" fontId="72" fillId="0" borderId="0"/>
    <xf numFmtId="0" fontId="58" fillId="0" borderId="0"/>
    <xf numFmtId="0" fontId="14" fillId="0" borderId="0"/>
    <xf numFmtId="0" fontId="73" fillId="0" borderId="0"/>
    <xf numFmtId="0" fontId="95" fillId="0" borderId="0"/>
    <xf numFmtId="0" fontId="72" fillId="0" borderId="0"/>
    <xf numFmtId="0" fontId="11" fillId="0" borderId="0"/>
    <xf numFmtId="0" fontId="11" fillId="0" borderId="0"/>
    <xf numFmtId="0" fontId="72" fillId="0" borderId="0"/>
    <xf numFmtId="0" fontId="73" fillId="0" borderId="0"/>
    <xf numFmtId="0" fontId="11" fillId="0" borderId="0"/>
    <xf numFmtId="0" fontId="52" fillId="0" borderId="0"/>
    <xf numFmtId="0" fontId="11" fillId="0" borderId="0"/>
    <xf numFmtId="0" fontId="73" fillId="0" borderId="0"/>
    <xf numFmtId="0" fontId="72" fillId="0" borderId="0"/>
    <xf numFmtId="0" fontId="52" fillId="0" borderId="0"/>
    <xf numFmtId="0" fontId="11" fillId="0" borderId="0"/>
    <xf numFmtId="0" fontId="13" fillId="57" borderId="25" applyNumberFormat="0" applyFont="0" applyAlignment="0" applyProtection="0"/>
    <xf numFmtId="0" fontId="13" fillId="22" borderId="5" applyNumberFormat="0" applyFont="0" applyAlignment="0" applyProtection="0"/>
    <xf numFmtId="0" fontId="11" fillId="22" borderId="5" applyNumberFormat="0" applyFont="0" applyAlignment="0" applyProtection="0"/>
    <xf numFmtId="0" fontId="11" fillId="57" borderId="25" applyNumberFormat="0" applyFont="0" applyAlignment="0" applyProtection="0"/>
    <xf numFmtId="0" fontId="11" fillId="57" borderId="25" applyNumberFormat="0" applyFont="0" applyAlignment="0" applyProtection="0"/>
    <xf numFmtId="0" fontId="11" fillId="57" borderId="25" applyNumberFormat="0" applyFont="0" applyAlignment="0" applyProtection="0"/>
    <xf numFmtId="0" fontId="58" fillId="22" borderId="5" applyNumberFormat="0" applyFont="0" applyAlignment="0" applyProtection="0"/>
    <xf numFmtId="0" fontId="11" fillId="57" borderId="25" applyNumberFormat="0" applyFont="0" applyAlignment="0" applyProtection="0"/>
    <xf numFmtId="0" fontId="11" fillId="57" borderId="25" applyNumberFormat="0" applyFont="0" applyAlignment="0" applyProtection="0"/>
    <xf numFmtId="0" fontId="65" fillId="22" borderId="5" applyNumberFormat="0" applyFont="0" applyAlignment="0" applyProtection="0"/>
    <xf numFmtId="0" fontId="11" fillId="7" borderId="25" applyNumberFormat="0" applyFont="0" applyAlignment="0" applyProtection="0"/>
    <xf numFmtId="0" fontId="13" fillId="22" borderId="5" applyNumberFormat="0" applyFont="0" applyAlignment="0" applyProtection="0"/>
    <xf numFmtId="0" fontId="11" fillId="22" borderId="5" applyNumberFormat="0" applyFont="0" applyAlignment="0" applyProtection="0"/>
    <xf numFmtId="0" fontId="11" fillId="57" borderId="25" applyNumberFormat="0" applyFont="0" applyAlignment="0" applyProtection="0"/>
    <xf numFmtId="0" fontId="14" fillId="22" borderId="5" applyNumberFormat="0" applyFont="0" applyAlignment="0" applyProtection="0"/>
    <xf numFmtId="0" fontId="11" fillId="22" borderId="5" applyNumberFormat="0" applyFont="0" applyAlignment="0" applyProtection="0"/>
    <xf numFmtId="0" fontId="13" fillId="22" borderId="5" applyNumberFormat="0" applyFont="0" applyAlignment="0" applyProtection="0"/>
    <xf numFmtId="0" fontId="11" fillId="22" borderId="5" applyNumberFormat="0" applyFont="0" applyAlignment="0" applyProtection="0"/>
    <xf numFmtId="0" fontId="14" fillId="22" borderId="5" applyNumberFormat="0" applyFont="0" applyAlignment="0" applyProtection="0"/>
    <xf numFmtId="0" fontId="11" fillId="22" borderId="5" applyNumberFormat="0" applyFont="0" applyAlignment="0" applyProtection="0"/>
    <xf numFmtId="0" fontId="15" fillId="22" borderId="5" applyNumberFormat="0" applyFont="0" applyAlignment="0" applyProtection="0"/>
    <xf numFmtId="0" fontId="14" fillId="22" borderId="5" applyNumberFormat="0" applyFont="0" applyAlignment="0" applyProtection="0"/>
    <xf numFmtId="0" fontId="14" fillId="22" borderId="5" applyNumberFormat="0" applyFont="0" applyAlignment="0" applyProtection="0"/>
    <xf numFmtId="0" fontId="61" fillId="57" borderId="25" applyNumberFormat="0" applyProtection="0">
      <alignment horizontal="left"/>
    </xf>
    <xf numFmtId="0" fontId="73" fillId="57" borderId="25" applyNumberFormat="0" applyFont="0" applyAlignment="0" applyProtection="0"/>
    <xf numFmtId="0" fontId="11" fillId="22" borderId="5" applyNumberFormat="0" applyFont="0" applyAlignment="0" applyProtection="0"/>
    <xf numFmtId="0" fontId="4" fillId="57" borderId="25" applyNumberFormat="0" applyFont="0" applyAlignment="0" applyProtection="0"/>
    <xf numFmtId="0" fontId="11" fillId="57" borderId="25" applyNumberFormat="0" applyFont="0" applyAlignment="0" applyProtection="0"/>
    <xf numFmtId="0" fontId="11" fillId="22" borderId="5" applyNumberFormat="0" applyFont="0" applyAlignment="0" applyProtection="0"/>
    <xf numFmtId="0" fontId="17" fillId="22" borderId="5" applyNumberFormat="0" applyFont="0" applyAlignment="0" applyProtection="0"/>
    <xf numFmtId="0" fontId="4" fillId="22" borderId="5" applyNumberFormat="0" applyFont="0" applyAlignment="0" applyProtection="0"/>
    <xf numFmtId="0" fontId="19" fillId="3" borderId="0" applyNumberFormat="0" applyBorder="0" applyAlignment="0" applyProtection="0"/>
    <xf numFmtId="0" fontId="11" fillId="57" borderId="25" applyNumberFormat="0" applyFont="0" applyAlignment="0" applyProtection="0"/>
    <xf numFmtId="0" fontId="11" fillId="57" borderId="25" applyNumberFormat="0" applyFont="0" applyAlignment="0" applyProtection="0"/>
    <xf numFmtId="0" fontId="24" fillId="20" borderId="10" applyNumberFormat="0" applyAlignment="0" applyProtection="0"/>
    <xf numFmtId="0" fontId="24" fillId="20" borderId="10" applyNumberFormat="0" applyAlignment="0" applyProtection="0"/>
    <xf numFmtId="0" fontId="39" fillId="20" borderId="10" applyNumberFormat="0" applyAlignment="0" applyProtection="0"/>
    <xf numFmtId="0" fontId="24" fillId="20" borderId="10" applyNumberFormat="0" applyAlignment="0" applyProtection="0"/>
    <xf numFmtId="0" fontId="24" fillId="20" borderId="10" applyNumberFormat="0" applyAlignment="0" applyProtection="0"/>
    <xf numFmtId="0" fontId="39" fillId="20" borderId="10" applyNumberFormat="0" applyAlignment="0" applyProtection="0"/>
    <xf numFmtId="0" fontId="97" fillId="55" borderId="29" applyNumberFormat="0" applyAlignment="0" applyProtection="0"/>
    <xf numFmtId="0" fontId="24" fillId="20" borderId="10" applyNumberFormat="0" applyAlignment="0" applyProtection="0"/>
    <xf numFmtId="9" fontId="14" fillId="0" borderId="0" applyFont="0" applyFill="0" applyBorder="0" applyAlignment="0" applyProtection="0"/>
    <xf numFmtId="9" fontId="73"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73" fillId="0" borderId="0" applyFont="0" applyFill="0" applyBorder="0" applyAlignment="0" applyProtection="0"/>
    <xf numFmtId="9" fontId="11" fillId="0" borderId="0" applyFont="0" applyFill="0" applyBorder="0" applyAlignment="0" applyProtection="0"/>
    <xf numFmtId="9" fontId="4" fillId="0" borderId="0" applyFont="0" applyFill="0" applyBorder="0" applyAlignment="0" applyProtection="0"/>
    <xf numFmtId="9" fontId="73" fillId="0" borderId="0" applyFont="0" applyFill="0" applyBorder="0" applyAlignment="0" applyProtection="0"/>
    <xf numFmtId="9" fontId="73"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72" fillId="0" borderId="0" applyFont="0" applyFill="0" applyBorder="0" applyAlignment="0" applyProtection="0"/>
    <xf numFmtId="9" fontId="5"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69" fontId="62" fillId="0" borderId="6" applyNumberFormat="0" applyFill="0" applyBorder="0" applyProtection="0">
      <alignment horizontal="left"/>
    </xf>
    <xf numFmtId="169" fontId="62" fillId="0" borderId="6" applyNumberFormat="0" applyFill="0" applyBorder="0" applyProtection="0">
      <alignment horizontal="left"/>
    </xf>
    <xf numFmtId="0" fontId="11" fillId="24"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57"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99" fillId="0" borderId="0" applyNumberFormat="0" applyFill="0" applyBorder="0" applyAlignment="0" applyProtection="0"/>
    <xf numFmtId="0" fontId="16" fillId="0" borderId="0" applyNumberFormat="0" applyFill="0" applyBorder="0" applyAlignment="0" applyProtection="0"/>
    <xf numFmtId="0" fontId="51" fillId="0" borderId="4" applyNumberFormat="0" applyFill="0" applyAlignment="0" applyProtection="0"/>
    <xf numFmtId="0" fontId="49" fillId="0" borderId="4" applyNumberFormat="0" applyFill="0" applyAlignment="0" applyProtection="0"/>
    <xf numFmtId="169" fontId="62" fillId="0" borderId="6" applyNumberFormat="0" applyFill="0" applyBorder="0" applyProtection="0">
      <alignment horizontal="right"/>
    </xf>
    <xf numFmtId="169" fontId="62" fillId="0" borderId="6" applyNumberFormat="0" applyFill="0" applyBorder="0" applyProtection="0">
      <alignment horizontal="right"/>
    </xf>
    <xf numFmtId="0" fontId="25" fillId="0" borderId="11" applyNumberFormat="0" applyFill="0" applyAlignment="0" applyProtection="0"/>
    <xf numFmtId="0" fontId="25" fillId="0" borderId="11" applyNumberFormat="0" applyFill="0" applyAlignment="0" applyProtection="0"/>
    <xf numFmtId="0" fontId="25" fillId="0" borderId="11" applyNumberFormat="0" applyFill="0" applyAlignment="0" applyProtection="0"/>
    <xf numFmtId="0" fontId="40" fillId="0" borderId="11" applyNumberFormat="0" applyFill="0" applyAlignment="0" applyProtection="0"/>
    <xf numFmtId="0" fontId="25" fillId="0" borderId="11" applyNumberFormat="0" applyFill="0" applyAlignment="0" applyProtection="0"/>
    <xf numFmtId="0" fontId="25" fillId="0" borderId="11" applyNumberFormat="0" applyFill="0" applyAlignment="0" applyProtection="0"/>
    <xf numFmtId="0" fontId="40" fillId="0" borderId="11" applyNumberFormat="0" applyFill="0" applyAlignment="0" applyProtection="0"/>
    <xf numFmtId="0" fontId="100" fillId="0" borderId="30" applyNumberFormat="0" applyFill="0" applyAlignment="0" applyProtection="0"/>
    <xf numFmtId="0" fontId="25" fillId="0" borderId="11" applyNumberFormat="0" applyFill="0" applyAlignment="0" applyProtection="0"/>
    <xf numFmtId="169" fontId="63" fillId="0" borderId="0" applyNumberFormat="0" applyFill="0" applyBorder="0" applyAlignment="0" applyProtection="0">
      <alignment horizontal="left"/>
    </xf>
    <xf numFmtId="0" fontId="24" fillId="20" borderId="10" applyNumberFormat="0" applyAlignment="0" applyProtection="0"/>
    <xf numFmtId="0" fontId="11" fillId="0" borderId="12">
      <alignment vertical="top" wrapText="1"/>
      <protection locked="0"/>
    </xf>
    <xf numFmtId="0" fontId="43" fillId="0" borderId="0" applyNumberFormat="0" applyFill="0" applyBorder="0" applyAlignment="0" applyProtection="0"/>
    <xf numFmtId="0" fontId="48" fillId="0" borderId="0" applyNumberFormat="0" applyFill="0" applyBorder="0" applyAlignment="0" applyProtection="0"/>
    <xf numFmtId="0" fontId="41" fillId="0" borderId="0" applyNumberFormat="0" applyFill="0" applyBorder="0" applyAlignment="0" applyProtection="0"/>
    <xf numFmtId="0" fontId="101" fillId="0" borderId="0" applyNumberFormat="0" applyFill="0" applyBorder="0" applyAlignment="0" applyProtection="0"/>
    <xf numFmtId="0" fontId="41"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98" fillId="0" borderId="0" applyNumberFormat="0" applyFill="0" applyBorder="0" applyAlignment="0" applyProtection="0"/>
    <xf numFmtId="0" fontId="48" fillId="0" borderId="0" applyNumberFormat="0" applyFill="0" applyBorder="0" applyAlignment="0" applyProtection="0"/>
    <xf numFmtId="0" fontId="64"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17">
    <xf numFmtId="0" fontId="0" fillId="0" borderId="0" xfId="0"/>
    <xf numFmtId="2" fontId="0" fillId="0" borderId="0" xfId="0" applyNumberFormat="1"/>
    <xf numFmtId="0" fontId="0" fillId="27" borderId="0" xfId="0" applyFill="1"/>
    <xf numFmtId="0" fontId="8" fillId="28" borderId="13" xfId="0" applyFont="1" applyFill="1" applyBorder="1"/>
    <xf numFmtId="0" fontId="8" fillId="61" borderId="13" xfId="0" applyFont="1" applyFill="1" applyBorder="1"/>
    <xf numFmtId="0" fontId="7" fillId="29" borderId="13" xfId="0" applyFont="1" applyFill="1" applyBorder="1" applyAlignment="1">
      <alignment horizontal="center" vertical="center"/>
    </xf>
    <xf numFmtId="0" fontId="7" fillId="29" borderId="13" xfId="0" applyFont="1" applyFill="1" applyBorder="1" applyAlignment="1">
      <alignment horizontal="center" vertical="center" wrapText="1"/>
    </xf>
    <xf numFmtId="2" fontId="7" fillId="29" borderId="13" xfId="0" applyNumberFormat="1" applyFont="1" applyFill="1" applyBorder="1" applyAlignment="1">
      <alignment horizontal="center" vertical="center"/>
    </xf>
    <xf numFmtId="2" fontId="7" fillId="29" borderId="13" xfId="0" applyNumberFormat="1" applyFont="1" applyFill="1" applyBorder="1" applyAlignment="1">
      <alignment horizontal="center" vertical="center" wrapText="1"/>
    </xf>
    <xf numFmtId="0" fontId="7" fillId="29" borderId="14" xfId="0" applyFont="1" applyFill="1" applyBorder="1" applyAlignment="1">
      <alignment horizontal="center" vertical="center"/>
    </xf>
    <xf numFmtId="0" fontId="102" fillId="0" borderId="0" xfId="0" applyFont="1"/>
    <xf numFmtId="4" fontId="8" fillId="0" borderId="15" xfId="0" applyNumberFormat="1" applyFont="1" applyBorder="1"/>
    <xf numFmtId="4" fontId="8" fillId="0" borderId="0" xfId="0" applyNumberFormat="1" applyFont="1"/>
    <xf numFmtId="4" fontId="8" fillId="0" borderId="16" xfId="0" applyNumberFormat="1" applyFont="1" applyBorder="1"/>
    <xf numFmtId="0" fontId="10" fillId="28" borderId="13" xfId="0" applyFont="1" applyFill="1" applyBorder="1" applyAlignment="1">
      <alignment horizontal="left"/>
    </xf>
    <xf numFmtId="0" fontId="10" fillId="61" borderId="13" xfId="0" applyFont="1" applyFill="1" applyBorder="1" applyAlignment="1">
      <alignment horizontal="left"/>
    </xf>
    <xf numFmtId="0" fontId="8" fillId="28" borderId="13" xfId="0" applyFont="1" applyFill="1" applyBorder="1" applyAlignment="1">
      <alignment horizontal="center"/>
    </xf>
    <xf numFmtId="0" fontId="8" fillId="61" borderId="13" xfId="0" applyFont="1" applyFill="1" applyBorder="1" applyAlignment="1">
      <alignment horizontal="center"/>
    </xf>
    <xf numFmtId="0" fontId="0" fillId="0" borderId="0" xfId="0" applyAlignment="1">
      <alignment horizontal="center"/>
    </xf>
    <xf numFmtId="49" fontId="8" fillId="28" borderId="13" xfId="0" applyNumberFormat="1" applyFont="1" applyFill="1" applyBorder="1" applyAlignment="1">
      <alignment horizontal="center"/>
    </xf>
    <xf numFmtId="49" fontId="8" fillId="61" borderId="13" xfId="0" applyNumberFormat="1" applyFont="1" applyFill="1" applyBorder="1" applyAlignment="1">
      <alignment horizontal="center"/>
    </xf>
    <xf numFmtId="2" fontId="8" fillId="0" borderId="15" xfId="0" applyNumberFormat="1" applyFont="1" applyBorder="1"/>
    <xf numFmtId="2" fontId="8" fillId="0" borderId="0" xfId="0" applyNumberFormat="1" applyFont="1"/>
    <xf numFmtId="2" fontId="8" fillId="0" borderId="16" xfId="0" applyNumberFormat="1" applyFont="1" applyBorder="1"/>
    <xf numFmtId="0" fontId="9" fillId="61" borderId="13" xfId="0" applyFont="1" applyFill="1" applyBorder="1"/>
    <xf numFmtId="0" fontId="6" fillId="61" borderId="13" xfId="0" applyFont="1" applyFill="1" applyBorder="1" applyAlignment="1">
      <alignment horizontal="left"/>
    </xf>
    <xf numFmtId="0" fontId="9" fillId="28" borderId="13" xfId="0" applyFont="1" applyFill="1" applyBorder="1"/>
    <xf numFmtId="0" fontId="68" fillId="29" borderId="13" xfId="0" applyFont="1" applyFill="1" applyBorder="1" applyAlignment="1">
      <alignment horizontal="center" vertical="center"/>
    </xf>
    <xf numFmtId="0" fontId="68" fillId="29" borderId="13" xfId="0" applyFont="1" applyFill="1" applyBorder="1" applyAlignment="1">
      <alignment horizontal="center" vertical="center" wrapText="1"/>
    </xf>
    <xf numFmtId="2" fontId="68" fillId="29" borderId="13" xfId="0" applyNumberFormat="1" applyFont="1" applyFill="1" applyBorder="1" applyAlignment="1">
      <alignment horizontal="center" vertical="center"/>
    </xf>
    <xf numFmtId="2" fontId="68" fillId="29" borderId="13" xfId="0" applyNumberFormat="1" applyFont="1" applyFill="1" applyBorder="1" applyAlignment="1">
      <alignment horizontal="center" vertical="center" wrapText="1"/>
    </xf>
    <xf numFmtId="0" fontId="68" fillId="29" borderId="14" xfId="0" applyFont="1" applyFill="1" applyBorder="1" applyAlignment="1">
      <alignment horizontal="center" vertical="center"/>
    </xf>
    <xf numFmtId="2" fontId="103" fillId="0" borderId="15" xfId="0" applyNumberFormat="1" applyFont="1" applyBorder="1"/>
    <xf numFmtId="2" fontId="103" fillId="0" borderId="0" xfId="0" applyNumberFormat="1" applyFont="1"/>
    <xf numFmtId="2" fontId="103" fillId="0" borderId="16" xfId="0" applyNumberFormat="1" applyFont="1" applyBorder="1"/>
    <xf numFmtId="0" fontId="103" fillId="61" borderId="13" xfId="0" applyFont="1" applyFill="1" applyBorder="1" applyAlignment="1">
      <alignment horizontal="center"/>
    </xf>
    <xf numFmtId="49" fontId="103" fillId="61" borderId="13" xfId="0" applyNumberFormat="1" applyFont="1" applyFill="1" applyBorder="1" applyAlignment="1">
      <alignment horizontal="center"/>
    </xf>
    <xf numFmtId="0" fontId="103" fillId="61" borderId="13" xfId="0" applyFont="1" applyFill="1" applyBorder="1"/>
    <xf numFmtId="4" fontId="104" fillId="0" borderId="15" xfId="0" applyNumberFormat="1" applyFont="1" applyBorder="1"/>
    <xf numFmtId="4" fontId="104" fillId="0" borderId="0" xfId="0" applyNumberFormat="1" applyFont="1"/>
    <xf numFmtId="4" fontId="104" fillId="0" borderId="16" xfId="0" applyNumberFormat="1" applyFont="1" applyBorder="1"/>
    <xf numFmtId="4" fontId="103" fillId="0" borderId="15" xfId="0" applyNumberFormat="1" applyFont="1" applyBorder="1"/>
    <xf numFmtId="4" fontId="103" fillId="0" borderId="0" xfId="0" applyNumberFormat="1" applyFont="1"/>
    <xf numFmtId="4" fontId="103" fillId="0" borderId="16" xfId="0" applyNumberFormat="1" applyFont="1" applyBorder="1"/>
    <xf numFmtId="0" fontId="105" fillId="0" borderId="0" xfId="0" applyFont="1"/>
    <xf numFmtId="0" fontId="106" fillId="29" borderId="13" xfId="0" applyFont="1" applyFill="1" applyBorder="1" applyAlignment="1">
      <alignment horizontal="center" vertical="center"/>
    </xf>
    <xf numFmtId="0" fontId="106" fillId="29" borderId="13" xfId="0" applyFont="1" applyFill="1" applyBorder="1" applyAlignment="1">
      <alignment horizontal="center" vertical="center" wrapText="1"/>
    </xf>
    <xf numFmtId="0" fontId="107" fillId="61" borderId="13" xfId="0" applyFont="1" applyFill="1" applyBorder="1" applyAlignment="1">
      <alignment horizontal="left"/>
    </xf>
    <xf numFmtId="0" fontId="105" fillId="63" borderId="0" xfId="0" applyFont="1" applyFill="1"/>
    <xf numFmtId="0" fontId="105" fillId="0" borderId="0" xfId="0" applyFont="1" applyAlignment="1">
      <alignment horizontal="center"/>
    </xf>
    <xf numFmtId="2" fontId="106" fillId="29" borderId="13" xfId="0" applyNumberFormat="1" applyFont="1" applyFill="1" applyBorder="1" applyAlignment="1">
      <alignment horizontal="center" vertical="center"/>
    </xf>
    <xf numFmtId="2" fontId="106" fillId="29" borderId="13" xfId="0" applyNumberFormat="1" applyFont="1" applyFill="1" applyBorder="1" applyAlignment="1">
      <alignment horizontal="center" vertical="center" wrapText="1"/>
    </xf>
    <xf numFmtId="0" fontId="106" fillId="29" borderId="14" xfId="0" applyFont="1" applyFill="1" applyBorder="1" applyAlignment="1">
      <alignment horizontal="center" vertical="center"/>
    </xf>
    <xf numFmtId="49" fontId="103" fillId="61" borderId="13" xfId="0" applyNumberFormat="1" applyFont="1" applyFill="1" applyBorder="1"/>
    <xf numFmtId="0" fontId="111" fillId="0" borderId="0" xfId="0" applyFont="1"/>
    <xf numFmtId="0" fontId="106" fillId="29" borderId="47" xfId="0" applyFont="1" applyFill="1" applyBorder="1" applyAlignment="1">
      <alignment vertical="center"/>
    </xf>
    <xf numFmtId="0" fontId="106" fillId="29" borderId="37" xfId="0" applyFont="1" applyFill="1" applyBorder="1" applyAlignment="1">
      <alignment vertical="center"/>
    </xf>
    <xf numFmtId="0" fontId="112" fillId="29" borderId="39" xfId="0" applyFont="1" applyFill="1" applyBorder="1" applyAlignment="1">
      <alignment vertical="center"/>
    </xf>
    <xf numFmtId="0" fontId="112" fillId="29" borderId="40" xfId="0" applyFont="1" applyFill="1" applyBorder="1" applyAlignment="1">
      <alignment vertical="center"/>
    </xf>
    <xf numFmtId="0" fontId="112" fillId="29" borderId="41" xfId="0" applyFont="1" applyFill="1" applyBorder="1" applyAlignment="1">
      <alignment vertical="center"/>
    </xf>
    <xf numFmtId="0" fontId="112" fillId="29" borderId="42" xfId="0" applyFont="1" applyFill="1" applyBorder="1" applyAlignment="1">
      <alignment vertical="center"/>
    </xf>
    <xf numFmtId="0" fontId="112" fillId="29" borderId="43" xfId="0" applyFont="1" applyFill="1" applyBorder="1" applyAlignment="1">
      <alignment vertical="center"/>
    </xf>
    <xf numFmtId="0" fontId="106" fillId="29" borderId="14" xfId="0" applyFont="1" applyFill="1" applyBorder="1" applyAlignment="1">
      <alignment vertical="center"/>
    </xf>
    <xf numFmtId="0" fontId="106" fillId="29" borderId="49" xfId="0" applyFont="1" applyFill="1" applyBorder="1" applyAlignment="1">
      <alignment vertical="center"/>
    </xf>
    <xf numFmtId="0" fontId="106" fillId="29" borderId="48" xfId="0" applyFont="1" applyFill="1" applyBorder="1" applyAlignment="1">
      <alignment vertical="center"/>
    </xf>
    <xf numFmtId="0" fontId="106" fillId="29" borderId="38" xfId="0" applyFont="1" applyFill="1" applyBorder="1" applyAlignment="1">
      <alignment vertical="center"/>
    </xf>
    <xf numFmtId="0" fontId="106" fillId="29" borderId="17" xfId="0" applyFont="1" applyFill="1" applyBorder="1" applyAlignment="1">
      <alignment vertical="center"/>
    </xf>
    <xf numFmtId="0" fontId="108" fillId="29" borderId="44" xfId="0" applyFont="1" applyFill="1" applyBorder="1" applyAlignment="1">
      <alignment horizontal="center" vertical="center" wrapText="1"/>
    </xf>
    <xf numFmtId="0" fontId="108" fillId="29" borderId="45" xfId="0" applyFont="1" applyFill="1" applyBorder="1" applyAlignment="1">
      <alignment horizontal="center" vertical="center" wrapText="1"/>
    </xf>
    <xf numFmtId="0" fontId="108" fillId="29" borderId="46" xfId="0" applyFont="1" applyFill="1" applyBorder="1" applyAlignment="1">
      <alignment horizontal="center" vertical="center" wrapText="1"/>
    </xf>
    <xf numFmtId="0" fontId="106" fillId="29" borderId="50" xfId="0" applyFont="1" applyFill="1" applyBorder="1" applyAlignment="1">
      <alignment vertical="center"/>
    </xf>
    <xf numFmtId="0" fontId="107" fillId="61" borderId="31" xfId="0" applyFont="1" applyFill="1" applyBorder="1" applyAlignment="1">
      <alignment horizontal="left"/>
    </xf>
    <xf numFmtId="0" fontId="103" fillId="61" borderId="33" xfId="0" applyFont="1" applyFill="1" applyBorder="1" applyAlignment="1">
      <alignment horizontal="left"/>
    </xf>
    <xf numFmtId="0" fontId="103" fillId="61" borderId="34" xfId="0" applyFont="1" applyFill="1" applyBorder="1" applyAlignment="1">
      <alignment horizontal="left"/>
    </xf>
    <xf numFmtId="4" fontId="103" fillId="0" borderId="36" xfId="0" applyNumberFormat="1" applyFont="1" applyBorder="1"/>
    <xf numFmtId="0" fontId="105" fillId="62" borderId="0" xfId="0" applyFont="1" applyFill="1"/>
    <xf numFmtId="0" fontId="7" fillId="29" borderId="15" xfId="0" applyFont="1" applyFill="1" applyBorder="1" applyAlignment="1">
      <alignment horizontal="center" vertical="center"/>
    </xf>
    <xf numFmtId="0" fontId="7" fillId="29" borderId="0" xfId="0" applyFont="1" applyFill="1" applyAlignment="1">
      <alignment horizontal="center" vertical="center"/>
    </xf>
    <xf numFmtId="0" fontId="7" fillId="29" borderId="17" xfId="0" applyFont="1" applyFill="1" applyBorder="1" applyAlignment="1">
      <alignment horizontal="center" vertical="center"/>
    </xf>
    <xf numFmtId="0" fontId="7" fillId="29" borderId="18" xfId="0" applyFont="1" applyFill="1" applyBorder="1" applyAlignment="1">
      <alignment horizontal="center" vertical="center"/>
    </xf>
    <xf numFmtId="0" fontId="6" fillId="29" borderId="19" xfId="0" applyFont="1" applyFill="1" applyBorder="1" applyAlignment="1">
      <alignment horizontal="left" vertical="top" wrapText="1"/>
    </xf>
    <xf numFmtId="0" fontId="6" fillId="29" borderId="20" xfId="0" applyFont="1" applyFill="1" applyBorder="1" applyAlignment="1">
      <alignment horizontal="left" vertical="top" wrapText="1"/>
    </xf>
    <xf numFmtId="0" fontId="7" fillId="29" borderId="15" xfId="0" applyFont="1" applyFill="1" applyBorder="1" applyAlignment="1">
      <alignment horizontal="center" vertical="center" wrapText="1"/>
    </xf>
    <xf numFmtId="0" fontId="6" fillId="29" borderId="14" xfId="0" applyFont="1" applyFill="1" applyBorder="1" applyAlignment="1">
      <alignment horizontal="left" vertical="top" wrapText="1"/>
    </xf>
    <xf numFmtId="0" fontId="7" fillId="29" borderId="0" xfId="0" applyFont="1" applyFill="1" applyAlignment="1">
      <alignment horizontal="center" vertical="center" wrapText="1"/>
    </xf>
    <xf numFmtId="0" fontId="68" fillId="29" borderId="15" xfId="0" applyFont="1" applyFill="1" applyBorder="1" applyAlignment="1">
      <alignment horizontal="center" vertical="center"/>
    </xf>
    <xf numFmtId="0" fontId="68" fillId="29" borderId="0" xfId="0" applyFont="1" applyFill="1" applyAlignment="1">
      <alignment horizontal="center" vertical="center"/>
    </xf>
    <xf numFmtId="0" fontId="6" fillId="29" borderId="14" xfId="0" applyFont="1" applyFill="1" applyBorder="1" applyAlignment="1">
      <alignment horizontal="left" vertical="justify" wrapText="1"/>
    </xf>
    <xf numFmtId="0" fontId="6" fillId="29" borderId="20" xfId="0" applyFont="1" applyFill="1" applyBorder="1" applyAlignment="1">
      <alignment horizontal="left" vertical="justify" wrapText="1"/>
    </xf>
    <xf numFmtId="0" fontId="6" fillId="29" borderId="21" xfId="0" applyFont="1" applyFill="1" applyBorder="1" applyAlignment="1">
      <alignment horizontal="left" vertical="top" wrapText="1"/>
    </xf>
    <xf numFmtId="0" fontId="6" fillId="29" borderId="0" xfId="0" applyFont="1" applyFill="1" applyAlignment="1">
      <alignment horizontal="left" vertical="top" wrapText="1"/>
    </xf>
    <xf numFmtId="0" fontId="108" fillId="29" borderId="20" xfId="0" applyFont="1" applyFill="1" applyBorder="1" applyAlignment="1">
      <alignment horizontal="left" vertical="top" wrapText="1"/>
    </xf>
    <xf numFmtId="0" fontId="106" fillId="29" borderId="15" xfId="0" applyFont="1" applyFill="1" applyBorder="1" applyAlignment="1">
      <alignment horizontal="center" vertical="center" wrapText="1"/>
    </xf>
    <xf numFmtId="0" fontId="106" fillId="29" borderId="0" xfId="0" applyFont="1" applyFill="1" applyAlignment="1">
      <alignment horizontal="center" vertical="center" wrapText="1"/>
    </xf>
    <xf numFmtId="0" fontId="106" fillId="29" borderId="17" xfId="0" applyFont="1" applyFill="1" applyBorder="1" applyAlignment="1">
      <alignment horizontal="center" vertical="center"/>
    </xf>
    <xf numFmtId="0" fontId="106" fillId="29" borderId="18" xfId="0" applyFont="1" applyFill="1" applyBorder="1" applyAlignment="1">
      <alignment horizontal="center" vertical="center"/>
    </xf>
    <xf numFmtId="0" fontId="106" fillId="29" borderId="15" xfId="0" applyFont="1" applyFill="1" applyBorder="1" applyAlignment="1">
      <alignment horizontal="center" vertical="center"/>
    </xf>
    <xf numFmtId="0" fontId="106" fillId="29" borderId="0" xfId="0" applyFont="1" applyFill="1" applyAlignment="1">
      <alignment horizontal="center" vertical="center"/>
    </xf>
    <xf numFmtId="0" fontId="108" fillId="29" borderId="0" xfId="0" applyFont="1" applyFill="1" applyAlignment="1">
      <alignment horizontal="left" vertical="center" wrapText="1"/>
    </xf>
    <xf numFmtId="0" fontId="108" fillId="29" borderId="15" xfId="0" applyFont="1" applyFill="1" applyBorder="1" applyAlignment="1">
      <alignment horizontal="left" vertical="top" wrapText="1"/>
    </xf>
    <xf numFmtId="0" fontId="108" fillId="29" borderId="0" xfId="0" applyFont="1" applyFill="1" applyAlignment="1">
      <alignment horizontal="left" vertical="top" wrapText="1"/>
    </xf>
    <xf numFmtId="0" fontId="106" fillId="29" borderId="15" xfId="0" applyFont="1" applyFill="1" applyBorder="1" applyAlignment="1">
      <alignment horizontal="center"/>
    </xf>
    <xf numFmtId="0" fontId="106" fillId="29" borderId="0" xfId="0" applyFont="1" applyFill="1" applyAlignment="1">
      <alignment horizontal="center"/>
    </xf>
    <xf numFmtId="0" fontId="106" fillId="29" borderId="18" xfId="0" applyFont="1" applyFill="1" applyBorder="1" applyAlignment="1">
      <alignment horizontal="center" vertical="center" wrapText="1"/>
    </xf>
    <xf numFmtId="0" fontId="113" fillId="61" borderId="35" xfId="0" applyFont="1" applyFill="1" applyBorder="1" applyAlignment="1">
      <alignment horizontal="center" vertical="center" textRotation="90"/>
    </xf>
    <xf numFmtId="0" fontId="113" fillId="61" borderId="51" xfId="0" applyFont="1" applyFill="1" applyBorder="1" applyAlignment="1">
      <alignment horizontal="center" vertical="center" textRotation="90"/>
    </xf>
    <xf numFmtId="0" fontId="113" fillId="61" borderId="20" xfId="0" applyFont="1" applyFill="1" applyBorder="1" applyAlignment="1">
      <alignment horizontal="center" vertical="center" textRotation="90"/>
    </xf>
    <xf numFmtId="0" fontId="113" fillId="61" borderId="0" xfId="0" applyFont="1" applyFill="1" applyAlignment="1">
      <alignment horizontal="center" vertical="center" textRotation="90"/>
    </xf>
    <xf numFmtId="0" fontId="113" fillId="61" borderId="52" xfId="0" applyFont="1" applyFill="1" applyBorder="1" applyAlignment="1">
      <alignment horizontal="center" vertical="center" textRotation="90"/>
    </xf>
    <xf numFmtId="0" fontId="113" fillId="61" borderId="53" xfId="0" applyFont="1" applyFill="1" applyBorder="1" applyAlignment="1">
      <alignment horizontal="center" vertical="center" textRotation="90"/>
    </xf>
    <xf numFmtId="0" fontId="113" fillId="61" borderId="54" xfId="0" applyFont="1" applyFill="1" applyBorder="1" applyAlignment="1">
      <alignment horizontal="center" vertical="center" textRotation="90"/>
    </xf>
    <xf numFmtId="0" fontId="113" fillId="61" borderId="55" xfId="0" applyFont="1" applyFill="1" applyBorder="1" applyAlignment="1">
      <alignment horizontal="center" vertical="center" textRotation="90"/>
    </xf>
    <xf numFmtId="0" fontId="113" fillId="61" borderId="32" xfId="0" applyFont="1" applyFill="1" applyBorder="1" applyAlignment="1">
      <alignment horizontal="center" vertical="center" textRotation="90"/>
    </xf>
    <xf numFmtId="0" fontId="105" fillId="0" borderId="0" xfId="0" applyFont="1" applyFill="1"/>
    <xf numFmtId="0" fontId="111" fillId="0" borderId="0" xfId="0" applyFont="1" applyFill="1"/>
    <xf numFmtId="49" fontId="103" fillId="0" borderId="13" xfId="0" applyNumberFormat="1" applyFont="1" applyFill="1" applyBorder="1"/>
    <xf numFmtId="0" fontId="8" fillId="0" borderId="13" xfId="0" applyFont="1" applyFill="1" applyBorder="1"/>
  </cellXfs>
  <cellStyles count="1097">
    <cellStyle name="20% - Accent1 2" xfId="1" xr:uid="{00000000-0005-0000-0000-000000000000}"/>
    <cellStyle name="20% - Accent1 2 2" xfId="2" xr:uid="{00000000-0005-0000-0000-000001000000}"/>
    <cellStyle name="20% - Accent1 2 2 2" xfId="3" xr:uid="{00000000-0005-0000-0000-000002000000}"/>
    <cellStyle name="20% - Accent1 2 2 3" xfId="4" xr:uid="{00000000-0005-0000-0000-000003000000}"/>
    <cellStyle name="20% - Accent1 2 3" xfId="5" xr:uid="{00000000-0005-0000-0000-000004000000}"/>
    <cellStyle name="20% - Accent1 2 4" xfId="6" xr:uid="{00000000-0005-0000-0000-000005000000}"/>
    <cellStyle name="20% - Accent1 2 5" xfId="7" xr:uid="{00000000-0005-0000-0000-000006000000}"/>
    <cellStyle name="20% - Accent1 2 6" xfId="8" xr:uid="{00000000-0005-0000-0000-000007000000}"/>
    <cellStyle name="20% - Accent1 2 7" xfId="9" xr:uid="{00000000-0005-0000-0000-000008000000}"/>
    <cellStyle name="20% - Accent1 2 7 2" xfId="10" xr:uid="{00000000-0005-0000-0000-000009000000}"/>
    <cellStyle name="20% - Accent1 2 8" xfId="11" xr:uid="{00000000-0005-0000-0000-00000A000000}"/>
    <cellStyle name="20% - Accent1 3" xfId="12" xr:uid="{00000000-0005-0000-0000-00000B000000}"/>
    <cellStyle name="20% - Accent1 3 2" xfId="13" xr:uid="{00000000-0005-0000-0000-00000C000000}"/>
    <cellStyle name="20% - Accent1 4" xfId="14" xr:uid="{00000000-0005-0000-0000-00000D000000}"/>
    <cellStyle name="20% - Accent1 5" xfId="15" xr:uid="{00000000-0005-0000-0000-00000E000000}"/>
    <cellStyle name="20% - Accent2 2" xfId="16" xr:uid="{00000000-0005-0000-0000-00000F000000}"/>
    <cellStyle name="20% - Accent2 2 2" xfId="17" xr:uid="{00000000-0005-0000-0000-000010000000}"/>
    <cellStyle name="20% - Accent2 2 2 2" xfId="18" xr:uid="{00000000-0005-0000-0000-000011000000}"/>
    <cellStyle name="20% - Accent2 2 3" xfId="19" xr:uid="{00000000-0005-0000-0000-000012000000}"/>
    <cellStyle name="20% - Accent2 2 4" xfId="20" xr:uid="{00000000-0005-0000-0000-000013000000}"/>
    <cellStyle name="20% - Accent2 2 5" xfId="21" xr:uid="{00000000-0005-0000-0000-000014000000}"/>
    <cellStyle name="20% - Accent2 2 6" xfId="22" xr:uid="{00000000-0005-0000-0000-000015000000}"/>
    <cellStyle name="20% - Accent2 2 7" xfId="23" xr:uid="{00000000-0005-0000-0000-000016000000}"/>
    <cellStyle name="20% - Accent2 3" xfId="24" xr:uid="{00000000-0005-0000-0000-000017000000}"/>
    <cellStyle name="20% - Accent2 3 2" xfId="25" xr:uid="{00000000-0005-0000-0000-000018000000}"/>
    <cellStyle name="20% - Accent2 4" xfId="26" xr:uid="{00000000-0005-0000-0000-000019000000}"/>
    <cellStyle name="20% - Accent2 4 2" xfId="27" xr:uid="{00000000-0005-0000-0000-00001A000000}"/>
    <cellStyle name="20% - Accent2 5" xfId="28" xr:uid="{00000000-0005-0000-0000-00001B000000}"/>
    <cellStyle name="20% - Accent2 5 2" xfId="29" xr:uid="{00000000-0005-0000-0000-00001C000000}"/>
    <cellStyle name="20% - Accent2 6" xfId="30" xr:uid="{00000000-0005-0000-0000-00001D000000}"/>
    <cellStyle name="20% - Accent2 7" xfId="31" xr:uid="{00000000-0005-0000-0000-00001E000000}"/>
    <cellStyle name="20% - Accent3 2" xfId="32" xr:uid="{00000000-0005-0000-0000-00001F000000}"/>
    <cellStyle name="20% - Accent3 2 2" xfId="33" xr:uid="{00000000-0005-0000-0000-000020000000}"/>
    <cellStyle name="20% - Accent3 2 2 2" xfId="34" xr:uid="{00000000-0005-0000-0000-000021000000}"/>
    <cellStyle name="20% - Accent3 2 3" xfId="35" xr:uid="{00000000-0005-0000-0000-000022000000}"/>
    <cellStyle name="20% - Accent3 2 4" xfId="36" xr:uid="{00000000-0005-0000-0000-000023000000}"/>
    <cellStyle name="20% - Accent3 2 5" xfId="37" xr:uid="{00000000-0005-0000-0000-000024000000}"/>
    <cellStyle name="20% - Accent3 2 6" xfId="38" xr:uid="{00000000-0005-0000-0000-000025000000}"/>
    <cellStyle name="20% - Accent3 2 7" xfId="39" xr:uid="{00000000-0005-0000-0000-000026000000}"/>
    <cellStyle name="20% - Accent3 3" xfId="40" xr:uid="{00000000-0005-0000-0000-000027000000}"/>
    <cellStyle name="20% - Accent3 3 2" xfId="41" xr:uid="{00000000-0005-0000-0000-000028000000}"/>
    <cellStyle name="20% - Accent3 4" xfId="42" xr:uid="{00000000-0005-0000-0000-000029000000}"/>
    <cellStyle name="20% - Accent3 4 2" xfId="43" xr:uid="{00000000-0005-0000-0000-00002A000000}"/>
    <cellStyle name="20% - Accent3 5" xfId="44" xr:uid="{00000000-0005-0000-0000-00002B000000}"/>
    <cellStyle name="20% - Accent3 5 2" xfId="45" xr:uid="{00000000-0005-0000-0000-00002C000000}"/>
    <cellStyle name="20% - Accent3 6" xfId="46" xr:uid="{00000000-0005-0000-0000-00002D000000}"/>
    <cellStyle name="20% - Accent3 7" xfId="47" xr:uid="{00000000-0005-0000-0000-00002E000000}"/>
    <cellStyle name="20% - Accent4 2" xfId="48" xr:uid="{00000000-0005-0000-0000-00002F000000}"/>
    <cellStyle name="20% - Accent4 2 2" xfId="49" xr:uid="{00000000-0005-0000-0000-000030000000}"/>
    <cellStyle name="20% - Accent4 2 2 2" xfId="50" xr:uid="{00000000-0005-0000-0000-000031000000}"/>
    <cellStyle name="20% - Accent4 2 3" xfId="51" xr:uid="{00000000-0005-0000-0000-000032000000}"/>
    <cellStyle name="20% - Accent4 2 4" xfId="52" xr:uid="{00000000-0005-0000-0000-000033000000}"/>
    <cellStyle name="20% - Accent4 2 5" xfId="53" xr:uid="{00000000-0005-0000-0000-000034000000}"/>
    <cellStyle name="20% - Accent4 2 6" xfId="54" xr:uid="{00000000-0005-0000-0000-000035000000}"/>
    <cellStyle name="20% - Accent4 2 7" xfId="55" xr:uid="{00000000-0005-0000-0000-000036000000}"/>
    <cellStyle name="20% - Accent4 3" xfId="56" xr:uid="{00000000-0005-0000-0000-000037000000}"/>
    <cellStyle name="20% - Accent4 3 2" xfId="57" xr:uid="{00000000-0005-0000-0000-000038000000}"/>
    <cellStyle name="20% - Accent4 4" xfId="58" xr:uid="{00000000-0005-0000-0000-000039000000}"/>
    <cellStyle name="20% - Accent4 4 2" xfId="59" xr:uid="{00000000-0005-0000-0000-00003A000000}"/>
    <cellStyle name="20% - Accent4 5" xfId="60" xr:uid="{00000000-0005-0000-0000-00003B000000}"/>
    <cellStyle name="20% - Accent4 5 2" xfId="61" xr:uid="{00000000-0005-0000-0000-00003C000000}"/>
    <cellStyle name="20% - Accent4 6" xfId="62" xr:uid="{00000000-0005-0000-0000-00003D000000}"/>
    <cellStyle name="20% - Accent4 7" xfId="63" xr:uid="{00000000-0005-0000-0000-00003E000000}"/>
    <cellStyle name="20% - Accent5 2" xfId="64" xr:uid="{00000000-0005-0000-0000-00003F000000}"/>
    <cellStyle name="20% - Accent5 2 2" xfId="65" xr:uid="{00000000-0005-0000-0000-000040000000}"/>
    <cellStyle name="20% - Accent5 2 2 2" xfId="66" xr:uid="{00000000-0005-0000-0000-000041000000}"/>
    <cellStyle name="20% - Accent5 2 3" xfId="67" xr:uid="{00000000-0005-0000-0000-000042000000}"/>
    <cellStyle name="20% - Accent5 2 4" xfId="68" xr:uid="{00000000-0005-0000-0000-000043000000}"/>
    <cellStyle name="20% - Accent5 2 5" xfId="69" xr:uid="{00000000-0005-0000-0000-000044000000}"/>
    <cellStyle name="20% - Accent5 2 6" xfId="70" xr:uid="{00000000-0005-0000-0000-000045000000}"/>
    <cellStyle name="20% - Accent5 2 7" xfId="71" xr:uid="{00000000-0005-0000-0000-000046000000}"/>
    <cellStyle name="20% - Accent5 3" xfId="72" xr:uid="{00000000-0005-0000-0000-000047000000}"/>
    <cellStyle name="20% - Accent5 3 2" xfId="73" xr:uid="{00000000-0005-0000-0000-000048000000}"/>
    <cellStyle name="20% - Accent5 4" xfId="74" xr:uid="{00000000-0005-0000-0000-000049000000}"/>
    <cellStyle name="20% - Accent5 4 2" xfId="75" xr:uid="{00000000-0005-0000-0000-00004A000000}"/>
    <cellStyle name="20% - Accent5 5" xfId="76" xr:uid="{00000000-0005-0000-0000-00004B000000}"/>
    <cellStyle name="20% - Accent5 5 2" xfId="77" xr:uid="{00000000-0005-0000-0000-00004C000000}"/>
    <cellStyle name="20% - Accent5 6" xfId="78" xr:uid="{00000000-0005-0000-0000-00004D000000}"/>
    <cellStyle name="20% - Accent5 7" xfId="79" xr:uid="{00000000-0005-0000-0000-00004E000000}"/>
    <cellStyle name="20% - Accent6 2" xfId="80" xr:uid="{00000000-0005-0000-0000-00004F000000}"/>
    <cellStyle name="20% - Accent6 2 2" xfId="81" xr:uid="{00000000-0005-0000-0000-000050000000}"/>
    <cellStyle name="20% - Accent6 2 2 2" xfId="82" xr:uid="{00000000-0005-0000-0000-000051000000}"/>
    <cellStyle name="20% - Accent6 2 2 3" xfId="83" xr:uid="{00000000-0005-0000-0000-000052000000}"/>
    <cellStyle name="20% - Accent6 2 3" xfId="84" xr:uid="{00000000-0005-0000-0000-000053000000}"/>
    <cellStyle name="20% - Accent6 2 4" xfId="85" xr:uid="{00000000-0005-0000-0000-000054000000}"/>
    <cellStyle name="20% - Accent6 2 5" xfId="86" xr:uid="{00000000-0005-0000-0000-000055000000}"/>
    <cellStyle name="20% - Accent6 2 6" xfId="87" xr:uid="{00000000-0005-0000-0000-000056000000}"/>
    <cellStyle name="20% - Accent6 2 7" xfId="88" xr:uid="{00000000-0005-0000-0000-000057000000}"/>
    <cellStyle name="20% - Accent6 2 7 2" xfId="89" xr:uid="{00000000-0005-0000-0000-000058000000}"/>
    <cellStyle name="20% - Accent6 2 8" xfId="90" xr:uid="{00000000-0005-0000-0000-000059000000}"/>
    <cellStyle name="20% - Accent6 3" xfId="91" xr:uid="{00000000-0005-0000-0000-00005A000000}"/>
    <cellStyle name="20% - Accent6 3 2" xfId="92" xr:uid="{00000000-0005-0000-0000-00005B000000}"/>
    <cellStyle name="20% - Accent6 4" xfId="93" xr:uid="{00000000-0005-0000-0000-00005C000000}"/>
    <cellStyle name="20% - Accent6 5" xfId="94" xr:uid="{00000000-0005-0000-0000-00005D000000}"/>
    <cellStyle name="40% - Accent1 2" xfId="95" xr:uid="{00000000-0005-0000-0000-00005E000000}"/>
    <cellStyle name="40% - Accent1 2 2" xfId="96" xr:uid="{00000000-0005-0000-0000-00005F000000}"/>
    <cellStyle name="40% - Accent1 2 2 2" xfId="97" xr:uid="{00000000-0005-0000-0000-000060000000}"/>
    <cellStyle name="40% - Accent1 2 3" xfId="98" xr:uid="{00000000-0005-0000-0000-000061000000}"/>
    <cellStyle name="40% - Accent1 2 4" xfId="99" xr:uid="{00000000-0005-0000-0000-000062000000}"/>
    <cellStyle name="40% - Accent1 2 5" xfId="100" xr:uid="{00000000-0005-0000-0000-000063000000}"/>
    <cellStyle name="40% - Accent1 2 6" xfId="101" xr:uid="{00000000-0005-0000-0000-000064000000}"/>
    <cellStyle name="40% - Accent1 2 7" xfId="102" xr:uid="{00000000-0005-0000-0000-000065000000}"/>
    <cellStyle name="40% - Accent1 3" xfId="103" xr:uid="{00000000-0005-0000-0000-000066000000}"/>
    <cellStyle name="40% - Accent1 3 2" xfId="104" xr:uid="{00000000-0005-0000-0000-000067000000}"/>
    <cellStyle name="40% - Accent1 4" xfId="105" xr:uid="{00000000-0005-0000-0000-000068000000}"/>
    <cellStyle name="40% - Accent1 4 2" xfId="106" xr:uid="{00000000-0005-0000-0000-000069000000}"/>
    <cellStyle name="40% - Accent1 5" xfId="107" xr:uid="{00000000-0005-0000-0000-00006A000000}"/>
    <cellStyle name="40% - Accent1 5 2" xfId="108" xr:uid="{00000000-0005-0000-0000-00006B000000}"/>
    <cellStyle name="40% - Accent1 6" xfId="109" xr:uid="{00000000-0005-0000-0000-00006C000000}"/>
    <cellStyle name="40% - Accent1 7" xfId="110" xr:uid="{00000000-0005-0000-0000-00006D000000}"/>
    <cellStyle name="40% - Accent2 2" xfId="111" xr:uid="{00000000-0005-0000-0000-00006E000000}"/>
    <cellStyle name="40% - Accent2 2 2" xfId="112" xr:uid="{00000000-0005-0000-0000-00006F000000}"/>
    <cellStyle name="40% - Accent2 2 2 2" xfId="113" xr:uid="{00000000-0005-0000-0000-000070000000}"/>
    <cellStyle name="40% - Accent2 2 3" xfId="114" xr:uid="{00000000-0005-0000-0000-000071000000}"/>
    <cellStyle name="40% - Accent2 2 4" xfId="115" xr:uid="{00000000-0005-0000-0000-000072000000}"/>
    <cellStyle name="40% - Accent2 2 5" xfId="116" xr:uid="{00000000-0005-0000-0000-000073000000}"/>
    <cellStyle name="40% - Accent2 2 6" xfId="117" xr:uid="{00000000-0005-0000-0000-000074000000}"/>
    <cellStyle name="40% - Accent2 2 7" xfId="118" xr:uid="{00000000-0005-0000-0000-000075000000}"/>
    <cellStyle name="40% - Accent2 3" xfId="119" xr:uid="{00000000-0005-0000-0000-000076000000}"/>
    <cellStyle name="40% - Accent2 3 2" xfId="120" xr:uid="{00000000-0005-0000-0000-000077000000}"/>
    <cellStyle name="40% - Accent2 4" xfId="121" xr:uid="{00000000-0005-0000-0000-000078000000}"/>
    <cellStyle name="40% - Accent2 4 2" xfId="122" xr:uid="{00000000-0005-0000-0000-000079000000}"/>
    <cellStyle name="40% - Accent2 5" xfId="123" xr:uid="{00000000-0005-0000-0000-00007A000000}"/>
    <cellStyle name="40% - Accent2 5 2" xfId="124" xr:uid="{00000000-0005-0000-0000-00007B000000}"/>
    <cellStyle name="40% - Accent2 6" xfId="125" xr:uid="{00000000-0005-0000-0000-00007C000000}"/>
    <cellStyle name="40% - Accent2 7" xfId="126" xr:uid="{00000000-0005-0000-0000-00007D000000}"/>
    <cellStyle name="40% - Accent3 2" xfId="127" xr:uid="{00000000-0005-0000-0000-00007E000000}"/>
    <cellStyle name="40% - Accent3 2 2" xfId="128" xr:uid="{00000000-0005-0000-0000-00007F000000}"/>
    <cellStyle name="40% - Accent3 2 2 2" xfId="129" xr:uid="{00000000-0005-0000-0000-000080000000}"/>
    <cellStyle name="40% - Accent3 2 3" xfId="130" xr:uid="{00000000-0005-0000-0000-000081000000}"/>
    <cellStyle name="40% - Accent3 2 4" xfId="131" xr:uid="{00000000-0005-0000-0000-000082000000}"/>
    <cellStyle name="40% - Accent3 2 5" xfId="132" xr:uid="{00000000-0005-0000-0000-000083000000}"/>
    <cellStyle name="40% - Accent3 2 6" xfId="133" xr:uid="{00000000-0005-0000-0000-000084000000}"/>
    <cellStyle name="40% - Accent3 2 7" xfId="134" xr:uid="{00000000-0005-0000-0000-000085000000}"/>
    <cellStyle name="40% - Accent3 3" xfId="135" xr:uid="{00000000-0005-0000-0000-000086000000}"/>
    <cellStyle name="40% - Accent3 3 2" xfId="136" xr:uid="{00000000-0005-0000-0000-000087000000}"/>
    <cellStyle name="40% - Accent3 4" xfId="137" xr:uid="{00000000-0005-0000-0000-000088000000}"/>
    <cellStyle name="40% - Accent3 4 2" xfId="138" xr:uid="{00000000-0005-0000-0000-000089000000}"/>
    <cellStyle name="40% - Accent3 5" xfId="139" xr:uid="{00000000-0005-0000-0000-00008A000000}"/>
    <cellStyle name="40% - Accent3 5 2" xfId="140" xr:uid="{00000000-0005-0000-0000-00008B000000}"/>
    <cellStyle name="40% - Accent3 6" xfId="141" xr:uid="{00000000-0005-0000-0000-00008C000000}"/>
    <cellStyle name="40% - Accent3 7" xfId="142" xr:uid="{00000000-0005-0000-0000-00008D000000}"/>
    <cellStyle name="40% - Accent4 2" xfId="143" xr:uid="{00000000-0005-0000-0000-00008E000000}"/>
    <cellStyle name="40% - Accent4 2 2" xfId="144" xr:uid="{00000000-0005-0000-0000-00008F000000}"/>
    <cellStyle name="40% - Accent4 2 2 2" xfId="145" xr:uid="{00000000-0005-0000-0000-000090000000}"/>
    <cellStyle name="40% - Accent4 2 3" xfId="146" xr:uid="{00000000-0005-0000-0000-000091000000}"/>
    <cellStyle name="40% - Accent4 2 4" xfId="147" xr:uid="{00000000-0005-0000-0000-000092000000}"/>
    <cellStyle name="40% - Accent4 2 5" xfId="148" xr:uid="{00000000-0005-0000-0000-000093000000}"/>
    <cellStyle name="40% - Accent4 2 6" xfId="149" xr:uid="{00000000-0005-0000-0000-000094000000}"/>
    <cellStyle name="40% - Accent4 2 7" xfId="150" xr:uid="{00000000-0005-0000-0000-000095000000}"/>
    <cellStyle name="40% - Accent4 3" xfId="151" xr:uid="{00000000-0005-0000-0000-000096000000}"/>
    <cellStyle name="40% - Accent4 3 2" xfId="152" xr:uid="{00000000-0005-0000-0000-000097000000}"/>
    <cellStyle name="40% - Accent4 4" xfId="153" xr:uid="{00000000-0005-0000-0000-000098000000}"/>
    <cellStyle name="40% - Accent4 4 2" xfId="154" xr:uid="{00000000-0005-0000-0000-000099000000}"/>
    <cellStyle name="40% - Accent4 5" xfId="155" xr:uid="{00000000-0005-0000-0000-00009A000000}"/>
    <cellStyle name="40% - Accent4 5 2" xfId="156" xr:uid="{00000000-0005-0000-0000-00009B000000}"/>
    <cellStyle name="40% - Accent4 6" xfId="157" xr:uid="{00000000-0005-0000-0000-00009C000000}"/>
    <cellStyle name="40% - Accent4 7" xfId="158" xr:uid="{00000000-0005-0000-0000-00009D000000}"/>
    <cellStyle name="40% - Accent5 2" xfId="159" xr:uid="{00000000-0005-0000-0000-00009E000000}"/>
    <cellStyle name="40% - Accent5 2 2" xfId="160" xr:uid="{00000000-0005-0000-0000-00009F000000}"/>
    <cellStyle name="40% - Accent5 2 2 2" xfId="161" xr:uid="{00000000-0005-0000-0000-0000A0000000}"/>
    <cellStyle name="40% - Accent5 2 3" xfId="162" xr:uid="{00000000-0005-0000-0000-0000A1000000}"/>
    <cellStyle name="40% - Accent5 2 4" xfId="163" xr:uid="{00000000-0005-0000-0000-0000A2000000}"/>
    <cellStyle name="40% - Accent5 2 5" xfId="164" xr:uid="{00000000-0005-0000-0000-0000A3000000}"/>
    <cellStyle name="40% - Accent5 2 6" xfId="165" xr:uid="{00000000-0005-0000-0000-0000A4000000}"/>
    <cellStyle name="40% - Accent5 2 7" xfId="166" xr:uid="{00000000-0005-0000-0000-0000A5000000}"/>
    <cellStyle name="40% - Accent5 3" xfId="167" xr:uid="{00000000-0005-0000-0000-0000A6000000}"/>
    <cellStyle name="40% - Accent5 3 2" xfId="168" xr:uid="{00000000-0005-0000-0000-0000A7000000}"/>
    <cellStyle name="40% - Accent5 4" xfId="169" xr:uid="{00000000-0005-0000-0000-0000A8000000}"/>
    <cellStyle name="40% - Accent5 4 2" xfId="170" xr:uid="{00000000-0005-0000-0000-0000A9000000}"/>
    <cellStyle name="40% - Accent5 5" xfId="171" xr:uid="{00000000-0005-0000-0000-0000AA000000}"/>
    <cellStyle name="40% - Accent5 5 2" xfId="172" xr:uid="{00000000-0005-0000-0000-0000AB000000}"/>
    <cellStyle name="40% - Accent5 6" xfId="173" xr:uid="{00000000-0005-0000-0000-0000AC000000}"/>
    <cellStyle name="40% - Accent5 7" xfId="174" xr:uid="{00000000-0005-0000-0000-0000AD000000}"/>
    <cellStyle name="40% - Accent6 2" xfId="175" xr:uid="{00000000-0005-0000-0000-0000AE000000}"/>
    <cellStyle name="40% - Accent6 2 2" xfId="176" xr:uid="{00000000-0005-0000-0000-0000AF000000}"/>
    <cellStyle name="40% - Accent6 2 2 2" xfId="177" xr:uid="{00000000-0005-0000-0000-0000B0000000}"/>
    <cellStyle name="40% - Accent6 2 3" xfId="178" xr:uid="{00000000-0005-0000-0000-0000B1000000}"/>
    <cellStyle name="40% - Accent6 2 4" xfId="179" xr:uid="{00000000-0005-0000-0000-0000B2000000}"/>
    <cellStyle name="40% - Accent6 2 5" xfId="180" xr:uid="{00000000-0005-0000-0000-0000B3000000}"/>
    <cellStyle name="40% - Accent6 2 6" xfId="181" xr:uid="{00000000-0005-0000-0000-0000B4000000}"/>
    <cellStyle name="40% - Accent6 2 7" xfId="182" xr:uid="{00000000-0005-0000-0000-0000B5000000}"/>
    <cellStyle name="40% - Accent6 3" xfId="183" xr:uid="{00000000-0005-0000-0000-0000B6000000}"/>
    <cellStyle name="40% - Accent6 3 2" xfId="184" xr:uid="{00000000-0005-0000-0000-0000B7000000}"/>
    <cellStyle name="40% - Accent6 4" xfId="185" xr:uid="{00000000-0005-0000-0000-0000B8000000}"/>
    <cellStyle name="40% - Accent6 4 2" xfId="186" xr:uid="{00000000-0005-0000-0000-0000B9000000}"/>
    <cellStyle name="40% - Accent6 5" xfId="187" xr:uid="{00000000-0005-0000-0000-0000BA000000}"/>
    <cellStyle name="40% - Accent6 5 2" xfId="188" xr:uid="{00000000-0005-0000-0000-0000BB000000}"/>
    <cellStyle name="40% - Accent6 6" xfId="189" xr:uid="{00000000-0005-0000-0000-0000BC000000}"/>
    <cellStyle name="40% - Accent6 7" xfId="190" xr:uid="{00000000-0005-0000-0000-0000BD000000}"/>
    <cellStyle name="60% - Accent1 2" xfId="191" xr:uid="{00000000-0005-0000-0000-0000BE000000}"/>
    <cellStyle name="60% - Accent1 2 2" xfId="192" xr:uid="{00000000-0005-0000-0000-0000BF000000}"/>
    <cellStyle name="60% - Accent1 2 3" xfId="193" xr:uid="{00000000-0005-0000-0000-0000C0000000}"/>
    <cellStyle name="60% - Accent1 2 4" xfId="194" xr:uid="{00000000-0005-0000-0000-0000C1000000}"/>
    <cellStyle name="60% - Accent1 3" xfId="195" xr:uid="{00000000-0005-0000-0000-0000C2000000}"/>
    <cellStyle name="60% - Accent1 4" xfId="196" xr:uid="{00000000-0005-0000-0000-0000C3000000}"/>
    <cellStyle name="60% - Accent1 5" xfId="197" xr:uid="{00000000-0005-0000-0000-0000C4000000}"/>
    <cellStyle name="60% - Accent2 2" xfId="198" xr:uid="{00000000-0005-0000-0000-0000C5000000}"/>
    <cellStyle name="60% - Accent2 2 2" xfId="199" xr:uid="{00000000-0005-0000-0000-0000C6000000}"/>
    <cellStyle name="60% - Accent2 2 3" xfId="200" xr:uid="{00000000-0005-0000-0000-0000C7000000}"/>
    <cellStyle name="60% - Accent2 3" xfId="201" xr:uid="{00000000-0005-0000-0000-0000C8000000}"/>
    <cellStyle name="60% - Accent2 4" xfId="202" xr:uid="{00000000-0005-0000-0000-0000C9000000}"/>
    <cellStyle name="60% - Accent2 5" xfId="203" xr:uid="{00000000-0005-0000-0000-0000CA000000}"/>
    <cellStyle name="60% - Accent2 6" xfId="204" xr:uid="{00000000-0005-0000-0000-0000CB000000}"/>
    <cellStyle name="60% - Accent2 7" xfId="205" xr:uid="{00000000-0005-0000-0000-0000CC000000}"/>
    <cellStyle name="60% - Accent3 2" xfId="206" xr:uid="{00000000-0005-0000-0000-0000CD000000}"/>
    <cellStyle name="60% - Accent3 2 2" xfId="207" xr:uid="{00000000-0005-0000-0000-0000CE000000}"/>
    <cellStyle name="60% - Accent3 2 3" xfId="208" xr:uid="{00000000-0005-0000-0000-0000CF000000}"/>
    <cellStyle name="60% - Accent3 3" xfId="209" xr:uid="{00000000-0005-0000-0000-0000D0000000}"/>
    <cellStyle name="60% - Accent3 4" xfId="210" xr:uid="{00000000-0005-0000-0000-0000D1000000}"/>
    <cellStyle name="60% - Accent3 5" xfId="211" xr:uid="{00000000-0005-0000-0000-0000D2000000}"/>
    <cellStyle name="60% - Accent3 6" xfId="212" xr:uid="{00000000-0005-0000-0000-0000D3000000}"/>
    <cellStyle name="60% - Accent3 7" xfId="213" xr:uid="{00000000-0005-0000-0000-0000D4000000}"/>
    <cellStyle name="60% - Accent4 2" xfId="214" xr:uid="{00000000-0005-0000-0000-0000D5000000}"/>
    <cellStyle name="60% - Accent4 2 2" xfId="215" xr:uid="{00000000-0005-0000-0000-0000D6000000}"/>
    <cellStyle name="60% - Accent4 2 3" xfId="216" xr:uid="{00000000-0005-0000-0000-0000D7000000}"/>
    <cellStyle name="60% - Accent4 3" xfId="217" xr:uid="{00000000-0005-0000-0000-0000D8000000}"/>
    <cellStyle name="60% - Accent4 4" xfId="218" xr:uid="{00000000-0005-0000-0000-0000D9000000}"/>
    <cellStyle name="60% - Accent4 5" xfId="219" xr:uid="{00000000-0005-0000-0000-0000DA000000}"/>
    <cellStyle name="60% - Accent4 6" xfId="220" xr:uid="{00000000-0005-0000-0000-0000DB000000}"/>
    <cellStyle name="60% - Accent4 7" xfId="221" xr:uid="{00000000-0005-0000-0000-0000DC000000}"/>
    <cellStyle name="60% - Accent5 2" xfId="222" xr:uid="{00000000-0005-0000-0000-0000DD000000}"/>
    <cellStyle name="60% - Accent5 2 2" xfId="223" xr:uid="{00000000-0005-0000-0000-0000DE000000}"/>
    <cellStyle name="60% - Accent5 2 3" xfId="224" xr:uid="{00000000-0005-0000-0000-0000DF000000}"/>
    <cellStyle name="60% - Accent5 3" xfId="225" xr:uid="{00000000-0005-0000-0000-0000E0000000}"/>
    <cellStyle name="60% - Accent5 4" xfId="226" xr:uid="{00000000-0005-0000-0000-0000E1000000}"/>
    <cellStyle name="60% - Accent5 5" xfId="227" xr:uid="{00000000-0005-0000-0000-0000E2000000}"/>
    <cellStyle name="60% - Accent5 6" xfId="228" xr:uid="{00000000-0005-0000-0000-0000E3000000}"/>
    <cellStyle name="60% - Accent5 7" xfId="229" xr:uid="{00000000-0005-0000-0000-0000E4000000}"/>
    <cellStyle name="60% - Accent6 2" xfId="230" xr:uid="{00000000-0005-0000-0000-0000E5000000}"/>
    <cellStyle name="60% - Accent6 2 2" xfId="231" xr:uid="{00000000-0005-0000-0000-0000E6000000}"/>
    <cellStyle name="60% - Accent6 2 3" xfId="232" xr:uid="{00000000-0005-0000-0000-0000E7000000}"/>
    <cellStyle name="60% - Accent6 3" xfId="233" xr:uid="{00000000-0005-0000-0000-0000E8000000}"/>
    <cellStyle name="60% - Accent6 4" xfId="234" xr:uid="{00000000-0005-0000-0000-0000E9000000}"/>
    <cellStyle name="60% - Accent6 5" xfId="235" xr:uid="{00000000-0005-0000-0000-0000EA000000}"/>
    <cellStyle name="60% - Accent6 6" xfId="236" xr:uid="{00000000-0005-0000-0000-0000EB000000}"/>
    <cellStyle name="60% - Accent6 7" xfId="237" xr:uid="{00000000-0005-0000-0000-0000EC000000}"/>
    <cellStyle name="Accent1 2" xfId="238" xr:uid="{00000000-0005-0000-0000-0000ED000000}"/>
    <cellStyle name="Accent1 2 2" xfId="239" xr:uid="{00000000-0005-0000-0000-0000EE000000}"/>
    <cellStyle name="Accent1 2 3" xfId="240" xr:uid="{00000000-0005-0000-0000-0000EF000000}"/>
    <cellStyle name="Accent1 3" xfId="241" xr:uid="{00000000-0005-0000-0000-0000F0000000}"/>
    <cellStyle name="Accent1 4" xfId="242" xr:uid="{00000000-0005-0000-0000-0000F1000000}"/>
    <cellStyle name="Accent1 5" xfId="243" xr:uid="{00000000-0005-0000-0000-0000F2000000}"/>
    <cellStyle name="Accent1 6" xfId="244" xr:uid="{00000000-0005-0000-0000-0000F3000000}"/>
    <cellStyle name="Accent1 7" xfId="245" xr:uid="{00000000-0005-0000-0000-0000F4000000}"/>
    <cellStyle name="Accent2 2" xfId="246" xr:uid="{00000000-0005-0000-0000-0000F5000000}"/>
    <cellStyle name="Accent2 2 2" xfId="247" xr:uid="{00000000-0005-0000-0000-0000F6000000}"/>
    <cellStyle name="Accent2 2 3" xfId="248" xr:uid="{00000000-0005-0000-0000-0000F7000000}"/>
    <cellStyle name="Accent2 3" xfId="249" xr:uid="{00000000-0005-0000-0000-0000F8000000}"/>
    <cellStyle name="Accent2 4" xfId="250" xr:uid="{00000000-0005-0000-0000-0000F9000000}"/>
    <cellStyle name="Accent2 5" xfId="251" xr:uid="{00000000-0005-0000-0000-0000FA000000}"/>
    <cellStyle name="Accent2 6" xfId="252" xr:uid="{00000000-0005-0000-0000-0000FB000000}"/>
    <cellStyle name="Accent2 7" xfId="253" xr:uid="{00000000-0005-0000-0000-0000FC000000}"/>
    <cellStyle name="Accent3 2" xfId="254" xr:uid="{00000000-0005-0000-0000-0000FD000000}"/>
    <cellStyle name="Accent3 2 2" xfId="255" xr:uid="{00000000-0005-0000-0000-0000FE000000}"/>
    <cellStyle name="Accent3 2 3" xfId="256" xr:uid="{00000000-0005-0000-0000-0000FF000000}"/>
    <cellStyle name="Accent3 2 4" xfId="257" xr:uid="{00000000-0005-0000-0000-000000010000}"/>
    <cellStyle name="Accent3 3" xfId="258" xr:uid="{00000000-0005-0000-0000-000001010000}"/>
    <cellStyle name="Accent3 4" xfId="259" xr:uid="{00000000-0005-0000-0000-000002010000}"/>
    <cellStyle name="Accent3 5" xfId="260" xr:uid="{00000000-0005-0000-0000-000003010000}"/>
    <cellStyle name="Accent4 2" xfId="261" xr:uid="{00000000-0005-0000-0000-000004010000}"/>
    <cellStyle name="Accent4 2 2" xfId="262" xr:uid="{00000000-0005-0000-0000-000005010000}"/>
    <cellStyle name="Accent4 2 3" xfId="263" xr:uid="{00000000-0005-0000-0000-000006010000}"/>
    <cellStyle name="Accent4 3" xfId="264" xr:uid="{00000000-0005-0000-0000-000007010000}"/>
    <cellStyle name="Accent4 4" xfId="265" xr:uid="{00000000-0005-0000-0000-000008010000}"/>
    <cellStyle name="Accent4 5" xfId="266" xr:uid="{00000000-0005-0000-0000-000009010000}"/>
    <cellStyle name="Accent4 6" xfId="267" xr:uid="{00000000-0005-0000-0000-00000A010000}"/>
    <cellStyle name="Accent4 7" xfId="268" xr:uid="{00000000-0005-0000-0000-00000B010000}"/>
    <cellStyle name="Accent5 2" xfId="269" xr:uid="{00000000-0005-0000-0000-00000C010000}"/>
    <cellStyle name="Accent5 2 2" xfId="270" xr:uid="{00000000-0005-0000-0000-00000D010000}"/>
    <cellStyle name="Accent5 2 3" xfId="271" xr:uid="{00000000-0005-0000-0000-00000E010000}"/>
    <cellStyle name="Accent5 2 4" xfId="272" xr:uid="{00000000-0005-0000-0000-00000F010000}"/>
    <cellStyle name="Accent5 3" xfId="273" xr:uid="{00000000-0005-0000-0000-000010010000}"/>
    <cellStyle name="Accent5 4" xfId="274" xr:uid="{00000000-0005-0000-0000-000011010000}"/>
    <cellStyle name="Accent5 5" xfId="275" xr:uid="{00000000-0005-0000-0000-000012010000}"/>
    <cellStyle name="Accent6 2" xfId="276" xr:uid="{00000000-0005-0000-0000-000013010000}"/>
    <cellStyle name="Accent6 2 2" xfId="277" xr:uid="{00000000-0005-0000-0000-000014010000}"/>
    <cellStyle name="Accent6 2 3" xfId="278" xr:uid="{00000000-0005-0000-0000-000015010000}"/>
    <cellStyle name="Accent6 2 4" xfId="279" xr:uid="{00000000-0005-0000-0000-000016010000}"/>
    <cellStyle name="Accent6 3" xfId="280" xr:uid="{00000000-0005-0000-0000-000017010000}"/>
    <cellStyle name="Accent6 4" xfId="281" xr:uid="{00000000-0005-0000-0000-000018010000}"/>
    <cellStyle name="Accent6 5" xfId="282" xr:uid="{00000000-0005-0000-0000-000019010000}"/>
    <cellStyle name="Bad 2" xfId="283" xr:uid="{00000000-0005-0000-0000-00001A010000}"/>
    <cellStyle name="Bad 2 2" xfId="284" xr:uid="{00000000-0005-0000-0000-00001B010000}"/>
    <cellStyle name="Bad 2 3" xfId="285" xr:uid="{00000000-0005-0000-0000-00001C010000}"/>
    <cellStyle name="Bad 3" xfId="286" xr:uid="{00000000-0005-0000-0000-00001D010000}"/>
    <cellStyle name="Bad 4" xfId="287" xr:uid="{00000000-0005-0000-0000-00001E010000}"/>
    <cellStyle name="Bad 5" xfId="288" xr:uid="{00000000-0005-0000-0000-00001F010000}"/>
    <cellStyle name="Bad 6" xfId="289" xr:uid="{00000000-0005-0000-0000-000020010000}"/>
    <cellStyle name="Bad 7" xfId="290" xr:uid="{00000000-0005-0000-0000-000021010000}"/>
    <cellStyle name="Berekening" xfId="291" xr:uid="{00000000-0005-0000-0000-000022010000}"/>
    <cellStyle name="BT_Normal_RC1" xfId="292" xr:uid="{00000000-0005-0000-0000-000023010000}"/>
    <cellStyle name="Calculation 2" xfId="293" xr:uid="{00000000-0005-0000-0000-000024010000}"/>
    <cellStyle name="Calculation 2 2" xfId="294" xr:uid="{00000000-0005-0000-0000-000025010000}"/>
    <cellStyle name="Calculation 2 3" xfId="295" xr:uid="{00000000-0005-0000-0000-000026010000}"/>
    <cellStyle name="Calculation 3" xfId="296" xr:uid="{00000000-0005-0000-0000-000027010000}"/>
    <cellStyle name="Calculation 4" xfId="297" xr:uid="{00000000-0005-0000-0000-000028010000}"/>
    <cellStyle name="Calculation 5" xfId="298" xr:uid="{00000000-0005-0000-0000-000029010000}"/>
    <cellStyle name="Calculation 6" xfId="299" xr:uid="{00000000-0005-0000-0000-00002A010000}"/>
    <cellStyle name="Calculation 7" xfId="300" xr:uid="{00000000-0005-0000-0000-00002B010000}"/>
    <cellStyle name="Check Cell 2" xfId="301" xr:uid="{00000000-0005-0000-0000-00002C010000}"/>
    <cellStyle name="Check Cell 2 2" xfId="302" xr:uid="{00000000-0005-0000-0000-00002D010000}"/>
    <cellStyle name="Check Cell 2 3" xfId="303" xr:uid="{00000000-0005-0000-0000-00002E010000}"/>
    <cellStyle name="Check Cell 3" xfId="304" xr:uid="{00000000-0005-0000-0000-00002F010000}"/>
    <cellStyle name="Check Cell 4" xfId="305" xr:uid="{00000000-0005-0000-0000-000030010000}"/>
    <cellStyle name="Check Cell 5" xfId="306" xr:uid="{00000000-0005-0000-0000-000031010000}"/>
    <cellStyle name="Címsor 1 2" xfId="307" xr:uid="{00000000-0005-0000-0000-000032010000}"/>
    <cellStyle name="Címsor 1 2 2" xfId="308" xr:uid="{00000000-0005-0000-0000-000033010000}"/>
    <cellStyle name="Comma 10" xfId="309" xr:uid="{00000000-0005-0000-0000-000034010000}"/>
    <cellStyle name="Comma 10 2" xfId="310" xr:uid="{00000000-0005-0000-0000-000035010000}"/>
    <cellStyle name="Comma 10 2 2" xfId="311" xr:uid="{00000000-0005-0000-0000-000036010000}"/>
    <cellStyle name="Comma 10 3" xfId="312" xr:uid="{00000000-0005-0000-0000-000037010000}"/>
    <cellStyle name="Comma 11" xfId="313" xr:uid="{00000000-0005-0000-0000-000038010000}"/>
    <cellStyle name="Comma 11 2" xfId="314" xr:uid="{00000000-0005-0000-0000-000039010000}"/>
    <cellStyle name="Comma 11 2 2" xfId="315" xr:uid="{00000000-0005-0000-0000-00003A010000}"/>
    <cellStyle name="Comma 11 2 2 2" xfId="316" xr:uid="{00000000-0005-0000-0000-00003B010000}"/>
    <cellStyle name="Comma 11 2 3" xfId="317" xr:uid="{00000000-0005-0000-0000-00003C010000}"/>
    <cellStyle name="Comma 11 3" xfId="318" xr:uid="{00000000-0005-0000-0000-00003D010000}"/>
    <cellStyle name="Comma 11 3 2" xfId="319" xr:uid="{00000000-0005-0000-0000-00003E010000}"/>
    <cellStyle name="Comma 11 4" xfId="320" xr:uid="{00000000-0005-0000-0000-00003F010000}"/>
    <cellStyle name="Comma 12" xfId="321" xr:uid="{00000000-0005-0000-0000-000040010000}"/>
    <cellStyle name="Comma 12 2" xfId="322" xr:uid="{00000000-0005-0000-0000-000041010000}"/>
    <cellStyle name="Comma 12 2 2" xfId="323" xr:uid="{00000000-0005-0000-0000-000042010000}"/>
    <cellStyle name="Comma 12 3" xfId="324" xr:uid="{00000000-0005-0000-0000-000043010000}"/>
    <cellStyle name="Comma 2" xfId="325" xr:uid="{00000000-0005-0000-0000-000044010000}"/>
    <cellStyle name="Comma 2 2" xfId="326" xr:uid="{00000000-0005-0000-0000-000045010000}"/>
    <cellStyle name="Comma 2 2 2" xfId="327" xr:uid="{00000000-0005-0000-0000-000046010000}"/>
    <cellStyle name="Comma 2 2 2 2" xfId="328" xr:uid="{00000000-0005-0000-0000-000047010000}"/>
    <cellStyle name="Comma 2 2 2 2 2" xfId="329" xr:uid="{00000000-0005-0000-0000-000048010000}"/>
    <cellStyle name="Comma 2 2 2 3" xfId="330" xr:uid="{00000000-0005-0000-0000-000049010000}"/>
    <cellStyle name="Comma 2 2 3" xfId="331" xr:uid="{00000000-0005-0000-0000-00004A010000}"/>
    <cellStyle name="Comma 2 2 3 2" xfId="332" xr:uid="{00000000-0005-0000-0000-00004B010000}"/>
    <cellStyle name="Comma 2 2 3 2 2" xfId="333" xr:uid="{00000000-0005-0000-0000-00004C010000}"/>
    <cellStyle name="Comma 2 2 3 3" xfId="334" xr:uid="{00000000-0005-0000-0000-00004D010000}"/>
    <cellStyle name="Comma 2 2 4" xfId="335" xr:uid="{00000000-0005-0000-0000-00004E010000}"/>
    <cellStyle name="Comma 2 2 4 2" xfId="336" xr:uid="{00000000-0005-0000-0000-00004F010000}"/>
    <cellStyle name="Comma 2 2 4 2 2" xfId="337" xr:uid="{00000000-0005-0000-0000-000050010000}"/>
    <cellStyle name="Comma 2 2 4 3" xfId="338" xr:uid="{00000000-0005-0000-0000-000051010000}"/>
    <cellStyle name="Comma 2 2 5" xfId="339" xr:uid="{00000000-0005-0000-0000-000052010000}"/>
    <cellStyle name="Comma 2 2 5 2" xfId="340" xr:uid="{00000000-0005-0000-0000-000053010000}"/>
    <cellStyle name="Comma 2 2 6" xfId="341" xr:uid="{00000000-0005-0000-0000-000054010000}"/>
    <cellStyle name="Comma 2 3" xfId="342" xr:uid="{00000000-0005-0000-0000-000055010000}"/>
    <cellStyle name="Comma 2 3 2" xfId="343" xr:uid="{00000000-0005-0000-0000-000056010000}"/>
    <cellStyle name="Comma 2 3 2 2" xfId="344" xr:uid="{00000000-0005-0000-0000-000057010000}"/>
    <cellStyle name="Comma 2 3 3" xfId="345" xr:uid="{00000000-0005-0000-0000-000058010000}"/>
    <cellStyle name="Comma 2 3 3 2" xfId="346" xr:uid="{00000000-0005-0000-0000-000059010000}"/>
    <cellStyle name="Comma 2 4" xfId="347" xr:uid="{00000000-0005-0000-0000-00005A010000}"/>
    <cellStyle name="Comma 2 4 2" xfId="348" xr:uid="{00000000-0005-0000-0000-00005B010000}"/>
    <cellStyle name="Comma 2 4 2 2" xfId="349" xr:uid="{00000000-0005-0000-0000-00005C010000}"/>
    <cellStyle name="Comma 2 4 3" xfId="350" xr:uid="{00000000-0005-0000-0000-00005D010000}"/>
    <cellStyle name="Comma 2 5" xfId="351" xr:uid="{00000000-0005-0000-0000-00005E010000}"/>
    <cellStyle name="Comma 2 5 2" xfId="352" xr:uid="{00000000-0005-0000-0000-00005F010000}"/>
    <cellStyle name="Comma 2 5 2 2" xfId="353" xr:uid="{00000000-0005-0000-0000-000060010000}"/>
    <cellStyle name="Comma 2 5 3" xfId="354" xr:uid="{00000000-0005-0000-0000-000061010000}"/>
    <cellStyle name="Comma 2 6" xfId="355" xr:uid="{00000000-0005-0000-0000-000062010000}"/>
    <cellStyle name="Comma 2 6 2" xfId="356" xr:uid="{00000000-0005-0000-0000-000063010000}"/>
    <cellStyle name="Comma 2 6 2 2" xfId="357" xr:uid="{00000000-0005-0000-0000-000064010000}"/>
    <cellStyle name="Comma 2 6 3" xfId="358" xr:uid="{00000000-0005-0000-0000-000065010000}"/>
    <cellStyle name="Comma 2 7" xfId="359" xr:uid="{00000000-0005-0000-0000-000066010000}"/>
    <cellStyle name="Comma 2 7 2" xfId="360" xr:uid="{00000000-0005-0000-0000-000067010000}"/>
    <cellStyle name="Comma 2 8" xfId="361" xr:uid="{00000000-0005-0000-0000-000068010000}"/>
    <cellStyle name="Comma 3" xfId="362" xr:uid="{00000000-0005-0000-0000-000069010000}"/>
    <cellStyle name="Comma 3 2" xfId="363" xr:uid="{00000000-0005-0000-0000-00006A010000}"/>
    <cellStyle name="Comma 3 2 2" xfId="364" xr:uid="{00000000-0005-0000-0000-00006B010000}"/>
    <cellStyle name="Comma 3 2 2 2" xfId="365" xr:uid="{00000000-0005-0000-0000-00006C010000}"/>
    <cellStyle name="Comma 3 2 2 2 2" xfId="366" xr:uid="{00000000-0005-0000-0000-00006D010000}"/>
    <cellStyle name="Comma 3 2 2 3" xfId="367" xr:uid="{00000000-0005-0000-0000-00006E010000}"/>
    <cellStyle name="Comma 3 2 3" xfId="368" xr:uid="{00000000-0005-0000-0000-00006F010000}"/>
    <cellStyle name="Comma 3 2 3 2" xfId="369" xr:uid="{00000000-0005-0000-0000-000070010000}"/>
    <cellStyle name="Comma 3 2 3 2 2" xfId="370" xr:uid="{00000000-0005-0000-0000-000071010000}"/>
    <cellStyle name="Comma 3 2 4" xfId="371" xr:uid="{00000000-0005-0000-0000-000072010000}"/>
    <cellStyle name="Comma 3 2 4 2" xfId="372" xr:uid="{00000000-0005-0000-0000-000073010000}"/>
    <cellStyle name="Comma 3 2 5" xfId="373" xr:uid="{00000000-0005-0000-0000-000074010000}"/>
    <cellStyle name="Comma 3 3" xfId="374" xr:uid="{00000000-0005-0000-0000-000075010000}"/>
    <cellStyle name="Comma 3 3 2" xfId="375" xr:uid="{00000000-0005-0000-0000-000076010000}"/>
    <cellStyle name="Comma 3 3 2 2" xfId="376" xr:uid="{00000000-0005-0000-0000-000077010000}"/>
    <cellStyle name="Comma 3 3 3" xfId="377" xr:uid="{00000000-0005-0000-0000-000078010000}"/>
    <cellStyle name="Comma 3 4" xfId="378" xr:uid="{00000000-0005-0000-0000-000079010000}"/>
    <cellStyle name="Comma 3 5" xfId="379" xr:uid="{00000000-0005-0000-0000-00007A010000}"/>
    <cellStyle name="Comma 4" xfId="380" xr:uid="{00000000-0005-0000-0000-00007B010000}"/>
    <cellStyle name="Comma 4 2" xfId="381" xr:uid="{00000000-0005-0000-0000-00007C010000}"/>
    <cellStyle name="Comma 4 2 2" xfId="382" xr:uid="{00000000-0005-0000-0000-00007D010000}"/>
    <cellStyle name="Comma 4 2 2 2" xfId="383" xr:uid="{00000000-0005-0000-0000-00007E010000}"/>
    <cellStyle name="Comma 4 2 3" xfId="384" xr:uid="{00000000-0005-0000-0000-00007F010000}"/>
    <cellStyle name="Comma 4 2 3 2" xfId="385" xr:uid="{00000000-0005-0000-0000-000080010000}"/>
    <cellStyle name="Comma 4 2 4" xfId="386" xr:uid="{00000000-0005-0000-0000-000081010000}"/>
    <cellStyle name="Comma 4 3" xfId="387" xr:uid="{00000000-0005-0000-0000-000082010000}"/>
    <cellStyle name="Comma 4 3 2" xfId="388" xr:uid="{00000000-0005-0000-0000-000083010000}"/>
    <cellStyle name="Comma 4 3 2 2" xfId="389" xr:uid="{00000000-0005-0000-0000-000084010000}"/>
    <cellStyle name="Comma 4 3 3" xfId="390" xr:uid="{00000000-0005-0000-0000-000085010000}"/>
    <cellStyle name="Comma 4 4" xfId="391" xr:uid="{00000000-0005-0000-0000-000086010000}"/>
    <cellStyle name="Comma 4 4 2" xfId="392" xr:uid="{00000000-0005-0000-0000-000087010000}"/>
    <cellStyle name="Comma 4 4 2 2" xfId="393" xr:uid="{00000000-0005-0000-0000-000088010000}"/>
    <cellStyle name="Comma 4 5" xfId="394" xr:uid="{00000000-0005-0000-0000-000089010000}"/>
    <cellStyle name="Comma 4 5 2" xfId="395" xr:uid="{00000000-0005-0000-0000-00008A010000}"/>
    <cellStyle name="Comma 4 6" xfId="396" xr:uid="{00000000-0005-0000-0000-00008B010000}"/>
    <cellStyle name="Comma 5" xfId="397" xr:uid="{00000000-0005-0000-0000-00008C010000}"/>
    <cellStyle name="Comma 5 2" xfId="398" xr:uid="{00000000-0005-0000-0000-00008D010000}"/>
    <cellStyle name="Comma 5 2 2" xfId="399" xr:uid="{00000000-0005-0000-0000-00008E010000}"/>
    <cellStyle name="Comma 5 2 2 2" xfId="400" xr:uid="{00000000-0005-0000-0000-00008F010000}"/>
    <cellStyle name="Comma 5 2 3" xfId="401" xr:uid="{00000000-0005-0000-0000-000090010000}"/>
    <cellStyle name="Comma 5 3" xfId="402" xr:uid="{00000000-0005-0000-0000-000091010000}"/>
    <cellStyle name="Comma 5 3 2" xfId="403" xr:uid="{00000000-0005-0000-0000-000092010000}"/>
    <cellStyle name="Comma 5 3 2 2" xfId="404" xr:uid="{00000000-0005-0000-0000-000093010000}"/>
    <cellStyle name="Comma 5 3 3" xfId="405" xr:uid="{00000000-0005-0000-0000-000094010000}"/>
    <cellStyle name="Comma 5 4" xfId="406" xr:uid="{00000000-0005-0000-0000-000095010000}"/>
    <cellStyle name="Comma 5 4 2" xfId="407" xr:uid="{00000000-0005-0000-0000-000096010000}"/>
    <cellStyle name="Comma 5 5" xfId="408" xr:uid="{00000000-0005-0000-0000-000097010000}"/>
    <cellStyle name="Comma 6" xfId="409" xr:uid="{00000000-0005-0000-0000-000098010000}"/>
    <cellStyle name="Comma 6 2" xfId="410" xr:uid="{00000000-0005-0000-0000-000099010000}"/>
    <cellStyle name="Comma 6 2 2" xfId="411" xr:uid="{00000000-0005-0000-0000-00009A010000}"/>
    <cellStyle name="Comma 6 2 2 2" xfId="412" xr:uid="{00000000-0005-0000-0000-00009B010000}"/>
    <cellStyle name="Comma 6 2 3" xfId="413" xr:uid="{00000000-0005-0000-0000-00009C010000}"/>
    <cellStyle name="Comma 6 3" xfId="414" xr:uid="{00000000-0005-0000-0000-00009D010000}"/>
    <cellStyle name="Comma 6 3 2" xfId="415" xr:uid="{00000000-0005-0000-0000-00009E010000}"/>
    <cellStyle name="Comma 6 3 2 2" xfId="416" xr:uid="{00000000-0005-0000-0000-00009F010000}"/>
    <cellStyle name="Comma 6 3 3" xfId="417" xr:uid="{00000000-0005-0000-0000-0000A0010000}"/>
    <cellStyle name="Comma 6 4" xfId="418" xr:uid="{00000000-0005-0000-0000-0000A1010000}"/>
    <cellStyle name="Comma 6 4 2" xfId="419" xr:uid="{00000000-0005-0000-0000-0000A2010000}"/>
    <cellStyle name="Comma 6 5" xfId="420" xr:uid="{00000000-0005-0000-0000-0000A3010000}"/>
    <cellStyle name="Comma 6 5 2" xfId="421" xr:uid="{00000000-0005-0000-0000-0000A4010000}"/>
    <cellStyle name="Comma 6 6" xfId="422" xr:uid="{00000000-0005-0000-0000-0000A5010000}"/>
    <cellStyle name="Comma 7" xfId="423" xr:uid="{00000000-0005-0000-0000-0000A6010000}"/>
    <cellStyle name="Comma 7 2" xfId="424" xr:uid="{00000000-0005-0000-0000-0000A7010000}"/>
    <cellStyle name="Comma 7 2 2" xfId="425" xr:uid="{00000000-0005-0000-0000-0000A8010000}"/>
    <cellStyle name="Comma 7 2 2 2" xfId="426" xr:uid="{00000000-0005-0000-0000-0000A9010000}"/>
    <cellStyle name="Comma 7 2 3" xfId="427" xr:uid="{00000000-0005-0000-0000-0000AA010000}"/>
    <cellStyle name="Comma 7 3" xfId="428" xr:uid="{00000000-0005-0000-0000-0000AB010000}"/>
    <cellStyle name="Comma 7 3 2" xfId="429" xr:uid="{00000000-0005-0000-0000-0000AC010000}"/>
    <cellStyle name="Comma 7 4" xfId="430" xr:uid="{00000000-0005-0000-0000-0000AD010000}"/>
    <cellStyle name="Comma 8" xfId="431" xr:uid="{00000000-0005-0000-0000-0000AE010000}"/>
    <cellStyle name="Comma 8 2" xfId="432" xr:uid="{00000000-0005-0000-0000-0000AF010000}"/>
    <cellStyle name="Comma 8 2 2" xfId="433" xr:uid="{00000000-0005-0000-0000-0000B0010000}"/>
    <cellStyle name="Comma 8 2 2 2" xfId="434" xr:uid="{00000000-0005-0000-0000-0000B1010000}"/>
    <cellStyle name="Comma 8 2 3" xfId="435" xr:uid="{00000000-0005-0000-0000-0000B2010000}"/>
    <cellStyle name="Comma 8 3" xfId="436" xr:uid="{00000000-0005-0000-0000-0000B3010000}"/>
    <cellStyle name="Comma 8 3 2" xfId="437" xr:uid="{00000000-0005-0000-0000-0000B4010000}"/>
    <cellStyle name="Comma 8 4" xfId="438" xr:uid="{00000000-0005-0000-0000-0000B5010000}"/>
    <cellStyle name="Comma 9" xfId="439" xr:uid="{00000000-0005-0000-0000-0000B6010000}"/>
    <cellStyle name="Comma 9 2" xfId="440" xr:uid="{00000000-0005-0000-0000-0000B7010000}"/>
    <cellStyle name="Comma 9 2 2" xfId="441" xr:uid="{00000000-0005-0000-0000-0000B8010000}"/>
    <cellStyle name="Comma 9 2 2 2" xfId="442" xr:uid="{00000000-0005-0000-0000-0000B9010000}"/>
    <cellStyle name="Comma 9 2 3" xfId="443" xr:uid="{00000000-0005-0000-0000-0000BA010000}"/>
    <cellStyle name="Comma 9 3" xfId="444" xr:uid="{00000000-0005-0000-0000-0000BB010000}"/>
    <cellStyle name="Comma 9 3 2" xfId="445" xr:uid="{00000000-0005-0000-0000-0000BC010000}"/>
    <cellStyle name="Comma 9 4" xfId="446" xr:uid="{00000000-0005-0000-0000-0000BD010000}"/>
    <cellStyle name="Comma0" xfId="447" xr:uid="{00000000-0005-0000-0000-0000BE010000}"/>
    <cellStyle name="Commentaire 2" xfId="448" xr:uid="{00000000-0005-0000-0000-0000BF010000}"/>
    <cellStyle name="Controlecel" xfId="449" xr:uid="{00000000-0005-0000-0000-0000C0010000}"/>
    <cellStyle name="Currency0" xfId="450" xr:uid="{00000000-0005-0000-0000-0000C1010000}"/>
    <cellStyle name="Date" xfId="451" xr:uid="{00000000-0005-0000-0000-0000C2010000}"/>
    <cellStyle name="Euro" xfId="452" xr:uid="{00000000-0005-0000-0000-0000C3010000}"/>
    <cellStyle name="Euro 2" xfId="453" xr:uid="{00000000-0005-0000-0000-0000C4010000}"/>
    <cellStyle name="Euro 3" xfId="454" xr:uid="{00000000-0005-0000-0000-0000C5010000}"/>
    <cellStyle name="Excel_BuiltIn_Heading 1" xfId="455" xr:uid="{00000000-0005-0000-0000-0000C6010000}"/>
    <cellStyle name="Explanatory Text 2" xfId="456" xr:uid="{00000000-0005-0000-0000-0000C7010000}"/>
    <cellStyle name="Explanatory Text 2 2" xfId="457" xr:uid="{00000000-0005-0000-0000-0000C8010000}"/>
    <cellStyle name="Explanatory Text 2 3" xfId="458" xr:uid="{00000000-0005-0000-0000-0000C9010000}"/>
    <cellStyle name="Explanatory Text 2 4" xfId="459" xr:uid="{00000000-0005-0000-0000-0000CA010000}"/>
    <cellStyle name="Explanatory Text 3" xfId="460" xr:uid="{00000000-0005-0000-0000-0000CB010000}"/>
    <cellStyle name="Explanatory Text 4" xfId="461" xr:uid="{00000000-0005-0000-0000-0000CC010000}"/>
    <cellStyle name="Explanatory Text 5" xfId="462" xr:uid="{00000000-0005-0000-0000-0000CD010000}"/>
    <cellStyle name="Fixed" xfId="463" xr:uid="{00000000-0005-0000-0000-0000CE010000}"/>
    <cellStyle name="Gekoppelde cel" xfId="464" xr:uid="{00000000-0005-0000-0000-0000CF010000}"/>
    <cellStyle name="Gesamtfarbe" xfId="465" xr:uid="{00000000-0005-0000-0000-0000D0010000}"/>
    <cellStyle name="Goed" xfId="466" xr:uid="{00000000-0005-0000-0000-0000D1010000}"/>
    <cellStyle name="Good 2" xfId="467" xr:uid="{00000000-0005-0000-0000-0000D2010000}"/>
    <cellStyle name="Good 2 2" xfId="468" xr:uid="{00000000-0005-0000-0000-0000D3010000}"/>
    <cellStyle name="Good 2 3" xfId="469" xr:uid="{00000000-0005-0000-0000-0000D4010000}"/>
    <cellStyle name="Good 2 4" xfId="470" xr:uid="{00000000-0005-0000-0000-0000D5010000}"/>
    <cellStyle name="Good 3" xfId="471" xr:uid="{00000000-0005-0000-0000-0000D6010000}"/>
    <cellStyle name="Good 4" xfId="472" xr:uid="{00000000-0005-0000-0000-0000D7010000}"/>
    <cellStyle name="Good 5" xfId="473" xr:uid="{00000000-0005-0000-0000-0000D8010000}"/>
    <cellStyle name="Heading" xfId="474" xr:uid="{00000000-0005-0000-0000-0000D9010000}"/>
    <cellStyle name="Heading 1 2" xfId="475" xr:uid="{00000000-0005-0000-0000-0000DA010000}"/>
    <cellStyle name="Heading 1 2 2" xfId="476" xr:uid="{00000000-0005-0000-0000-0000DB010000}"/>
    <cellStyle name="Heading 1 2 2 2" xfId="477" xr:uid="{00000000-0005-0000-0000-0000DC010000}"/>
    <cellStyle name="Heading 1 2 2 3" xfId="478" xr:uid="{00000000-0005-0000-0000-0000DD010000}"/>
    <cellStyle name="Heading 1 2 3" xfId="479" xr:uid="{00000000-0005-0000-0000-0000DE010000}"/>
    <cellStyle name="Heading 1 2 3 2" xfId="480" xr:uid="{00000000-0005-0000-0000-0000DF010000}"/>
    <cellStyle name="Heading 1 2 3 3" xfId="481" xr:uid="{00000000-0005-0000-0000-0000E0010000}"/>
    <cellStyle name="Heading 1 2 4" xfId="482" xr:uid="{00000000-0005-0000-0000-0000E1010000}"/>
    <cellStyle name="Heading 1 2 4 2" xfId="483" xr:uid="{00000000-0005-0000-0000-0000E2010000}"/>
    <cellStyle name="Heading 1 2 4 3" xfId="484" xr:uid="{00000000-0005-0000-0000-0000E3010000}"/>
    <cellStyle name="Heading 1 2 5" xfId="485" xr:uid="{00000000-0005-0000-0000-0000E4010000}"/>
    <cellStyle name="Heading 1 3" xfId="486" xr:uid="{00000000-0005-0000-0000-0000E5010000}"/>
    <cellStyle name="Heading 1 3 2" xfId="487" xr:uid="{00000000-0005-0000-0000-0000E6010000}"/>
    <cellStyle name="Heading 1 3 3" xfId="488" xr:uid="{00000000-0005-0000-0000-0000E7010000}"/>
    <cellStyle name="Heading 1 4" xfId="489" xr:uid="{00000000-0005-0000-0000-0000E8010000}"/>
    <cellStyle name="Heading 1 5" xfId="490" xr:uid="{00000000-0005-0000-0000-0000E9010000}"/>
    <cellStyle name="Heading 1 5 2" xfId="491" xr:uid="{00000000-0005-0000-0000-0000EA010000}"/>
    <cellStyle name="Heading 1 5 3" xfId="492" xr:uid="{00000000-0005-0000-0000-0000EB010000}"/>
    <cellStyle name="Heading 1 6" xfId="493" xr:uid="{00000000-0005-0000-0000-0000EC010000}"/>
    <cellStyle name="Heading 1 7" xfId="494" xr:uid="{00000000-0005-0000-0000-0000ED010000}"/>
    <cellStyle name="Heading 1 8" xfId="495" xr:uid="{00000000-0005-0000-0000-0000EE010000}"/>
    <cellStyle name="Heading 1 9" xfId="496" xr:uid="{00000000-0005-0000-0000-0000EF010000}"/>
    <cellStyle name="Heading 2 2" xfId="497" xr:uid="{00000000-0005-0000-0000-0000F0010000}"/>
    <cellStyle name="Heading 2 2 2" xfId="498" xr:uid="{00000000-0005-0000-0000-0000F1010000}"/>
    <cellStyle name="Heading 2 2 3" xfId="499" xr:uid="{00000000-0005-0000-0000-0000F2010000}"/>
    <cellStyle name="Heading 2 3" xfId="500" xr:uid="{00000000-0005-0000-0000-0000F3010000}"/>
    <cellStyle name="Heading 2 4" xfId="501" xr:uid="{00000000-0005-0000-0000-0000F4010000}"/>
    <cellStyle name="Heading 2 5" xfId="502" xr:uid="{00000000-0005-0000-0000-0000F5010000}"/>
    <cellStyle name="Heading 2 6" xfId="503" xr:uid="{00000000-0005-0000-0000-0000F6010000}"/>
    <cellStyle name="Heading 2 7" xfId="504" xr:uid="{00000000-0005-0000-0000-0000F7010000}"/>
    <cellStyle name="Heading 3 2" xfId="505" xr:uid="{00000000-0005-0000-0000-0000F8010000}"/>
    <cellStyle name="Heading 3 2 2" xfId="506" xr:uid="{00000000-0005-0000-0000-0000F9010000}"/>
    <cellStyle name="Heading 3 2 3" xfId="507" xr:uid="{00000000-0005-0000-0000-0000FA010000}"/>
    <cellStyle name="Heading 3 3" xfId="508" xr:uid="{00000000-0005-0000-0000-0000FB010000}"/>
    <cellStyle name="Heading 3 4" xfId="509" xr:uid="{00000000-0005-0000-0000-0000FC010000}"/>
    <cellStyle name="Heading 3 5" xfId="510" xr:uid="{00000000-0005-0000-0000-0000FD010000}"/>
    <cellStyle name="Heading 3 6" xfId="511" xr:uid="{00000000-0005-0000-0000-0000FE010000}"/>
    <cellStyle name="Heading 3 7" xfId="512" xr:uid="{00000000-0005-0000-0000-0000FF010000}"/>
    <cellStyle name="Heading 4 2" xfId="513" xr:uid="{00000000-0005-0000-0000-000000020000}"/>
    <cellStyle name="Heading 4 2 2" xfId="514" xr:uid="{00000000-0005-0000-0000-000001020000}"/>
    <cellStyle name="Heading 4 2 3" xfId="515" xr:uid="{00000000-0005-0000-0000-000002020000}"/>
    <cellStyle name="Heading 4 3" xfId="516" xr:uid="{00000000-0005-0000-0000-000003020000}"/>
    <cellStyle name="Heading 4 4" xfId="517" xr:uid="{00000000-0005-0000-0000-000004020000}"/>
    <cellStyle name="Heading 4 5" xfId="518" xr:uid="{00000000-0005-0000-0000-000005020000}"/>
    <cellStyle name="Heading 4 6" xfId="519" xr:uid="{00000000-0005-0000-0000-000006020000}"/>
    <cellStyle name="Heading 4 7" xfId="520" xr:uid="{00000000-0005-0000-0000-000007020000}"/>
    <cellStyle name="Heading 5" xfId="521" xr:uid="{00000000-0005-0000-0000-000008020000}"/>
    <cellStyle name="Hyperlink 2" xfId="522" xr:uid="{00000000-0005-0000-0000-000009020000}"/>
    <cellStyle name="Hyperlink 2 2" xfId="523" xr:uid="{00000000-0005-0000-0000-00000A020000}"/>
    <cellStyle name="Hyperlink 2 3" xfId="524" xr:uid="{00000000-0005-0000-0000-00000B020000}"/>
    <cellStyle name="Hyperlink 2 4" xfId="525" xr:uid="{00000000-0005-0000-0000-00000C020000}"/>
    <cellStyle name="Hyperlink 2 5" xfId="526" xr:uid="{00000000-0005-0000-0000-00000D020000}"/>
    <cellStyle name="Hyperlink 3" xfId="527" xr:uid="{00000000-0005-0000-0000-00000E020000}"/>
    <cellStyle name="Input 2" xfId="528" xr:uid="{00000000-0005-0000-0000-00000F020000}"/>
    <cellStyle name="Input 2 2" xfId="529" xr:uid="{00000000-0005-0000-0000-000010020000}"/>
    <cellStyle name="Input 2 3" xfId="530" xr:uid="{00000000-0005-0000-0000-000011020000}"/>
    <cellStyle name="Input 3" xfId="531" xr:uid="{00000000-0005-0000-0000-000012020000}"/>
    <cellStyle name="Input 4" xfId="532" xr:uid="{00000000-0005-0000-0000-000013020000}"/>
    <cellStyle name="Input 5" xfId="533" xr:uid="{00000000-0005-0000-0000-000014020000}"/>
    <cellStyle name="Invoer" xfId="534" xr:uid="{00000000-0005-0000-0000-000015020000}"/>
    <cellStyle name="Jegyzet 2" xfId="535" xr:uid="{00000000-0005-0000-0000-000016020000}"/>
    <cellStyle name="Kop 1" xfId="536" xr:uid="{00000000-0005-0000-0000-000017020000}"/>
    <cellStyle name="Kop 2" xfId="537" xr:uid="{00000000-0005-0000-0000-000018020000}"/>
    <cellStyle name="Kop 3" xfId="538" xr:uid="{00000000-0005-0000-0000-000019020000}"/>
    <cellStyle name="Kop 4" xfId="539" xr:uid="{00000000-0005-0000-0000-00001A020000}"/>
    <cellStyle name="Linked Cell 2" xfId="540" xr:uid="{00000000-0005-0000-0000-00001B020000}"/>
    <cellStyle name="Linked Cell 2 2" xfId="541" xr:uid="{00000000-0005-0000-0000-00001C020000}"/>
    <cellStyle name="Linked Cell 2 3" xfId="542" xr:uid="{00000000-0005-0000-0000-00001D020000}"/>
    <cellStyle name="Linked Cell 3" xfId="543" xr:uid="{00000000-0005-0000-0000-00001E020000}"/>
    <cellStyle name="Linked Cell 4" xfId="544" xr:uid="{00000000-0005-0000-0000-00001F020000}"/>
    <cellStyle name="Linked Cell 5" xfId="545" xr:uid="{00000000-0005-0000-0000-000020020000}"/>
    <cellStyle name="metadata" xfId="546" xr:uid="{00000000-0005-0000-0000-000021020000}"/>
    <cellStyle name="metadata 2" xfId="547" xr:uid="{00000000-0005-0000-0000-000022020000}"/>
    <cellStyle name="metadata 2 2" xfId="548" xr:uid="{00000000-0005-0000-0000-000023020000}"/>
    <cellStyle name="metadata 2 3" xfId="549" xr:uid="{00000000-0005-0000-0000-000024020000}"/>
    <cellStyle name="metadata 3" xfId="550" xr:uid="{00000000-0005-0000-0000-000025020000}"/>
    <cellStyle name="Microsoft Excel found an error in the formula you entered. Do you want to accept the correction proposed below?_x000a__x000a_|_x000a__x000a_• To accept the correction, click Yes._x000a_• To close this message and correct the formula yourself, click No." xfId="551" xr:uid="{00000000-0005-0000-0000-000026020000}"/>
    <cellStyle name="Microsoft Excel found an error in the formula you entered. Do you want to accept the correction proposed below?_x000a__x000a_|_x000a__x000a_• To accept the correction, click Yes._x000a_• To close this message and correct the formula yourself, click No. 2" xfId="552" xr:uid="{00000000-0005-0000-0000-000027020000}"/>
    <cellStyle name="Microsoft Excel found an error in the formula you entered. Do you want to accept the correction proposed below?_x000a__x000a_|_x000a__x000a_• To accept the correction, click Yes._x000a_• To close this message and correct the formula yourself, click No. 2 2" xfId="553" xr:uid="{00000000-0005-0000-0000-000028020000}"/>
    <cellStyle name="Microsoft Excel found an error in the formula you entered. Do you want to accept the correction proposed below?_x000a__x000a_|_x000a__x000a_• To accept the correction, click Yes._x000a_• To close this message and correct the formula yourself, click No. 3" xfId="554" xr:uid="{00000000-0005-0000-0000-000029020000}"/>
    <cellStyle name="Microsoft Excel found an error in the formula you entered. Do you want to accept the correction proposed below?_x000a__x000a_|_x000a__x000a_• To accept the correction, click Yes._x000a_• To close this message and correct the formula yourself, click No. 4" xfId="555" xr:uid="{00000000-0005-0000-0000-00002A020000}"/>
    <cellStyle name="Naslov 1 2" xfId="556" xr:uid="{00000000-0005-0000-0000-00002B020000}"/>
    <cellStyle name="Naslov 1 2 2" xfId="557" xr:uid="{00000000-0005-0000-0000-00002C020000}"/>
    <cellStyle name="Navadno 2" xfId="558" xr:uid="{00000000-0005-0000-0000-00002D020000}"/>
    <cellStyle name="Neutraal" xfId="559" xr:uid="{00000000-0005-0000-0000-00002E020000}"/>
    <cellStyle name="Neutral 2" xfId="560" xr:uid="{00000000-0005-0000-0000-00002F020000}"/>
    <cellStyle name="Neutral 2 2" xfId="561" xr:uid="{00000000-0005-0000-0000-000030020000}"/>
    <cellStyle name="Neutral 2 3" xfId="562" xr:uid="{00000000-0005-0000-0000-000031020000}"/>
    <cellStyle name="Neutral 2 4" xfId="563" xr:uid="{00000000-0005-0000-0000-000032020000}"/>
    <cellStyle name="Neutral 3" xfId="564" xr:uid="{00000000-0005-0000-0000-000033020000}"/>
    <cellStyle name="Neutral 4" xfId="565" xr:uid="{00000000-0005-0000-0000-000034020000}"/>
    <cellStyle name="Neutral 5" xfId="566" xr:uid="{00000000-0005-0000-0000-000035020000}"/>
    <cellStyle name="Normal" xfId="0" builtinId="0"/>
    <cellStyle name="Normal 10" xfId="567" xr:uid="{00000000-0005-0000-0000-000036020000}"/>
    <cellStyle name="Normal 10 2" xfId="568" xr:uid="{00000000-0005-0000-0000-000037020000}"/>
    <cellStyle name="Normal 10 3" xfId="569" xr:uid="{00000000-0005-0000-0000-000038020000}"/>
    <cellStyle name="Normal 11" xfId="570" xr:uid="{00000000-0005-0000-0000-000039020000}"/>
    <cellStyle name="Normal 11 2" xfId="571" xr:uid="{00000000-0005-0000-0000-00003A020000}"/>
    <cellStyle name="Normal 11 3" xfId="572" xr:uid="{00000000-0005-0000-0000-00003B020000}"/>
    <cellStyle name="Normal 12" xfId="573" xr:uid="{00000000-0005-0000-0000-00003C020000}"/>
    <cellStyle name="Normal 12 2" xfId="574" xr:uid="{00000000-0005-0000-0000-00003D020000}"/>
    <cellStyle name="Normal 12 3" xfId="575" xr:uid="{00000000-0005-0000-0000-00003E020000}"/>
    <cellStyle name="Normal 13" xfId="576" xr:uid="{00000000-0005-0000-0000-00003F020000}"/>
    <cellStyle name="Normal 13 2" xfId="577" xr:uid="{00000000-0005-0000-0000-000040020000}"/>
    <cellStyle name="Normal 14" xfId="578" xr:uid="{00000000-0005-0000-0000-000041020000}"/>
    <cellStyle name="Normal 15" xfId="579" xr:uid="{00000000-0005-0000-0000-000042020000}"/>
    <cellStyle name="Normal 16" xfId="580" xr:uid="{00000000-0005-0000-0000-000043020000}"/>
    <cellStyle name="Normal 16 2" xfId="581" xr:uid="{00000000-0005-0000-0000-000044020000}"/>
    <cellStyle name="Normal 17" xfId="582" xr:uid="{00000000-0005-0000-0000-000045020000}"/>
    <cellStyle name="Normal 17 2" xfId="583" xr:uid="{00000000-0005-0000-0000-000046020000}"/>
    <cellStyle name="Normal 18" xfId="1088" xr:uid="{15228DB4-6C9E-445D-B32A-11237C35103A}"/>
    <cellStyle name="Normal 19" xfId="1089" xr:uid="{FBF80535-D6D3-4EC4-889D-474BFE8B3851}"/>
    <cellStyle name="Normal 2" xfId="584" xr:uid="{00000000-0005-0000-0000-000047020000}"/>
    <cellStyle name="Normál 2" xfId="585" xr:uid="{00000000-0005-0000-0000-000048020000}"/>
    <cellStyle name="Normal 2 10" xfId="586" xr:uid="{00000000-0005-0000-0000-000049020000}"/>
    <cellStyle name="Normal 2 100" xfId="587" xr:uid="{00000000-0005-0000-0000-00004A020000}"/>
    <cellStyle name="Normal 2 101" xfId="588" xr:uid="{00000000-0005-0000-0000-00004B020000}"/>
    <cellStyle name="Normal 2 102" xfId="589" xr:uid="{00000000-0005-0000-0000-00004C020000}"/>
    <cellStyle name="Normal 2 103" xfId="590" xr:uid="{00000000-0005-0000-0000-00004D020000}"/>
    <cellStyle name="Normal 2 104" xfId="591" xr:uid="{00000000-0005-0000-0000-00004E020000}"/>
    <cellStyle name="Normal 2 105" xfId="592" xr:uid="{00000000-0005-0000-0000-00004F020000}"/>
    <cellStyle name="Normal 2 106" xfId="593" xr:uid="{00000000-0005-0000-0000-000050020000}"/>
    <cellStyle name="Normal 2 107" xfId="594" xr:uid="{00000000-0005-0000-0000-000051020000}"/>
    <cellStyle name="Normal 2 108" xfId="595" xr:uid="{00000000-0005-0000-0000-000052020000}"/>
    <cellStyle name="Normal 2 109" xfId="596" xr:uid="{00000000-0005-0000-0000-000053020000}"/>
    <cellStyle name="Normal 2 11" xfId="597" xr:uid="{00000000-0005-0000-0000-000054020000}"/>
    <cellStyle name="Normal 2 110" xfId="598" xr:uid="{00000000-0005-0000-0000-000055020000}"/>
    <cellStyle name="Normal 2 111" xfId="599" xr:uid="{00000000-0005-0000-0000-000056020000}"/>
    <cellStyle name="Normal 2 112" xfId="600" xr:uid="{00000000-0005-0000-0000-000057020000}"/>
    <cellStyle name="Normal 2 113" xfId="601" xr:uid="{00000000-0005-0000-0000-000058020000}"/>
    <cellStyle name="Normal 2 114" xfId="602" xr:uid="{00000000-0005-0000-0000-000059020000}"/>
    <cellStyle name="Normal 2 115" xfId="603" xr:uid="{00000000-0005-0000-0000-00005A020000}"/>
    <cellStyle name="Normal 2 116" xfId="604" xr:uid="{00000000-0005-0000-0000-00005B020000}"/>
    <cellStyle name="Normal 2 117" xfId="605" xr:uid="{00000000-0005-0000-0000-00005C020000}"/>
    <cellStyle name="Normal 2 118" xfId="606" xr:uid="{00000000-0005-0000-0000-00005D020000}"/>
    <cellStyle name="Normal 2 119" xfId="607" xr:uid="{00000000-0005-0000-0000-00005E020000}"/>
    <cellStyle name="Normal 2 12" xfId="608" xr:uid="{00000000-0005-0000-0000-00005F020000}"/>
    <cellStyle name="Normal 2 120" xfId="609" xr:uid="{00000000-0005-0000-0000-000060020000}"/>
    <cellStyle name="Normal 2 121" xfId="610" xr:uid="{00000000-0005-0000-0000-000061020000}"/>
    <cellStyle name="Normal 2 122" xfId="611" xr:uid="{00000000-0005-0000-0000-000062020000}"/>
    <cellStyle name="Normal 2 123" xfId="612" xr:uid="{00000000-0005-0000-0000-000063020000}"/>
    <cellStyle name="Normal 2 124" xfId="613" xr:uid="{00000000-0005-0000-0000-000064020000}"/>
    <cellStyle name="Normal 2 125" xfId="614" xr:uid="{00000000-0005-0000-0000-000065020000}"/>
    <cellStyle name="Normal 2 126" xfId="615" xr:uid="{00000000-0005-0000-0000-000066020000}"/>
    <cellStyle name="Normal 2 127" xfId="616" xr:uid="{00000000-0005-0000-0000-000067020000}"/>
    <cellStyle name="Normal 2 128" xfId="617" xr:uid="{00000000-0005-0000-0000-000068020000}"/>
    <cellStyle name="Normal 2 129" xfId="618" xr:uid="{00000000-0005-0000-0000-000069020000}"/>
    <cellStyle name="Normal 2 13" xfId="619" xr:uid="{00000000-0005-0000-0000-00006A020000}"/>
    <cellStyle name="Normal 2 130" xfId="620" xr:uid="{00000000-0005-0000-0000-00006B020000}"/>
    <cellStyle name="Normal 2 131" xfId="621" xr:uid="{00000000-0005-0000-0000-00006C020000}"/>
    <cellStyle name="Normal 2 132" xfId="622" xr:uid="{00000000-0005-0000-0000-00006D020000}"/>
    <cellStyle name="Normal 2 133" xfId="623" xr:uid="{00000000-0005-0000-0000-00006E020000}"/>
    <cellStyle name="Normal 2 134" xfId="624" xr:uid="{00000000-0005-0000-0000-00006F020000}"/>
    <cellStyle name="Normal 2 135" xfId="625" xr:uid="{00000000-0005-0000-0000-000070020000}"/>
    <cellStyle name="Normal 2 14" xfId="626" xr:uid="{00000000-0005-0000-0000-000071020000}"/>
    <cellStyle name="Normal 2 15" xfId="627" xr:uid="{00000000-0005-0000-0000-000072020000}"/>
    <cellStyle name="Normal 2 15 2" xfId="628" xr:uid="{00000000-0005-0000-0000-000073020000}"/>
    <cellStyle name="Normal 2 16" xfId="629" xr:uid="{00000000-0005-0000-0000-000074020000}"/>
    <cellStyle name="Normal 2 17" xfId="630" xr:uid="{00000000-0005-0000-0000-000075020000}"/>
    <cellStyle name="Normal 2 18" xfId="631" xr:uid="{00000000-0005-0000-0000-000076020000}"/>
    <cellStyle name="Normal 2 19" xfId="632" xr:uid="{00000000-0005-0000-0000-000077020000}"/>
    <cellStyle name="Normal 2 2" xfId="633" xr:uid="{00000000-0005-0000-0000-000078020000}"/>
    <cellStyle name="Normal 2 2 2" xfId="634" xr:uid="{00000000-0005-0000-0000-000079020000}"/>
    <cellStyle name="Normal 2 2 2 2" xfId="635" xr:uid="{00000000-0005-0000-0000-00007A020000}"/>
    <cellStyle name="Normal 2 2 2 3" xfId="636" xr:uid="{00000000-0005-0000-0000-00007B020000}"/>
    <cellStyle name="Normal 2 2 2 4" xfId="637" xr:uid="{00000000-0005-0000-0000-00007C020000}"/>
    <cellStyle name="Normal 2 2 3" xfId="638" xr:uid="{00000000-0005-0000-0000-00007D020000}"/>
    <cellStyle name="Normal 2 2 3 2" xfId="639" xr:uid="{00000000-0005-0000-0000-00007E020000}"/>
    <cellStyle name="Normal 2 2 4" xfId="640" xr:uid="{00000000-0005-0000-0000-00007F020000}"/>
    <cellStyle name="Normal 2 2 5" xfId="641" xr:uid="{00000000-0005-0000-0000-000080020000}"/>
    <cellStyle name="Normal 2 2 6" xfId="642" xr:uid="{00000000-0005-0000-0000-000081020000}"/>
    <cellStyle name="Normal 2 2 7" xfId="643" xr:uid="{00000000-0005-0000-0000-000082020000}"/>
    <cellStyle name="Normal 2 2 7 2" xfId="644" xr:uid="{00000000-0005-0000-0000-000083020000}"/>
    <cellStyle name="Normal 2 2 8" xfId="645" xr:uid="{00000000-0005-0000-0000-000084020000}"/>
    <cellStyle name="Normal 2 20" xfId="646" xr:uid="{00000000-0005-0000-0000-000085020000}"/>
    <cellStyle name="Normal 2 21" xfId="647" xr:uid="{00000000-0005-0000-0000-000086020000}"/>
    <cellStyle name="Normal 2 22" xfId="648" xr:uid="{00000000-0005-0000-0000-000087020000}"/>
    <cellStyle name="Normal 2 23" xfId="649" xr:uid="{00000000-0005-0000-0000-000088020000}"/>
    <cellStyle name="Normal 2 24" xfId="650" xr:uid="{00000000-0005-0000-0000-000089020000}"/>
    <cellStyle name="Normal 2 25" xfId="651" xr:uid="{00000000-0005-0000-0000-00008A020000}"/>
    <cellStyle name="Normal 2 26" xfId="652" xr:uid="{00000000-0005-0000-0000-00008B020000}"/>
    <cellStyle name="Normal 2 27" xfId="653" xr:uid="{00000000-0005-0000-0000-00008C020000}"/>
    <cellStyle name="Normal 2 28" xfId="654" xr:uid="{00000000-0005-0000-0000-00008D020000}"/>
    <cellStyle name="Normal 2 29" xfId="655" xr:uid="{00000000-0005-0000-0000-00008E020000}"/>
    <cellStyle name="Normal 2 3" xfId="656" xr:uid="{00000000-0005-0000-0000-00008F020000}"/>
    <cellStyle name="Normal 2 3 2" xfId="657" xr:uid="{00000000-0005-0000-0000-000090020000}"/>
    <cellStyle name="Normal 2 3 2 2" xfId="658" xr:uid="{00000000-0005-0000-0000-000091020000}"/>
    <cellStyle name="Normal 2 3 2 3" xfId="659" xr:uid="{00000000-0005-0000-0000-000092020000}"/>
    <cellStyle name="Normal 2 3 2 4" xfId="660" xr:uid="{00000000-0005-0000-0000-000093020000}"/>
    <cellStyle name="Normal 2 3 3" xfId="661" xr:uid="{00000000-0005-0000-0000-000094020000}"/>
    <cellStyle name="Normal 2 3 4" xfId="662" xr:uid="{00000000-0005-0000-0000-000095020000}"/>
    <cellStyle name="Normal 2 3 5" xfId="663" xr:uid="{00000000-0005-0000-0000-000096020000}"/>
    <cellStyle name="Normal 2 3 6" xfId="664" xr:uid="{00000000-0005-0000-0000-000097020000}"/>
    <cellStyle name="Normal 2 30" xfId="665" xr:uid="{00000000-0005-0000-0000-000098020000}"/>
    <cellStyle name="Normal 2 31" xfId="666" xr:uid="{00000000-0005-0000-0000-000099020000}"/>
    <cellStyle name="Normal 2 32" xfId="667" xr:uid="{00000000-0005-0000-0000-00009A020000}"/>
    <cellStyle name="Normal 2 32 2" xfId="668" xr:uid="{00000000-0005-0000-0000-00009B020000}"/>
    <cellStyle name="Normal 2 33" xfId="669" xr:uid="{00000000-0005-0000-0000-00009C020000}"/>
    <cellStyle name="Normal 2 33 2" xfId="670" xr:uid="{00000000-0005-0000-0000-00009D020000}"/>
    <cellStyle name="Normal 2 34" xfId="671" xr:uid="{00000000-0005-0000-0000-00009E020000}"/>
    <cellStyle name="Normal 2 34 2" xfId="672" xr:uid="{00000000-0005-0000-0000-00009F020000}"/>
    <cellStyle name="Normal 2 35" xfId="673" xr:uid="{00000000-0005-0000-0000-0000A0020000}"/>
    <cellStyle name="Normal 2 35 2" xfId="674" xr:uid="{00000000-0005-0000-0000-0000A1020000}"/>
    <cellStyle name="Normal 2 36" xfId="675" xr:uid="{00000000-0005-0000-0000-0000A2020000}"/>
    <cellStyle name="Normal 2 37" xfId="676" xr:uid="{00000000-0005-0000-0000-0000A3020000}"/>
    <cellStyle name="Normal 2 38" xfId="677" xr:uid="{00000000-0005-0000-0000-0000A4020000}"/>
    <cellStyle name="Normal 2 39" xfId="678" xr:uid="{00000000-0005-0000-0000-0000A5020000}"/>
    <cellStyle name="Normal 2 4" xfId="679" xr:uid="{00000000-0005-0000-0000-0000A6020000}"/>
    <cellStyle name="Normal 2 4 2" xfId="680" xr:uid="{00000000-0005-0000-0000-0000A7020000}"/>
    <cellStyle name="Normal 2 4 3" xfId="681" xr:uid="{00000000-0005-0000-0000-0000A8020000}"/>
    <cellStyle name="Normal 2 4 3 2" xfId="682" xr:uid="{00000000-0005-0000-0000-0000A9020000}"/>
    <cellStyle name="Normal 2 4 4" xfId="683" xr:uid="{00000000-0005-0000-0000-0000AA020000}"/>
    <cellStyle name="Normal 2 4 5" xfId="684" xr:uid="{00000000-0005-0000-0000-0000AB020000}"/>
    <cellStyle name="Normal 2 40" xfId="685" xr:uid="{00000000-0005-0000-0000-0000AC020000}"/>
    <cellStyle name="Normal 2 41" xfId="686" xr:uid="{00000000-0005-0000-0000-0000AD020000}"/>
    <cellStyle name="Normal 2 42" xfId="687" xr:uid="{00000000-0005-0000-0000-0000AE020000}"/>
    <cellStyle name="Normal 2 43" xfId="688" xr:uid="{00000000-0005-0000-0000-0000AF020000}"/>
    <cellStyle name="Normal 2 44" xfId="689" xr:uid="{00000000-0005-0000-0000-0000B0020000}"/>
    <cellStyle name="Normal 2 45" xfId="690" xr:uid="{00000000-0005-0000-0000-0000B1020000}"/>
    <cellStyle name="Normal 2 46" xfId="691" xr:uid="{00000000-0005-0000-0000-0000B2020000}"/>
    <cellStyle name="Normal 2 47" xfId="692" xr:uid="{00000000-0005-0000-0000-0000B3020000}"/>
    <cellStyle name="Normal 2 48" xfId="693" xr:uid="{00000000-0005-0000-0000-0000B4020000}"/>
    <cellStyle name="Normal 2 49" xfId="694" xr:uid="{00000000-0005-0000-0000-0000B5020000}"/>
    <cellStyle name="Normal 2 5" xfId="695" xr:uid="{00000000-0005-0000-0000-0000B6020000}"/>
    <cellStyle name="Normal 2 5 2" xfId="696" xr:uid="{00000000-0005-0000-0000-0000B7020000}"/>
    <cellStyle name="Normal 2 5 2 2" xfId="697" xr:uid="{00000000-0005-0000-0000-0000B8020000}"/>
    <cellStyle name="Normal 2 5 3" xfId="698" xr:uid="{00000000-0005-0000-0000-0000B9020000}"/>
    <cellStyle name="Normal 2 5 4" xfId="699" xr:uid="{00000000-0005-0000-0000-0000BA020000}"/>
    <cellStyle name="Normal 2 50" xfId="700" xr:uid="{00000000-0005-0000-0000-0000BB020000}"/>
    <cellStyle name="Normal 2 51" xfId="701" xr:uid="{00000000-0005-0000-0000-0000BC020000}"/>
    <cellStyle name="Normal 2 52" xfId="702" xr:uid="{00000000-0005-0000-0000-0000BD020000}"/>
    <cellStyle name="Normal 2 53" xfId="703" xr:uid="{00000000-0005-0000-0000-0000BE020000}"/>
    <cellStyle name="Normal 2 54" xfId="704" xr:uid="{00000000-0005-0000-0000-0000BF020000}"/>
    <cellStyle name="Normal 2 55" xfId="705" xr:uid="{00000000-0005-0000-0000-0000C0020000}"/>
    <cellStyle name="Normal 2 56" xfId="706" xr:uid="{00000000-0005-0000-0000-0000C1020000}"/>
    <cellStyle name="Normal 2 57" xfId="707" xr:uid="{00000000-0005-0000-0000-0000C2020000}"/>
    <cellStyle name="Normal 2 58" xfId="708" xr:uid="{00000000-0005-0000-0000-0000C3020000}"/>
    <cellStyle name="Normal 2 59" xfId="709" xr:uid="{00000000-0005-0000-0000-0000C4020000}"/>
    <cellStyle name="Normal 2 6" xfId="710" xr:uid="{00000000-0005-0000-0000-0000C5020000}"/>
    <cellStyle name="Normal 2 60" xfId="711" xr:uid="{00000000-0005-0000-0000-0000C6020000}"/>
    <cellStyle name="Normal 2 61" xfId="712" xr:uid="{00000000-0005-0000-0000-0000C7020000}"/>
    <cellStyle name="Normal 2 62" xfId="713" xr:uid="{00000000-0005-0000-0000-0000C8020000}"/>
    <cellStyle name="Normal 2 63" xfId="714" xr:uid="{00000000-0005-0000-0000-0000C9020000}"/>
    <cellStyle name="Normal 2 64" xfId="715" xr:uid="{00000000-0005-0000-0000-0000CA020000}"/>
    <cellStyle name="Normal 2 65" xfId="716" xr:uid="{00000000-0005-0000-0000-0000CB020000}"/>
    <cellStyle name="Normal 2 66" xfId="717" xr:uid="{00000000-0005-0000-0000-0000CC020000}"/>
    <cellStyle name="Normal 2 67" xfId="718" xr:uid="{00000000-0005-0000-0000-0000CD020000}"/>
    <cellStyle name="Normal 2 68" xfId="719" xr:uid="{00000000-0005-0000-0000-0000CE020000}"/>
    <cellStyle name="Normal 2 69" xfId="720" xr:uid="{00000000-0005-0000-0000-0000CF020000}"/>
    <cellStyle name="Normal 2 7" xfId="721" xr:uid="{00000000-0005-0000-0000-0000D0020000}"/>
    <cellStyle name="Normal 2 70" xfId="722" xr:uid="{00000000-0005-0000-0000-0000D1020000}"/>
    <cellStyle name="Normal 2 71" xfId="723" xr:uid="{00000000-0005-0000-0000-0000D2020000}"/>
    <cellStyle name="Normal 2 72" xfId="724" xr:uid="{00000000-0005-0000-0000-0000D3020000}"/>
    <cellStyle name="Normal 2 73" xfId="725" xr:uid="{00000000-0005-0000-0000-0000D4020000}"/>
    <cellStyle name="Normal 2 74" xfId="726" xr:uid="{00000000-0005-0000-0000-0000D5020000}"/>
    <cellStyle name="Normal 2 75" xfId="727" xr:uid="{00000000-0005-0000-0000-0000D6020000}"/>
    <cellStyle name="Normal 2 76" xfId="728" xr:uid="{00000000-0005-0000-0000-0000D7020000}"/>
    <cellStyle name="Normal 2 77" xfId="729" xr:uid="{00000000-0005-0000-0000-0000D8020000}"/>
    <cellStyle name="Normal 2 78" xfId="730" xr:uid="{00000000-0005-0000-0000-0000D9020000}"/>
    <cellStyle name="Normal 2 79" xfId="731" xr:uid="{00000000-0005-0000-0000-0000DA020000}"/>
    <cellStyle name="Normal 2 8" xfId="732" xr:uid="{00000000-0005-0000-0000-0000DB020000}"/>
    <cellStyle name="Normal 2 80" xfId="733" xr:uid="{00000000-0005-0000-0000-0000DC020000}"/>
    <cellStyle name="Normal 2 81" xfId="734" xr:uid="{00000000-0005-0000-0000-0000DD020000}"/>
    <cellStyle name="Normal 2 82" xfId="735" xr:uid="{00000000-0005-0000-0000-0000DE020000}"/>
    <cellStyle name="Normal 2 83" xfId="736" xr:uid="{00000000-0005-0000-0000-0000DF020000}"/>
    <cellStyle name="Normal 2 84" xfId="737" xr:uid="{00000000-0005-0000-0000-0000E0020000}"/>
    <cellStyle name="Normal 2 85" xfId="738" xr:uid="{00000000-0005-0000-0000-0000E1020000}"/>
    <cellStyle name="Normal 2 86" xfId="739" xr:uid="{00000000-0005-0000-0000-0000E2020000}"/>
    <cellStyle name="Normal 2 87" xfId="740" xr:uid="{00000000-0005-0000-0000-0000E3020000}"/>
    <cellStyle name="Normal 2 88" xfId="741" xr:uid="{00000000-0005-0000-0000-0000E4020000}"/>
    <cellStyle name="Normal 2 89" xfId="742" xr:uid="{00000000-0005-0000-0000-0000E5020000}"/>
    <cellStyle name="Normal 2 9" xfId="743" xr:uid="{00000000-0005-0000-0000-0000E6020000}"/>
    <cellStyle name="Normal 2 90" xfId="744" xr:uid="{00000000-0005-0000-0000-0000E7020000}"/>
    <cellStyle name="Normal 2 91" xfId="745" xr:uid="{00000000-0005-0000-0000-0000E8020000}"/>
    <cellStyle name="Normal 2 92" xfId="746" xr:uid="{00000000-0005-0000-0000-0000E9020000}"/>
    <cellStyle name="Normal 2 93" xfId="747" xr:uid="{00000000-0005-0000-0000-0000EA020000}"/>
    <cellStyle name="Normal 2 94" xfId="748" xr:uid="{00000000-0005-0000-0000-0000EB020000}"/>
    <cellStyle name="Normal 2 95" xfId="749" xr:uid="{00000000-0005-0000-0000-0000EC020000}"/>
    <cellStyle name="Normal 2 96" xfId="750" xr:uid="{00000000-0005-0000-0000-0000ED020000}"/>
    <cellStyle name="Normal 2 97" xfId="751" xr:uid="{00000000-0005-0000-0000-0000EE020000}"/>
    <cellStyle name="Normal 2 98" xfId="752" xr:uid="{00000000-0005-0000-0000-0000EF020000}"/>
    <cellStyle name="Normal 2 99" xfId="753" xr:uid="{00000000-0005-0000-0000-0000F0020000}"/>
    <cellStyle name="Normal 2_2016_Pre-pub Stats" xfId="754" xr:uid="{00000000-0005-0000-0000-0000F1020000}"/>
    <cellStyle name="Normal 20" xfId="1090" xr:uid="{0AF33B74-ADCE-4688-B14E-0182708BCEA4}"/>
    <cellStyle name="Normal 21" xfId="1091" xr:uid="{4CF943C5-7DDD-4C36-A008-0E1D3D1637D3}"/>
    <cellStyle name="Normal 22" xfId="755" xr:uid="{00000000-0005-0000-0000-0000F2020000}"/>
    <cellStyle name="Normal 23" xfId="1092" xr:uid="{BA3BCFB8-CC54-4009-AF7A-BF668D314F90}"/>
    <cellStyle name="Normal 24" xfId="1093" xr:uid="{CFF71A2E-C768-4A6D-B71B-BA3BB9438731}"/>
    <cellStyle name="Normal 25" xfId="1094" xr:uid="{C752CC3A-304C-4374-B517-59FD5CF9DD44}"/>
    <cellStyle name="Normal 26" xfId="756" xr:uid="{00000000-0005-0000-0000-0000F3020000}"/>
    <cellStyle name="Normal 26 2" xfId="757" xr:uid="{00000000-0005-0000-0000-0000F4020000}"/>
    <cellStyle name="Normal 27" xfId="1095" xr:uid="{6AF5F8A0-76B4-49FB-AC89-8F66BAFB4D46}"/>
    <cellStyle name="Normal 28" xfId="1096" xr:uid="{87D5B494-6D4C-43DB-898F-F1F64CAADBD1}"/>
    <cellStyle name="Normal 3" xfId="758" xr:uid="{00000000-0005-0000-0000-0000F5020000}"/>
    <cellStyle name="Normál 3" xfId="759" xr:uid="{00000000-0005-0000-0000-0000F6020000}"/>
    <cellStyle name="Normal 3 10" xfId="760" xr:uid="{00000000-0005-0000-0000-0000F7020000}"/>
    <cellStyle name="Normal 3 100" xfId="761" xr:uid="{00000000-0005-0000-0000-0000F8020000}"/>
    <cellStyle name="Normal 3 101" xfId="762" xr:uid="{00000000-0005-0000-0000-0000F9020000}"/>
    <cellStyle name="Normal 3 102" xfId="763" xr:uid="{00000000-0005-0000-0000-0000FA020000}"/>
    <cellStyle name="Normal 3 103" xfId="764" xr:uid="{00000000-0005-0000-0000-0000FB020000}"/>
    <cellStyle name="Normal 3 104" xfId="765" xr:uid="{00000000-0005-0000-0000-0000FC020000}"/>
    <cellStyle name="Normal 3 105" xfId="766" xr:uid="{00000000-0005-0000-0000-0000FD020000}"/>
    <cellStyle name="Normal 3 106" xfId="767" xr:uid="{00000000-0005-0000-0000-0000FE020000}"/>
    <cellStyle name="Normal 3 107" xfId="768" xr:uid="{00000000-0005-0000-0000-0000FF020000}"/>
    <cellStyle name="Normal 3 108" xfId="769" xr:uid="{00000000-0005-0000-0000-000000030000}"/>
    <cellStyle name="Normal 3 109" xfId="770" xr:uid="{00000000-0005-0000-0000-000001030000}"/>
    <cellStyle name="Normal 3 11" xfId="771" xr:uid="{00000000-0005-0000-0000-000002030000}"/>
    <cellStyle name="Normal 3 110" xfId="772" xr:uid="{00000000-0005-0000-0000-000003030000}"/>
    <cellStyle name="Normal 3 111" xfId="773" xr:uid="{00000000-0005-0000-0000-000004030000}"/>
    <cellStyle name="Normal 3 112" xfId="774" xr:uid="{00000000-0005-0000-0000-000005030000}"/>
    <cellStyle name="Normal 3 113" xfId="775" xr:uid="{00000000-0005-0000-0000-000006030000}"/>
    <cellStyle name="Normal 3 114" xfId="776" xr:uid="{00000000-0005-0000-0000-000007030000}"/>
    <cellStyle name="Normal 3 115" xfId="777" xr:uid="{00000000-0005-0000-0000-000008030000}"/>
    <cellStyle name="Normal 3 116" xfId="778" xr:uid="{00000000-0005-0000-0000-000009030000}"/>
    <cellStyle name="Normal 3 117" xfId="779" xr:uid="{00000000-0005-0000-0000-00000A030000}"/>
    <cellStyle name="Normal 3 118" xfId="780" xr:uid="{00000000-0005-0000-0000-00000B030000}"/>
    <cellStyle name="Normal 3 119" xfId="781" xr:uid="{00000000-0005-0000-0000-00000C030000}"/>
    <cellStyle name="Normal 3 12" xfId="782" xr:uid="{00000000-0005-0000-0000-00000D030000}"/>
    <cellStyle name="Normal 3 120" xfId="783" xr:uid="{00000000-0005-0000-0000-00000E030000}"/>
    <cellStyle name="Normal 3 121" xfId="784" xr:uid="{00000000-0005-0000-0000-00000F030000}"/>
    <cellStyle name="Normal 3 122" xfId="785" xr:uid="{00000000-0005-0000-0000-000010030000}"/>
    <cellStyle name="Normal 3 123" xfId="786" xr:uid="{00000000-0005-0000-0000-000011030000}"/>
    <cellStyle name="Normal 3 124" xfId="787" xr:uid="{00000000-0005-0000-0000-000012030000}"/>
    <cellStyle name="Normal 3 125" xfId="788" xr:uid="{00000000-0005-0000-0000-000013030000}"/>
    <cellStyle name="Normal 3 126" xfId="789" xr:uid="{00000000-0005-0000-0000-000014030000}"/>
    <cellStyle name="Normal 3 127" xfId="790" xr:uid="{00000000-0005-0000-0000-000015030000}"/>
    <cellStyle name="Normal 3 128" xfId="791" xr:uid="{00000000-0005-0000-0000-000016030000}"/>
    <cellStyle name="Normal 3 129" xfId="792" xr:uid="{00000000-0005-0000-0000-000017030000}"/>
    <cellStyle name="Normal 3 13" xfId="793" xr:uid="{00000000-0005-0000-0000-000018030000}"/>
    <cellStyle name="Normal 3 130" xfId="794" xr:uid="{00000000-0005-0000-0000-000019030000}"/>
    <cellStyle name="Normal 3 131" xfId="795" xr:uid="{00000000-0005-0000-0000-00001A030000}"/>
    <cellStyle name="Normal 3 132" xfId="796" xr:uid="{00000000-0005-0000-0000-00001B030000}"/>
    <cellStyle name="Normal 3 133" xfId="797" xr:uid="{00000000-0005-0000-0000-00001C030000}"/>
    <cellStyle name="Normal 3 134" xfId="798" xr:uid="{00000000-0005-0000-0000-00001D030000}"/>
    <cellStyle name="Normal 3 14" xfId="799" xr:uid="{00000000-0005-0000-0000-00001E030000}"/>
    <cellStyle name="Normal 3 14 2" xfId="800" xr:uid="{00000000-0005-0000-0000-00001F030000}"/>
    <cellStyle name="Normal 3 15" xfId="801" xr:uid="{00000000-0005-0000-0000-000020030000}"/>
    <cellStyle name="Normal 3 16" xfId="802" xr:uid="{00000000-0005-0000-0000-000021030000}"/>
    <cellStyle name="Normal 3 17" xfId="803" xr:uid="{00000000-0005-0000-0000-000022030000}"/>
    <cellStyle name="Normal 3 18" xfId="804" xr:uid="{00000000-0005-0000-0000-000023030000}"/>
    <cellStyle name="Normal 3 19" xfId="805" xr:uid="{00000000-0005-0000-0000-000024030000}"/>
    <cellStyle name="Normal 3 2" xfId="806" xr:uid="{00000000-0005-0000-0000-000025030000}"/>
    <cellStyle name="Normál 3 2" xfId="807" xr:uid="{00000000-0005-0000-0000-000026030000}"/>
    <cellStyle name="Normal 3 2 10" xfId="808" xr:uid="{00000000-0005-0000-0000-000027030000}"/>
    <cellStyle name="Normal 3 2 11" xfId="809" xr:uid="{00000000-0005-0000-0000-000028030000}"/>
    <cellStyle name="Normal 3 2 12" xfId="810" xr:uid="{00000000-0005-0000-0000-000029030000}"/>
    <cellStyle name="Normal 3 2 13" xfId="811" xr:uid="{00000000-0005-0000-0000-00002A030000}"/>
    <cellStyle name="Normal 3 2 14" xfId="812" xr:uid="{00000000-0005-0000-0000-00002B030000}"/>
    <cellStyle name="Normal 3 2 15" xfId="813" xr:uid="{00000000-0005-0000-0000-00002C030000}"/>
    <cellStyle name="Normal 3 2 16" xfId="814" xr:uid="{00000000-0005-0000-0000-00002D030000}"/>
    <cellStyle name="Normal 3 2 17" xfId="815" xr:uid="{00000000-0005-0000-0000-00002E030000}"/>
    <cellStyle name="Normal 3 2 18" xfId="816" xr:uid="{00000000-0005-0000-0000-00002F030000}"/>
    <cellStyle name="Normal 3 2 19" xfId="817" xr:uid="{00000000-0005-0000-0000-000030030000}"/>
    <cellStyle name="Normal 3 2 2" xfId="818" xr:uid="{00000000-0005-0000-0000-000031030000}"/>
    <cellStyle name="Normal 3 2 2 2" xfId="819" xr:uid="{00000000-0005-0000-0000-000032030000}"/>
    <cellStyle name="Normal 3 2 20" xfId="820" xr:uid="{00000000-0005-0000-0000-000033030000}"/>
    <cellStyle name="Normal 3 2 21" xfId="821" xr:uid="{00000000-0005-0000-0000-000034030000}"/>
    <cellStyle name="Normal 3 2 22" xfId="822" xr:uid="{00000000-0005-0000-0000-000035030000}"/>
    <cellStyle name="Normal 3 2 23" xfId="823" xr:uid="{00000000-0005-0000-0000-000036030000}"/>
    <cellStyle name="Normal 3 2 24" xfId="824" xr:uid="{00000000-0005-0000-0000-000037030000}"/>
    <cellStyle name="Normal 3 2 25" xfId="825" xr:uid="{00000000-0005-0000-0000-000038030000}"/>
    <cellStyle name="Normal 3 2 26" xfId="826" xr:uid="{00000000-0005-0000-0000-000039030000}"/>
    <cellStyle name="Normal 3 2 27" xfId="827" xr:uid="{00000000-0005-0000-0000-00003A030000}"/>
    <cellStyle name="Normal 3 2 28" xfId="828" xr:uid="{00000000-0005-0000-0000-00003B030000}"/>
    <cellStyle name="Normal 3 2 29" xfId="829" xr:uid="{00000000-0005-0000-0000-00003C030000}"/>
    <cellStyle name="Normal 3 2 3" xfId="830" xr:uid="{00000000-0005-0000-0000-00003D030000}"/>
    <cellStyle name="Normal 3 2 30" xfId="831" xr:uid="{00000000-0005-0000-0000-00003E030000}"/>
    <cellStyle name="Normal 3 2 31" xfId="832" xr:uid="{00000000-0005-0000-0000-00003F030000}"/>
    <cellStyle name="Normal 3 2 32" xfId="833" xr:uid="{00000000-0005-0000-0000-000040030000}"/>
    <cellStyle name="Normal 3 2 33" xfId="834" xr:uid="{00000000-0005-0000-0000-000041030000}"/>
    <cellStyle name="Normal 3 2 34" xfId="835" xr:uid="{00000000-0005-0000-0000-000042030000}"/>
    <cellStyle name="Normal 3 2 35" xfId="836" xr:uid="{00000000-0005-0000-0000-000043030000}"/>
    <cellStyle name="Normal 3 2 36" xfId="837" xr:uid="{00000000-0005-0000-0000-000044030000}"/>
    <cellStyle name="Normal 3 2 37" xfId="838" xr:uid="{00000000-0005-0000-0000-000045030000}"/>
    <cellStyle name="Normal 3 2 38" xfId="839" xr:uid="{00000000-0005-0000-0000-000046030000}"/>
    <cellStyle name="Normal 3 2 39" xfId="840" xr:uid="{00000000-0005-0000-0000-000047030000}"/>
    <cellStyle name="Normal 3 2 4" xfId="841" xr:uid="{00000000-0005-0000-0000-000048030000}"/>
    <cellStyle name="Normal 3 2 40" xfId="842" xr:uid="{00000000-0005-0000-0000-000049030000}"/>
    <cellStyle name="Normal 3 2 5" xfId="843" xr:uid="{00000000-0005-0000-0000-00004A030000}"/>
    <cellStyle name="Normal 3 2 6" xfId="844" xr:uid="{00000000-0005-0000-0000-00004B030000}"/>
    <cellStyle name="Normal 3 2 7" xfId="845" xr:uid="{00000000-0005-0000-0000-00004C030000}"/>
    <cellStyle name="Normal 3 2 8" xfId="846" xr:uid="{00000000-0005-0000-0000-00004D030000}"/>
    <cellStyle name="Normal 3 2 9" xfId="847" xr:uid="{00000000-0005-0000-0000-00004E030000}"/>
    <cellStyle name="Normal 3 20" xfId="848" xr:uid="{00000000-0005-0000-0000-00004F030000}"/>
    <cellStyle name="Normal 3 21" xfId="849" xr:uid="{00000000-0005-0000-0000-000050030000}"/>
    <cellStyle name="Normal 3 22" xfId="850" xr:uid="{00000000-0005-0000-0000-000051030000}"/>
    <cellStyle name="Normal 3 23" xfId="851" xr:uid="{00000000-0005-0000-0000-000052030000}"/>
    <cellStyle name="Normal 3 24" xfId="852" xr:uid="{00000000-0005-0000-0000-000053030000}"/>
    <cellStyle name="Normal 3 25" xfId="853" xr:uid="{00000000-0005-0000-0000-000054030000}"/>
    <cellStyle name="Normal 3 26" xfId="854" xr:uid="{00000000-0005-0000-0000-000055030000}"/>
    <cellStyle name="Normal 3 27" xfId="855" xr:uid="{00000000-0005-0000-0000-000056030000}"/>
    <cellStyle name="Normal 3 28" xfId="856" xr:uid="{00000000-0005-0000-0000-000057030000}"/>
    <cellStyle name="Normal 3 29" xfId="857" xr:uid="{00000000-0005-0000-0000-000058030000}"/>
    <cellStyle name="Normal 3 3" xfId="858" xr:uid="{00000000-0005-0000-0000-000059030000}"/>
    <cellStyle name="Normal 3 3 2" xfId="859" xr:uid="{00000000-0005-0000-0000-00005A030000}"/>
    <cellStyle name="Normal 3 3 2 2" xfId="860" xr:uid="{00000000-0005-0000-0000-00005B030000}"/>
    <cellStyle name="Normal 3 3 2 3" xfId="861" xr:uid="{00000000-0005-0000-0000-00005C030000}"/>
    <cellStyle name="Normal 3 3 3" xfId="862" xr:uid="{00000000-0005-0000-0000-00005D030000}"/>
    <cellStyle name="Normal 3 3 4" xfId="863" xr:uid="{00000000-0005-0000-0000-00005E030000}"/>
    <cellStyle name="Normal 3 3 5" xfId="864" xr:uid="{00000000-0005-0000-0000-00005F030000}"/>
    <cellStyle name="Normal 3 30" xfId="865" xr:uid="{00000000-0005-0000-0000-000060030000}"/>
    <cellStyle name="Normal 3 31" xfId="866" xr:uid="{00000000-0005-0000-0000-000061030000}"/>
    <cellStyle name="Normal 3 32" xfId="867" xr:uid="{00000000-0005-0000-0000-000062030000}"/>
    <cellStyle name="Normal 3 33" xfId="868" xr:uid="{00000000-0005-0000-0000-000063030000}"/>
    <cellStyle name="Normal 3 34" xfId="869" xr:uid="{00000000-0005-0000-0000-000064030000}"/>
    <cellStyle name="Normal 3 35" xfId="870" xr:uid="{00000000-0005-0000-0000-000065030000}"/>
    <cellStyle name="Normal 3 36" xfId="871" xr:uid="{00000000-0005-0000-0000-000066030000}"/>
    <cellStyle name="Normal 3 37" xfId="872" xr:uid="{00000000-0005-0000-0000-000067030000}"/>
    <cellStyle name="Normal 3 38" xfId="873" xr:uid="{00000000-0005-0000-0000-000068030000}"/>
    <cellStyle name="Normal 3 39" xfId="874" xr:uid="{00000000-0005-0000-0000-000069030000}"/>
    <cellStyle name="Normal 3 4" xfId="875" xr:uid="{00000000-0005-0000-0000-00006A030000}"/>
    <cellStyle name="Normal 3 4 2" xfId="876" xr:uid="{00000000-0005-0000-0000-00006B030000}"/>
    <cellStyle name="Normal 3 4 2 2" xfId="877" xr:uid="{00000000-0005-0000-0000-00006C030000}"/>
    <cellStyle name="Normal 3 4 3" xfId="878" xr:uid="{00000000-0005-0000-0000-00006D030000}"/>
    <cellStyle name="Normal 3 40" xfId="879" xr:uid="{00000000-0005-0000-0000-00006E030000}"/>
    <cellStyle name="Normal 3 41" xfId="880" xr:uid="{00000000-0005-0000-0000-00006F030000}"/>
    <cellStyle name="Normal 3 42" xfId="881" xr:uid="{00000000-0005-0000-0000-000070030000}"/>
    <cellStyle name="Normal 3 43" xfId="882" xr:uid="{00000000-0005-0000-0000-000071030000}"/>
    <cellStyle name="Normal 3 44" xfId="883" xr:uid="{00000000-0005-0000-0000-000072030000}"/>
    <cellStyle name="Normal 3 45" xfId="884" xr:uid="{00000000-0005-0000-0000-000073030000}"/>
    <cellStyle name="Normal 3 46" xfId="885" xr:uid="{00000000-0005-0000-0000-000074030000}"/>
    <cellStyle name="Normal 3 47" xfId="886" xr:uid="{00000000-0005-0000-0000-000075030000}"/>
    <cellStyle name="Normal 3 48" xfId="887" xr:uid="{00000000-0005-0000-0000-000076030000}"/>
    <cellStyle name="Normal 3 49" xfId="888" xr:uid="{00000000-0005-0000-0000-000077030000}"/>
    <cellStyle name="Normal 3 5" xfId="889" xr:uid="{00000000-0005-0000-0000-000078030000}"/>
    <cellStyle name="Normal 3 50" xfId="890" xr:uid="{00000000-0005-0000-0000-000079030000}"/>
    <cellStyle name="Normal 3 51" xfId="891" xr:uid="{00000000-0005-0000-0000-00007A030000}"/>
    <cellStyle name="Normal 3 52" xfId="892" xr:uid="{00000000-0005-0000-0000-00007B030000}"/>
    <cellStyle name="Normal 3 53" xfId="893" xr:uid="{00000000-0005-0000-0000-00007C030000}"/>
    <cellStyle name="Normal 3 54" xfId="894" xr:uid="{00000000-0005-0000-0000-00007D030000}"/>
    <cellStyle name="Normal 3 55" xfId="895" xr:uid="{00000000-0005-0000-0000-00007E030000}"/>
    <cellStyle name="Normal 3 56" xfId="896" xr:uid="{00000000-0005-0000-0000-00007F030000}"/>
    <cellStyle name="Normal 3 57" xfId="897" xr:uid="{00000000-0005-0000-0000-000080030000}"/>
    <cellStyle name="Normal 3 58" xfId="898" xr:uid="{00000000-0005-0000-0000-000081030000}"/>
    <cellStyle name="Normal 3 59" xfId="899" xr:uid="{00000000-0005-0000-0000-000082030000}"/>
    <cellStyle name="Normal 3 6" xfId="900" xr:uid="{00000000-0005-0000-0000-000083030000}"/>
    <cellStyle name="Normal 3 60" xfId="901" xr:uid="{00000000-0005-0000-0000-000084030000}"/>
    <cellStyle name="Normal 3 61" xfId="902" xr:uid="{00000000-0005-0000-0000-000085030000}"/>
    <cellStyle name="Normal 3 62" xfId="903" xr:uid="{00000000-0005-0000-0000-000086030000}"/>
    <cellStyle name="Normal 3 63" xfId="904" xr:uid="{00000000-0005-0000-0000-000087030000}"/>
    <cellStyle name="Normal 3 64" xfId="905" xr:uid="{00000000-0005-0000-0000-000088030000}"/>
    <cellStyle name="Normal 3 65" xfId="906" xr:uid="{00000000-0005-0000-0000-000089030000}"/>
    <cellStyle name="Normal 3 66" xfId="907" xr:uid="{00000000-0005-0000-0000-00008A030000}"/>
    <cellStyle name="Normal 3 67" xfId="908" xr:uid="{00000000-0005-0000-0000-00008B030000}"/>
    <cellStyle name="Normal 3 68" xfId="909" xr:uid="{00000000-0005-0000-0000-00008C030000}"/>
    <cellStyle name="Normal 3 69" xfId="910" xr:uid="{00000000-0005-0000-0000-00008D030000}"/>
    <cellStyle name="Normal 3 7" xfId="911" xr:uid="{00000000-0005-0000-0000-00008E030000}"/>
    <cellStyle name="Normal 3 70" xfId="912" xr:uid="{00000000-0005-0000-0000-00008F030000}"/>
    <cellStyle name="Normal 3 71" xfId="913" xr:uid="{00000000-0005-0000-0000-000090030000}"/>
    <cellStyle name="Normal 3 72" xfId="914" xr:uid="{00000000-0005-0000-0000-000091030000}"/>
    <cellStyle name="Normal 3 73" xfId="915" xr:uid="{00000000-0005-0000-0000-000092030000}"/>
    <cellStyle name="Normal 3 74" xfId="916" xr:uid="{00000000-0005-0000-0000-000093030000}"/>
    <cellStyle name="Normal 3 75" xfId="917" xr:uid="{00000000-0005-0000-0000-000094030000}"/>
    <cellStyle name="Normal 3 76" xfId="918" xr:uid="{00000000-0005-0000-0000-000095030000}"/>
    <cellStyle name="Normal 3 77" xfId="919" xr:uid="{00000000-0005-0000-0000-000096030000}"/>
    <cellStyle name="Normal 3 78" xfId="920" xr:uid="{00000000-0005-0000-0000-000097030000}"/>
    <cellStyle name="Normal 3 79" xfId="921" xr:uid="{00000000-0005-0000-0000-000098030000}"/>
    <cellStyle name="Normal 3 8" xfId="922" xr:uid="{00000000-0005-0000-0000-000099030000}"/>
    <cellStyle name="Normal 3 80" xfId="923" xr:uid="{00000000-0005-0000-0000-00009A030000}"/>
    <cellStyle name="Normal 3 81" xfId="924" xr:uid="{00000000-0005-0000-0000-00009B030000}"/>
    <cellStyle name="Normal 3 82" xfId="925" xr:uid="{00000000-0005-0000-0000-00009C030000}"/>
    <cellStyle name="Normal 3 83" xfId="926" xr:uid="{00000000-0005-0000-0000-00009D030000}"/>
    <cellStyle name="Normal 3 84" xfId="927" xr:uid="{00000000-0005-0000-0000-00009E030000}"/>
    <cellStyle name="Normal 3 85" xfId="928" xr:uid="{00000000-0005-0000-0000-00009F030000}"/>
    <cellStyle name="Normal 3 86" xfId="929" xr:uid="{00000000-0005-0000-0000-0000A0030000}"/>
    <cellStyle name="Normal 3 87" xfId="930" xr:uid="{00000000-0005-0000-0000-0000A1030000}"/>
    <cellStyle name="Normal 3 88" xfId="931" xr:uid="{00000000-0005-0000-0000-0000A2030000}"/>
    <cellStyle name="Normal 3 89" xfId="932" xr:uid="{00000000-0005-0000-0000-0000A3030000}"/>
    <cellStyle name="Normal 3 9" xfId="933" xr:uid="{00000000-0005-0000-0000-0000A4030000}"/>
    <cellStyle name="Normal 3 90" xfId="934" xr:uid="{00000000-0005-0000-0000-0000A5030000}"/>
    <cellStyle name="Normal 3 91" xfId="935" xr:uid="{00000000-0005-0000-0000-0000A6030000}"/>
    <cellStyle name="Normal 3 92" xfId="936" xr:uid="{00000000-0005-0000-0000-0000A7030000}"/>
    <cellStyle name="Normal 3 93" xfId="937" xr:uid="{00000000-0005-0000-0000-0000A8030000}"/>
    <cellStyle name="Normal 3 94" xfId="938" xr:uid="{00000000-0005-0000-0000-0000A9030000}"/>
    <cellStyle name="Normal 3 95" xfId="939" xr:uid="{00000000-0005-0000-0000-0000AA030000}"/>
    <cellStyle name="Normal 3 96" xfId="940" xr:uid="{00000000-0005-0000-0000-0000AB030000}"/>
    <cellStyle name="Normal 3 97" xfId="941" xr:uid="{00000000-0005-0000-0000-0000AC030000}"/>
    <cellStyle name="Normal 3 98" xfId="942" xr:uid="{00000000-0005-0000-0000-0000AD030000}"/>
    <cellStyle name="Normal 3 99" xfId="943" xr:uid="{00000000-0005-0000-0000-0000AE030000}"/>
    <cellStyle name="Normal 4" xfId="944" xr:uid="{00000000-0005-0000-0000-0000AF030000}"/>
    <cellStyle name="Normal 4 2" xfId="945" xr:uid="{00000000-0005-0000-0000-0000B0030000}"/>
    <cellStyle name="Normal 4 2 2" xfId="946" xr:uid="{00000000-0005-0000-0000-0000B1030000}"/>
    <cellStyle name="Normal 4 2 3" xfId="947" xr:uid="{00000000-0005-0000-0000-0000B2030000}"/>
    <cellStyle name="Normal 4 2 4" xfId="948" xr:uid="{00000000-0005-0000-0000-0000B3030000}"/>
    <cellStyle name="Normal 4 2 5" xfId="949" xr:uid="{00000000-0005-0000-0000-0000B4030000}"/>
    <cellStyle name="Normal 4 3" xfId="950" xr:uid="{00000000-0005-0000-0000-0000B5030000}"/>
    <cellStyle name="Normal 4 3 2" xfId="951" xr:uid="{00000000-0005-0000-0000-0000B6030000}"/>
    <cellStyle name="Normal 4 3 3" xfId="952" xr:uid="{00000000-0005-0000-0000-0000B7030000}"/>
    <cellStyle name="Normal 4 3 4" xfId="953" xr:uid="{00000000-0005-0000-0000-0000B8030000}"/>
    <cellStyle name="Normal 4 4" xfId="954" xr:uid="{00000000-0005-0000-0000-0000B9030000}"/>
    <cellStyle name="Normal 4 4 2" xfId="955" xr:uid="{00000000-0005-0000-0000-0000BA030000}"/>
    <cellStyle name="Normal 4 5" xfId="956" xr:uid="{00000000-0005-0000-0000-0000BB030000}"/>
    <cellStyle name="Normal 4 6" xfId="957" xr:uid="{00000000-0005-0000-0000-0000BC030000}"/>
    <cellStyle name="Normal 5" xfId="958" xr:uid="{00000000-0005-0000-0000-0000BD030000}"/>
    <cellStyle name="Normal 5 2" xfId="959" xr:uid="{00000000-0005-0000-0000-0000BE030000}"/>
    <cellStyle name="Normal 5 2 2" xfId="960" xr:uid="{00000000-0005-0000-0000-0000BF030000}"/>
    <cellStyle name="Normal 5 2 3" xfId="961" xr:uid="{00000000-0005-0000-0000-0000C0030000}"/>
    <cellStyle name="Normal 5 2 4" xfId="962" xr:uid="{00000000-0005-0000-0000-0000C1030000}"/>
    <cellStyle name="Normal 5 2 4 2" xfId="963" xr:uid="{00000000-0005-0000-0000-0000C2030000}"/>
    <cellStyle name="Normal 5 2 5" xfId="964" xr:uid="{00000000-0005-0000-0000-0000C3030000}"/>
    <cellStyle name="Normal 5 3" xfId="965" xr:uid="{00000000-0005-0000-0000-0000C4030000}"/>
    <cellStyle name="Normal 5 3 2" xfId="966" xr:uid="{00000000-0005-0000-0000-0000C5030000}"/>
    <cellStyle name="Normal 5 4" xfId="967" xr:uid="{00000000-0005-0000-0000-0000C6030000}"/>
    <cellStyle name="Normal 5 5" xfId="968" xr:uid="{00000000-0005-0000-0000-0000C7030000}"/>
    <cellStyle name="Normal 5 5 2" xfId="969" xr:uid="{00000000-0005-0000-0000-0000C8030000}"/>
    <cellStyle name="Normal 5 6" xfId="970" xr:uid="{00000000-0005-0000-0000-0000C9030000}"/>
    <cellStyle name="Normal 5_2016_Pre-pub Stats" xfId="971" xr:uid="{00000000-0005-0000-0000-0000CA030000}"/>
    <cellStyle name="Normal 6" xfId="972" xr:uid="{00000000-0005-0000-0000-0000CB030000}"/>
    <cellStyle name="Normal 6 2" xfId="973" xr:uid="{00000000-0005-0000-0000-0000CC030000}"/>
    <cellStyle name="Normal 6 2 2" xfId="974" xr:uid="{00000000-0005-0000-0000-0000CD030000}"/>
    <cellStyle name="Normal 6 2 3" xfId="975" xr:uid="{00000000-0005-0000-0000-0000CE030000}"/>
    <cellStyle name="Normal 6 3" xfId="976" xr:uid="{00000000-0005-0000-0000-0000CF030000}"/>
    <cellStyle name="Normal 6 4" xfId="977" xr:uid="{00000000-0005-0000-0000-0000D0030000}"/>
    <cellStyle name="Normal 6 5" xfId="978" xr:uid="{00000000-0005-0000-0000-0000D1030000}"/>
    <cellStyle name="Normal 6 6" xfId="979" xr:uid="{00000000-0005-0000-0000-0000D2030000}"/>
    <cellStyle name="Normal 6 7" xfId="980" xr:uid="{00000000-0005-0000-0000-0000D3030000}"/>
    <cellStyle name="Normal 7" xfId="981" xr:uid="{00000000-0005-0000-0000-0000D4030000}"/>
    <cellStyle name="Normal 7 2" xfId="982" xr:uid="{00000000-0005-0000-0000-0000D5030000}"/>
    <cellStyle name="Normal 7 2 2" xfId="983" xr:uid="{00000000-0005-0000-0000-0000D6030000}"/>
    <cellStyle name="Normal 7 3" xfId="984" xr:uid="{00000000-0005-0000-0000-0000D7030000}"/>
    <cellStyle name="Normal 7 4" xfId="985" xr:uid="{00000000-0005-0000-0000-0000D8030000}"/>
    <cellStyle name="Normal 7 5" xfId="986" xr:uid="{00000000-0005-0000-0000-0000D9030000}"/>
    <cellStyle name="Normal 8" xfId="987" xr:uid="{00000000-0005-0000-0000-0000DA030000}"/>
    <cellStyle name="Normal 8 2" xfId="988" xr:uid="{00000000-0005-0000-0000-0000DB030000}"/>
    <cellStyle name="Normal 8 3" xfId="989" xr:uid="{00000000-0005-0000-0000-0000DC030000}"/>
    <cellStyle name="Normal 8 4" xfId="990" xr:uid="{00000000-0005-0000-0000-0000DD030000}"/>
    <cellStyle name="Normal 9" xfId="991" xr:uid="{00000000-0005-0000-0000-0000DE030000}"/>
    <cellStyle name="Normal 9 2" xfId="992" xr:uid="{00000000-0005-0000-0000-0000DF030000}"/>
    <cellStyle name="Note 2" xfId="993" xr:uid="{00000000-0005-0000-0000-0000E1030000}"/>
    <cellStyle name="Note 2 2" xfId="994" xr:uid="{00000000-0005-0000-0000-0000E2030000}"/>
    <cellStyle name="Note 2 2 2" xfId="995" xr:uid="{00000000-0005-0000-0000-0000E3030000}"/>
    <cellStyle name="Note 2 2 3" xfId="996" xr:uid="{00000000-0005-0000-0000-0000E4030000}"/>
    <cellStyle name="Note 2 3" xfId="997" xr:uid="{00000000-0005-0000-0000-0000E5030000}"/>
    <cellStyle name="Note 2 3 2" xfId="998" xr:uid="{00000000-0005-0000-0000-0000E6030000}"/>
    <cellStyle name="Note 2 3 3" xfId="999" xr:uid="{00000000-0005-0000-0000-0000E7030000}"/>
    <cellStyle name="Note 2 4" xfId="1000" xr:uid="{00000000-0005-0000-0000-0000E8030000}"/>
    <cellStyle name="Note 2 4 2" xfId="1001" xr:uid="{00000000-0005-0000-0000-0000E9030000}"/>
    <cellStyle name="Note 2 5" xfId="1002" xr:uid="{00000000-0005-0000-0000-0000EA030000}"/>
    <cellStyle name="Note 2 6" xfId="1003" xr:uid="{00000000-0005-0000-0000-0000EB030000}"/>
    <cellStyle name="Note 3" xfId="1004" xr:uid="{00000000-0005-0000-0000-0000EC030000}"/>
    <cellStyle name="Note 3 2" xfId="1005" xr:uid="{00000000-0005-0000-0000-0000ED030000}"/>
    <cellStyle name="Note 3 3" xfId="1006" xr:uid="{00000000-0005-0000-0000-0000EE030000}"/>
    <cellStyle name="Note 3 4" xfId="1007" xr:uid="{00000000-0005-0000-0000-0000EF030000}"/>
    <cellStyle name="Note 3 4 2" xfId="1008" xr:uid="{00000000-0005-0000-0000-0000F0030000}"/>
    <cellStyle name="Note 4" xfId="1009" xr:uid="{00000000-0005-0000-0000-0000F1030000}"/>
    <cellStyle name="Note 4 2" xfId="1010" xr:uid="{00000000-0005-0000-0000-0000F2030000}"/>
    <cellStyle name="Note 4 3" xfId="1011" xr:uid="{00000000-0005-0000-0000-0000F3030000}"/>
    <cellStyle name="Note 4 3 2" xfId="1012" xr:uid="{00000000-0005-0000-0000-0000F4030000}"/>
    <cellStyle name="Note 5" xfId="1013" xr:uid="{00000000-0005-0000-0000-0000F5030000}"/>
    <cellStyle name="Note 5 2" xfId="1014" xr:uid="{00000000-0005-0000-0000-0000F6030000}"/>
    <cellStyle name="Note 5 3" xfId="1015" xr:uid="{00000000-0005-0000-0000-0000F7030000}"/>
    <cellStyle name="Note 5 4" xfId="1016" xr:uid="{00000000-0005-0000-0000-0000F8030000}"/>
    <cellStyle name="Note 6" xfId="1017" xr:uid="{00000000-0005-0000-0000-0000F9030000}"/>
    <cellStyle name="Note 6 2" xfId="1018" xr:uid="{00000000-0005-0000-0000-0000FA030000}"/>
    <cellStyle name="Note 6 3" xfId="1019" xr:uid="{00000000-0005-0000-0000-0000FB030000}"/>
    <cellStyle name="Note 7" xfId="1020" xr:uid="{00000000-0005-0000-0000-0000FC030000}"/>
    <cellStyle name="Note 8" xfId="1021" xr:uid="{00000000-0005-0000-0000-0000FD030000}"/>
    <cellStyle name="Notitie" xfId="1022" xr:uid="{00000000-0005-0000-0000-0000FE030000}"/>
    <cellStyle name="Notitie 2" xfId="1023" xr:uid="{00000000-0005-0000-0000-0000FF030000}"/>
    <cellStyle name="Ongeldig" xfId="1024" xr:uid="{00000000-0005-0000-0000-000000040000}"/>
    <cellStyle name="Opomba 2" xfId="1025" xr:uid="{00000000-0005-0000-0000-000001040000}"/>
    <cellStyle name="Opomba 3" xfId="1026" xr:uid="{00000000-0005-0000-0000-000002040000}"/>
    <cellStyle name="Output 2" xfId="1027" xr:uid="{00000000-0005-0000-0000-000003040000}"/>
    <cellStyle name="Output 2 2" xfId="1028" xr:uid="{00000000-0005-0000-0000-000004040000}"/>
    <cellStyle name="Output 2 3" xfId="1029" xr:uid="{00000000-0005-0000-0000-000005040000}"/>
    <cellStyle name="Output 3" xfId="1030" xr:uid="{00000000-0005-0000-0000-000006040000}"/>
    <cellStyle name="Output 4" xfId="1031" xr:uid="{00000000-0005-0000-0000-000007040000}"/>
    <cellStyle name="Output 5" xfId="1032" xr:uid="{00000000-0005-0000-0000-000008040000}"/>
    <cellStyle name="Output 6" xfId="1033" xr:uid="{00000000-0005-0000-0000-000009040000}"/>
    <cellStyle name="Output 7" xfId="1034" xr:uid="{00000000-0005-0000-0000-00000A040000}"/>
    <cellStyle name="Percent 2" xfId="1035" xr:uid="{00000000-0005-0000-0000-00000B040000}"/>
    <cellStyle name="Percent 2 2" xfId="1036" xr:uid="{00000000-0005-0000-0000-00000C040000}"/>
    <cellStyle name="Percent 2 2 2" xfId="1037" xr:uid="{00000000-0005-0000-0000-00000D040000}"/>
    <cellStyle name="Percent 2 2 3" xfId="1038" xr:uid="{00000000-0005-0000-0000-00000E040000}"/>
    <cellStyle name="Percent 2 3" xfId="1039" xr:uid="{00000000-0005-0000-0000-00000F040000}"/>
    <cellStyle name="Percent 2 3 2" xfId="1040" xr:uid="{00000000-0005-0000-0000-000010040000}"/>
    <cellStyle name="Percent 2 4" xfId="1041" xr:uid="{00000000-0005-0000-0000-000011040000}"/>
    <cellStyle name="Percent 2 5" xfId="1042" xr:uid="{00000000-0005-0000-0000-000012040000}"/>
    <cellStyle name="Percent 3" xfId="1043" xr:uid="{00000000-0005-0000-0000-000013040000}"/>
    <cellStyle name="Percent 3 2" xfId="1044" xr:uid="{00000000-0005-0000-0000-000014040000}"/>
    <cellStyle name="Percent 3 3" xfId="1045" xr:uid="{00000000-0005-0000-0000-000015040000}"/>
    <cellStyle name="Percent 4" xfId="1046" xr:uid="{00000000-0005-0000-0000-000016040000}"/>
    <cellStyle name="Percent 5" xfId="1047" xr:uid="{00000000-0005-0000-0000-000017040000}"/>
    <cellStyle name="Percent 6" xfId="1048" xr:uid="{00000000-0005-0000-0000-000018040000}"/>
    <cellStyle name="Percent 7" xfId="1049" xr:uid="{00000000-0005-0000-0000-000019040000}"/>
    <cellStyle name="Percent 7 2" xfId="1050" xr:uid="{00000000-0005-0000-0000-00001A040000}"/>
    <cellStyle name="Stub" xfId="1051" xr:uid="{00000000-0005-0000-0000-00001C040000}"/>
    <cellStyle name="Stub 2" xfId="1052" xr:uid="{00000000-0005-0000-0000-00001D040000}"/>
    <cellStyle name="table_cell" xfId="1053" xr:uid="{00000000-0005-0000-0000-00001E040000}"/>
    <cellStyle name="Titel" xfId="1054" xr:uid="{00000000-0005-0000-0000-00001F040000}"/>
    <cellStyle name="Title 2" xfId="1055" xr:uid="{00000000-0005-0000-0000-000020040000}"/>
    <cellStyle name="Title 2 2" xfId="1056" xr:uid="{00000000-0005-0000-0000-000021040000}"/>
    <cellStyle name="Title 2 3" xfId="1057" xr:uid="{00000000-0005-0000-0000-000022040000}"/>
    <cellStyle name="Title 3" xfId="1058" xr:uid="{00000000-0005-0000-0000-000023040000}"/>
    <cellStyle name="Title 4" xfId="1059" xr:uid="{00000000-0005-0000-0000-000024040000}"/>
    <cellStyle name="Title 5" xfId="1060" xr:uid="{00000000-0005-0000-0000-000025040000}"/>
    <cellStyle name="Title 6" xfId="1061" xr:uid="{00000000-0005-0000-0000-000026040000}"/>
    <cellStyle name="Titre 1 2" xfId="1062" xr:uid="{00000000-0005-0000-0000-000027040000}"/>
    <cellStyle name="Titre 1 2 2" xfId="1063" xr:uid="{00000000-0005-0000-0000-000028040000}"/>
    <cellStyle name="Top" xfId="1064" xr:uid="{00000000-0005-0000-0000-000029040000}"/>
    <cellStyle name="Top 2" xfId="1065" xr:uid="{00000000-0005-0000-0000-00002A040000}"/>
    <cellStyle name="Totaal" xfId="1066" xr:uid="{00000000-0005-0000-0000-00002B040000}"/>
    <cellStyle name="Total 2" xfId="1067" xr:uid="{00000000-0005-0000-0000-00002C040000}"/>
    <cellStyle name="Total 2 2" xfId="1068" xr:uid="{00000000-0005-0000-0000-00002D040000}"/>
    <cellStyle name="Total 2 3" xfId="1069" xr:uid="{00000000-0005-0000-0000-00002E040000}"/>
    <cellStyle name="Total 3" xfId="1070" xr:uid="{00000000-0005-0000-0000-00002F040000}"/>
    <cellStyle name="Total 4" xfId="1071" xr:uid="{00000000-0005-0000-0000-000030040000}"/>
    <cellStyle name="Total 5" xfId="1072" xr:uid="{00000000-0005-0000-0000-000031040000}"/>
    <cellStyle name="Total 6" xfId="1073" xr:uid="{00000000-0005-0000-0000-000032040000}"/>
    <cellStyle name="Total 7" xfId="1074" xr:uid="{00000000-0005-0000-0000-000033040000}"/>
    <cellStyle name="Totals" xfId="1075" xr:uid="{00000000-0005-0000-0000-000034040000}"/>
    <cellStyle name="Uitvoer" xfId="1076" xr:uid="{00000000-0005-0000-0000-000035040000}"/>
    <cellStyle name="value_cell" xfId="1077" xr:uid="{00000000-0005-0000-0000-000036040000}"/>
    <cellStyle name="Verklarende tekst" xfId="1078" xr:uid="{00000000-0005-0000-0000-000037040000}"/>
    <cellStyle name="Waarschuwingstekst" xfId="1079" xr:uid="{00000000-0005-0000-0000-000038040000}"/>
    <cellStyle name="Warning Text 2" xfId="1080" xr:uid="{00000000-0005-0000-0000-000039040000}"/>
    <cellStyle name="Warning Text 2 2" xfId="1081" xr:uid="{00000000-0005-0000-0000-00003A040000}"/>
    <cellStyle name="Warning Text 2 3" xfId="1082" xr:uid="{00000000-0005-0000-0000-00003B040000}"/>
    <cellStyle name="Warning Text 2 4" xfId="1083" xr:uid="{00000000-0005-0000-0000-00003C040000}"/>
    <cellStyle name="Warning Text 3" xfId="1084" xr:uid="{00000000-0005-0000-0000-00003D040000}"/>
    <cellStyle name="Warning Text 4" xfId="1085" xr:uid="{00000000-0005-0000-0000-00003E040000}"/>
    <cellStyle name="Warning Text 5" xfId="1086" xr:uid="{00000000-0005-0000-0000-00003F040000}"/>
    <cellStyle name="Обычный 2" xfId="1087" xr:uid="{00000000-0005-0000-0000-000040040000}"/>
  </cellStyles>
  <dxfs count="17">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
      <font>
        <b val="0"/>
        <i/>
      </font>
    </dxf>
  </dxfs>
  <tableStyles count="1" defaultTableStyle="TableStyleMedium2" defaultPivotStyle="PivotStyleLight16">
    <tableStyle name="Invisible" pivot="0" table="0" count="0" xr9:uid="{4D6C1624-70B8-4664-BED3-A8EF88CED35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tednations.sharepoint.com/unvfileserver/DATA04/docs/World%20Drug%20Report/WDR_2012/PrePublication/Consumption/Prev_CANNABIS_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unitednations.sharepoint.com/unvfileserver/DATA04/docs/World%20Drug%20Report/WDR_2016/Chapter%201/Prepub/Consumption/Prev_Opioids_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sheetName val="Instructions"/>
      <sheetName val="RESULTS"/>
      <sheetName val="TABLES"/>
      <sheetName val="Africa"/>
      <sheetName val="Americas"/>
      <sheetName val="Asia"/>
      <sheetName val="Europe"/>
      <sheetName val="Oceania"/>
      <sheetName val="LookupTables"/>
      <sheetName val="DeltaPivots"/>
      <sheetName val="PolyDrugUse"/>
      <sheetName val="EMCDDA 2011"/>
      <sheetName val="Iss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sheetName val="Results_Opioids"/>
      <sheetName val="Results_Opiates"/>
      <sheetName val="Table_Opioids"/>
      <sheetName val="Table_Opiates"/>
      <sheetName val="Population"/>
      <sheetName val="Worksheet"/>
      <sheetName val="Lookup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persons/person.xml><?xml version="1.0" encoding="utf-8"?>
<personList xmlns="http://schemas.microsoft.com/office/spreadsheetml/2018/threadedcomments" xmlns:x="http://schemas.openxmlformats.org/spreadsheetml/2006/main">
  <person displayName="Danica Thanki" id="{74EF0661-3721-46B6-BE29-FB3FB5E9603D}" userId="S::danica.thanki@un.org::f14bb37f-f158-49f2-b7cb-97ac343f8f81" providerId="AD"/>
  <person displayName="Diana Camerini" id="{2D0C9D95-DE36-410A-9B93-59F8E96B7498}" userId="S::diana.camerini@un.org::b394c066-a95d-4cd8-9048-e1580de58147"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73" dT="2022-02-08T11:41:31.74" personId="{2D0C9D95-DE36-410A-9B93-59F8E96B7498}" id="{22A405AA-288E-4854-94B4-CBA82BB74B9A}">
    <text>Govt source from Table 4 of this link https://www.canada.ca/en/health-canada/services/canadian-alcohol-drugs-survey/2019-summary/detailed-tables.html#t10</text>
  </threadedComment>
  <threadedComment ref="L271" dT="2022-09-28T11:51:31.57" personId="{2D0C9D95-DE36-410A-9B93-59F8E96B7498}" id="{AD5C121B-0B20-46CB-A956-C4BFA526A178}">
    <text>Denmark did not submit ARQ Module 1, so it takes EMCDDA</text>
  </threadedComment>
</ThreadedComments>
</file>

<file path=xl/threadedComments/threadedComment2.xml><?xml version="1.0" encoding="utf-8"?>
<ThreadedComments xmlns="http://schemas.microsoft.com/office/spreadsheetml/2018/threadedcomments" xmlns:x="http://schemas.openxmlformats.org/spreadsheetml/2006/main">
  <threadedComment ref="L207" dT="2022-09-28T11:51:31.57" personId="{2D0C9D95-DE36-410A-9B93-59F8E96B7498}" id="{CA0B0892-C6C5-4ABA-A8C0-CC8B2AFEC3D3}">
    <text>Denmark did not submit ARQ Module 1, so it takes EMCDDA</text>
  </threadedComment>
</ThreadedComments>
</file>

<file path=xl/threadedComments/threadedComment3.xml><?xml version="1.0" encoding="utf-8"?>
<ThreadedComments xmlns="http://schemas.microsoft.com/office/spreadsheetml/2018/threadedcomments" xmlns:x="http://schemas.openxmlformats.org/spreadsheetml/2006/main">
  <threadedComment ref="L189" dT="2022-09-28T11:51:31.57" personId="{2D0C9D95-DE36-410A-9B93-59F8E96B7498}" id="{902A8EF9-B3B5-481E-8C31-AADCC018C9E6}">
    <text>to check later if they submit data via ARQ too, no submission as of 28 Sept 2022</text>
  </threadedComment>
</ThreadedComments>
</file>

<file path=xl/threadedComments/threadedComment4.xml><?xml version="1.0" encoding="utf-8"?>
<ThreadedComments xmlns="http://schemas.microsoft.com/office/spreadsheetml/2018/threadedcomments" xmlns:x="http://schemas.openxmlformats.org/spreadsheetml/2006/main">
  <threadedComment ref="L199" dT="2022-09-28T11:51:31.57" personId="{2D0C9D95-DE36-410A-9B93-59F8E96B7498}" id="{EE5DFBAC-10A7-44AE-9E30-C3BACABEF563}">
    <text>to check later if they submit data via ARQ too, no submission as of 28 Sept 2022</text>
  </threadedComment>
</ThreadedComments>
</file>

<file path=xl/threadedComments/threadedComment5.xml><?xml version="1.0" encoding="utf-8"?>
<ThreadedComments xmlns="http://schemas.microsoft.com/office/spreadsheetml/2018/threadedcomments" xmlns:x="http://schemas.openxmlformats.org/spreadsheetml/2006/main">
  <threadedComment ref="O20" dT="2025-01-12T16:41:42.63" personId="{74EF0661-3721-46B6-BE29-FB3FB5E9603D}" id="{041DA4C3-C8D0-4EFF-9F64-D4FB2F985346}">
    <text>In the entire sample, there were only 8 people who used both heroin and pharmaceutical opioids without specification if the pharmaceutical opioids were used according to medical prescription or not. Also, there were only 10 persons who used illegal fentanyl and pharmaceutical opioids medically or non-medically.</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1:O444"/>
  <sheetViews>
    <sheetView tabSelected="1" zoomScale="90" zoomScaleNormal="90" zoomScaleSheetLayoutView="85" workbookViewId="0">
      <pane ySplit="3" topLeftCell="A4" activePane="bottomLeft" state="frozen"/>
      <selection activeCell="D1" sqref="D1"/>
      <selection pane="bottomLeft"/>
    </sheetView>
  </sheetViews>
  <sheetFormatPr defaultColWidth="8.875" defaultRowHeight="15.75"/>
  <cols>
    <col min="1" max="1" width="7.625" customWidth="1"/>
    <col min="2" max="2" width="16.125" customWidth="1"/>
    <col min="3" max="3" width="40.125" customWidth="1"/>
    <col min="4" max="4" width="38.875" customWidth="1"/>
    <col min="5" max="7" width="11.625" customWidth="1"/>
    <col min="8" max="9" width="11.625" style="1" customWidth="1"/>
    <col min="10" max="11" width="11.625" style="18" customWidth="1"/>
    <col min="12" max="12" width="49.125" customWidth="1"/>
    <col min="13" max="13" width="12.125" customWidth="1"/>
    <col min="14" max="14" width="16.625" customWidth="1"/>
    <col min="15" max="15" width="70.625" customWidth="1"/>
  </cols>
  <sheetData>
    <row r="1" spans="2:15" s="10" customFormat="1" ht="32.450000000000003" customHeight="1">
      <c r="B1" s="76" t="s">
        <v>0</v>
      </c>
      <c r="C1" s="77"/>
      <c r="D1" s="77"/>
      <c r="E1" s="77"/>
      <c r="F1" s="77"/>
      <c r="G1" s="77"/>
      <c r="H1" s="77"/>
      <c r="I1" s="77"/>
      <c r="J1" s="77"/>
      <c r="K1" s="77"/>
      <c r="L1" s="77"/>
      <c r="M1" s="77"/>
      <c r="N1" s="77"/>
      <c r="O1" s="77"/>
    </row>
    <row r="2" spans="2:15" s="10" customFormat="1" ht="39" customHeight="1">
      <c r="B2" s="78" t="s">
        <v>1</v>
      </c>
      <c r="C2" s="79"/>
      <c r="D2" s="79"/>
      <c r="E2" s="79"/>
      <c r="F2" s="79"/>
      <c r="G2" s="79"/>
      <c r="H2" s="79"/>
      <c r="I2" s="79"/>
      <c r="J2" s="79"/>
      <c r="K2" s="79"/>
      <c r="L2" s="79"/>
      <c r="M2" s="79"/>
      <c r="N2" s="79"/>
      <c r="O2" s="79"/>
    </row>
    <row r="3" spans="2:15" s="10" customFormat="1" ht="45.75" customHeight="1">
      <c r="B3" s="5" t="s">
        <v>2</v>
      </c>
      <c r="C3" s="5" t="s">
        <v>3</v>
      </c>
      <c r="D3" s="5" t="s">
        <v>4</v>
      </c>
      <c r="E3" s="6" t="s">
        <v>5</v>
      </c>
      <c r="F3" s="6" t="s">
        <v>6</v>
      </c>
      <c r="G3" s="6" t="s">
        <v>7</v>
      </c>
      <c r="H3" s="7" t="s">
        <v>8</v>
      </c>
      <c r="I3" s="8" t="s">
        <v>9</v>
      </c>
      <c r="J3" s="5" t="s">
        <v>10</v>
      </c>
      <c r="K3" s="5" t="s">
        <v>11</v>
      </c>
      <c r="L3" s="5" t="s">
        <v>12</v>
      </c>
      <c r="M3" s="9" t="s">
        <v>13</v>
      </c>
      <c r="N3" s="6" t="s">
        <v>14</v>
      </c>
      <c r="O3" s="5" t="s">
        <v>15</v>
      </c>
    </row>
    <row r="4" spans="2:15" ht="15.6" customHeight="1">
      <c r="B4" s="14" t="s">
        <v>16</v>
      </c>
      <c r="C4" s="14" t="s">
        <v>17</v>
      </c>
      <c r="D4" s="26" t="s">
        <v>18</v>
      </c>
      <c r="E4" s="11">
        <v>2.1</v>
      </c>
      <c r="F4" s="12">
        <v>1.9</v>
      </c>
      <c r="G4" s="12">
        <v>2.2799999999999998</v>
      </c>
      <c r="H4" s="12"/>
      <c r="I4" s="13"/>
      <c r="J4" s="16">
        <v>2022</v>
      </c>
      <c r="K4" s="19" t="s">
        <v>19</v>
      </c>
      <c r="L4" s="3" t="s">
        <v>20</v>
      </c>
      <c r="M4" s="3" t="s">
        <v>21</v>
      </c>
      <c r="N4" s="3" t="s">
        <v>22</v>
      </c>
      <c r="O4" s="3" t="s">
        <v>23</v>
      </c>
    </row>
    <row r="5" spans="2:15" ht="15.6" customHeight="1">
      <c r="B5" s="14"/>
      <c r="C5" s="14"/>
      <c r="D5" s="26" t="s">
        <v>18</v>
      </c>
      <c r="E5" s="11">
        <v>1.2</v>
      </c>
      <c r="F5" s="12"/>
      <c r="G5" s="12"/>
      <c r="H5" s="12">
        <v>2.1</v>
      </c>
      <c r="I5" s="13">
        <v>0.3</v>
      </c>
      <c r="J5" s="16">
        <v>2017</v>
      </c>
      <c r="K5" s="19" t="s">
        <v>19</v>
      </c>
      <c r="L5" s="3" t="s">
        <v>24</v>
      </c>
      <c r="M5" s="3" t="s">
        <v>21</v>
      </c>
      <c r="N5" s="3"/>
      <c r="O5" s="3"/>
    </row>
    <row r="6" spans="2:15" ht="15.6" customHeight="1">
      <c r="B6" s="14"/>
      <c r="C6" s="14"/>
      <c r="D6" s="26" t="s">
        <v>18</v>
      </c>
      <c r="E6" s="11">
        <v>2.1</v>
      </c>
      <c r="F6" s="12">
        <v>0.3</v>
      </c>
      <c r="G6" s="12">
        <v>4</v>
      </c>
      <c r="H6" s="12"/>
      <c r="I6" s="13"/>
      <c r="J6" s="16">
        <v>2007</v>
      </c>
      <c r="K6" s="19" t="s">
        <v>19</v>
      </c>
      <c r="L6" s="3" t="s">
        <v>25</v>
      </c>
      <c r="M6" s="3" t="s">
        <v>21</v>
      </c>
      <c r="N6" s="3" t="s">
        <v>26</v>
      </c>
      <c r="O6" s="3"/>
    </row>
    <row r="7" spans="2:15" ht="15.6" customHeight="1">
      <c r="B7" s="14"/>
      <c r="C7" s="14"/>
      <c r="D7" s="26" t="s">
        <v>18</v>
      </c>
      <c r="E7" s="11">
        <v>7.1</v>
      </c>
      <c r="F7" s="12"/>
      <c r="G7" s="12"/>
      <c r="H7" s="12"/>
      <c r="I7" s="13"/>
      <c r="J7" s="16">
        <v>2004</v>
      </c>
      <c r="K7" s="19" t="s">
        <v>27</v>
      </c>
      <c r="L7" s="3" t="s">
        <v>28</v>
      </c>
      <c r="M7" s="3" t="s">
        <v>29</v>
      </c>
      <c r="N7" s="3" t="s">
        <v>30</v>
      </c>
      <c r="O7" s="3"/>
    </row>
    <row r="8" spans="2:15" ht="15.6" customHeight="1">
      <c r="B8" s="14"/>
      <c r="C8" s="14"/>
      <c r="D8" s="26" t="s">
        <v>31</v>
      </c>
      <c r="E8" s="11">
        <v>9.1</v>
      </c>
      <c r="F8" s="12"/>
      <c r="G8" s="12"/>
      <c r="H8" s="12"/>
      <c r="I8" s="13"/>
      <c r="J8" s="16">
        <v>2004</v>
      </c>
      <c r="K8" s="19" t="s">
        <v>27</v>
      </c>
      <c r="L8" s="3" t="s">
        <v>24</v>
      </c>
      <c r="M8" s="3" t="s">
        <v>32</v>
      </c>
      <c r="N8" s="3" t="s">
        <v>33</v>
      </c>
      <c r="O8" s="3"/>
    </row>
    <row r="9" spans="2:15" ht="15.6" customHeight="1">
      <c r="B9" s="14"/>
      <c r="C9" s="14"/>
      <c r="D9" s="26" t="s">
        <v>34</v>
      </c>
      <c r="E9" s="11">
        <v>1.08</v>
      </c>
      <c r="F9" s="12"/>
      <c r="G9" s="12"/>
      <c r="H9" s="12"/>
      <c r="I9" s="13"/>
      <c r="J9" s="16">
        <v>2009</v>
      </c>
      <c r="K9" s="19" t="s">
        <v>35</v>
      </c>
      <c r="L9" s="3" t="s">
        <v>36</v>
      </c>
      <c r="M9" s="3"/>
      <c r="N9" s="3" t="s">
        <v>37</v>
      </c>
      <c r="O9" s="3"/>
    </row>
    <row r="10" spans="2:15" ht="15.6" customHeight="1">
      <c r="B10" s="14"/>
      <c r="C10" s="14"/>
      <c r="D10" s="26" t="s">
        <v>34</v>
      </c>
      <c r="E10" s="11">
        <v>3.9</v>
      </c>
      <c r="F10" s="12"/>
      <c r="G10" s="12"/>
      <c r="H10" s="12"/>
      <c r="I10" s="13"/>
      <c r="J10" s="16">
        <v>2004</v>
      </c>
      <c r="K10" s="19" t="s">
        <v>35</v>
      </c>
      <c r="L10" s="3" t="s">
        <v>38</v>
      </c>
      <c r="M10" s="3"/>
      <c r="N10" s="3"/>
      <c r="O10" s="3"/>
    </row>
    <row r="11" spans="2:15" ht="15.6" customHeight="1">
      <c r="B11" s="14"/>
      <c r="C11" s="14" t="s">
        <v>39</v>
      </c>
      <c r="D11" s="26" t="s">
        <v>40</v>
      </c>
      <c r="E11" s="11">
        <v>0.52</v>
      </c>
      <c r="F11" s="12"/>
      <c r="G11" s="12"/>
      <c r="H11" s="12">
        <v>1.06</v>
      </c>
      <c r="I11" s="13">
        <v>0.03</v>
      </c>
      <c r="J11" s="16">
        <v>2010</v>
      </c>
      <c r="K11" s="19" t="s">
        <v>41</v>
      </c>
      <c r="L11" s="3" t="s">
        <v>24</v>
      </c>
      <c r="M11" s="3" t="s">
        <v>21</v>
      </c>
      <c r="N11" s="3"/>
      <c r="O11" s="3"/>
    </row>
    <row r="12" spans="2:15" ht="15.6" customHeight="1">
      <c r="B12" s="14"/>
      <c r="C12" s="14"/>
      <c r="D12" s="26" t="s">
        <v>42</v>
      </c>
      <c r="E12" s="11">
        <v>3.9</v>
      </c>
      <c r="F12" s="12"/>
      <c r="G12" s="12"/>
      <c r="H12" s="12"/>
      <c r="I12" s="13"/>
      <c r="J12" s="16">
        <v>2019</v>
      </c>
      <c r="K12" s="19" t="s">
        <v>27</v>
      </c>
      <c r="L12" s="3" t="s">
        <v>24</v>
      </c>
      <c r="M12" s="3" t="s">
        <v>21</v>
      </c>
      <c r="N12" s="3"/>
      <c r="O12" s="3"/>
    </row>
    <row r="13" spans="2:15" ht="15.6" customHeight="1">
      <c r="B13" s="14"/>
      <c r="C13" s="14"/>
      <c r="D13" s="26" t="s">
        <v>42</v>
      </c>
      <c r="E13" s="11">
        <v>5.31</v>
      </c>
      <c r="F13" s="12"/>
      <c r="G13" s="12"/>
      <c r="H13" s="12"/>
      <c r="I13" s="13"/>
      <c r="J13" s="16">
        <v>2016</v>
      </c>
      <c r="K13" s="19" t="s">
        <v>27</v>
      </c>
      <c r="L13" s="3" t="s">
        <v>43</v>
      </c>
      <c r="M13" s="3" t="s">
        <v>44</v>
      </c>
      <c r="N13" s="3" t="s">
        <v>45</v>
      </c>
      <c r="O13" s="3"/>
    </row>
    <row r="14" spans="2:15" ht="15.6" customHeight="1">
      <c r="B14" s="14"/>
      <c r="C14" s="14"/>
      <c r="D14" s="26" t="s">
        <v>42</v>
      </c>
      <c r="E14" s="11">
        <v>6.24</v>
      </c>
      <c r="F14" s="12">
        <v>2.9</v>
      </c>
      <c r="G14" s="12">
        <v>9.58</v>
      </c>
      <c r="H14" s="12"/>
      <c r="I14" s="13"/>
      <c r="J14" s="16">
        <v>2006</v>
      </c>
      <c r="K14" s="19" t="s">
        <v>27</v>
      </c>
      <c r="L14" s="3" t="s">
        <v>46</v>
      </c>
      <c r="M14" s="3" t="s">
        <v>47</v>
      </c>
      <c r="N14" s="3" t="s">
        <v>48</v>
      </c>
      <c r="O14" s="3"/>
    </row>
    <row r="15" spans="2:15" ht="15.6" customHeight="1">
      <c r="B15" s="14"/>
      <c r="C15" s="14"/>
      <c r="D15" s="26" t="s">
        <v>49</v>
      </c>
      <c r="E15" s="11">
        <v>10.47</v>
      </c>
      <c r="F15" s="12"/>
      <c r="G15" s="12"/>
      <c r="H15" s="12"/>
      <c r="I15" s="13"/>
      <c r="J15" s="16">
        <v>2017</v>
      </c>
      <c r="K15" s="19" t="s">
        <v>27</v>
      </c>
      <c r="L15" s="3" t="s">
        <v>43</v>
      </c>
      <c r="M15" s="3" t="s">
        <v>44</v>
      </c>
      <c r="N15" s="3" t="s">
        <v>45</v>
      </c>
      <c r="O15" s="3"/>
    </row>
    <row r="16" spans="2:15" ht="15.6" customHeight="1">
      <c r="B16" s="14"/>
      <c r="C16" s="14"/>
      <c r="D16" s="26" t="s">
        <v>49</v>
      </c>
      <c r="E16" s="11">
        <v>3.94</v>
      </c>
      <c r="F16" s="12"/>
      <c r="G16" s="12"/>
      <c r="H16" s="12"/>
      <c r="I16" s="13"/>
      <c r="J16" s="16">
        <v>2005</v>
      </c>
      <c r="K16" s="19" t="s">
        <v>50</v>
      </c>
      <c r="L16" s="3" t="s">
        <v>24</v>
      </c>
      <c r="M16" s="3" t="s">
        <v>21</v>
      </c>
      <c r="N16" s="3"/>
      <c r="O16" s="3"/>
    </row>
    <row r="17" spans="2:15" ht="15.6" customHeight="1">
      <c r="B17" s="14"/>
      <c r="C17" s="14"/>
      <c r="D17" s="26" t="s">
        <v>49</v>
      </c>
      <c r="E17" s="11">
        <v>4.22</v>
      </c>
      <c r="F17" s="12"/>
      <c r="G17" s="12"/>
      <c r="H17" s="12"/>
      <c r="I17" s="13"/>
      <c r="J17" s="16">
        <v>2004</v>
      </c>
      <c r="K17" s="19" t="s">
        <v>27</v>
      </c>
      <c r="L17" s="3" t="s">
        <v>24</v>
      </c>
      <c r="M17" s="3" t="s">
        <v>51</v>
      </c>
      <c r="N17" s="3"/>
      <c r="O17" s="3"/>
    </row>
    <row r="18" spans="2:15" ht="15.6" customHeight="1">
      <c r="B18" s="14"/>
      <c r="C18" s="14"/>
      <c r="D18" s="26" t="s">
        <v>52</v>
      </c>
      <c r="E18" s="11">
        <v>5.35</v>
      </c>
      <c r="F18" s="12"/>
      <c r="G18" s="12"/>
      <c r="H18" s="12"/>
      <c r="I18" s="13"/>
      <c r="J18" s="16">
        <v>2017</v>
      </c>
      <c r="K18" s="19" t="s">
        <v>27</v>
      </c>
      <c r="L18" s="3" t="s">
        <v>43</v>
      </c>
      <c r="M18" s="3" t="s">
        <v>44</v>
      </c>
      <c r="N18" s="3" t="s">
        <v>45</v>
      </c>
      <c r="O18" s="3"/>
    </row>
    <row r="19" spans="2:15" ht="15.6" customHeight="1">
      <c r="B19" s="14"/>
      <c r="C19" s="14"/>
      <c r="D19" s="26" t="s">
        <v>52</v>
      </c>
      <c r="E19" s="11">
        <v>2.6</v>
      </c>
      <c r="F19" s="12"/>
      <c r="G19" s="12"/>
      <c r="H19" s="12"/>
      <c r="I19" s="13"/>
      <c r="J19" s="16">
        <v>2013</v>
      </c>
      <c r="K19" s="19" t="s">
        <v>27</v>
      </c>
      <c r="L19" s="3" t="s">
        <v>24</v>
      </c>
      <c r="M19" s="3" t="s">
        <v>21</v>
      </c>
      <c r="N19" s="3"/>
      <c r="O19" s="3"/>
    </row>
    <row r="20" spans="2:15" ht="15.6" customHeight="1">
      <c r="B20" s="14"/>
      <c r="C20" s="14" t="s">
        <v>53</v>
      </c>
      <c r="D20" s="26" t="s">
        <v>54</v>
      </c>
      <c r="E20" s="11">
        <v>11.22</v>
      </c>
      <c r="F20" s="12">
        <v>10.69</v>
      </c>
      <c r="G20" s="12">
        <v>11.76</v>
      </c>
      <c r="H20" s="12"/>
      <c r="I20" s="13"/>
      <c r="J20" s="16">
        <v>2017</v>
      </c>
      <c r="K20" s="19" t="s">
        <v>27</v>
      </c>
      <c r="L20" s="3" t="s">
        <v>55</v>
      </c>
      <c r="M20" s="3" t="s">
        <v>21</v>
      </c>
      <c r="N20" s="3" t="s">
        <v>56</v>
      </c>
      <c r="O20" s="3"/>
    </row>
    <row r="21" spans="2:15" ht="15.6" customHeight="1">
      <c r="B21" s="14"/>
      <c r="C21" s="14"/>
      <c r="D21" s="26" t="s">
        <v>54</v>
      </c>
      <c r="E21" s="11">
        <v>5.73</v>
      </c>
      <c r="F21" s="12">
        <v>5.45</v>
      </c>
      <c r="G21" s="12">
        <v>6</v>
      </c>
      <c r="H21" s="12"/>
      <c r="I21" s="13"/>
      <c r="J21" s="16">
        <v>2012</v>
      </c>
      <c r="K21" s="19" t="s">
        <v>27</v>
      </c>
      <c r="L21" s="3" t="s">
        <v>55</v>
      </c>
      <c r="M21" s="3" t="s">
        <v>21</v>
      </c>
      <c r="N21" s="3" t="s">
        <v>56</v>
      </c>
      <c r="O21" s="3"/>
    </row>
    <row r="22" spans="2:15" ht="15.6" customHeight="1">
      <c r="B22" s="14"/>
      <c r="C22" s="14"/>
      <c r="D22" s="26" t="s">
        <v>54</v>
      </c>
      <c r="E22" s="11">
        <v>4.26</v>
      </c>
      <c r="F22" s="12">
        <v>3.52</v>
      </c>
      <c r="G22" s="12">
        <v>6.18</v>
      </c>
      <c r="H22" s="12"/>
      <c r="I22" s="13"/>
      <c r="J22" s="16">
        <v>2008</v>
      </c>
      <c r="K22" s="19" t="s">
        <v>27</v>
      </c>
      <c r="L22" s="3" t="s">
        <v>38</v>
      </c>
      <c r="M22" s="3" t="s">
        <v>51</v>
      </c>
      <c r="N22" s="3" t="s">
        <v>56</v>
      </c>
      <c r="O22" s="3"/>
    </row>
    <row r="23" spans="2:15" ht="15.6" customHeight="1">
      <c r="B23" s="14"/>
      <c r="C23" s="14"/>
      <c r="D23" s="26" t="s">
        <v>57</v>
      </c>
      <c r="E23" s="11">
        <v>9.5</v>
      </c>
      <c r="F23" s="12">
        <v>4</v>
      </c>
      <c r="G23" s="12">
        <v>15.6</v>
      </c>
      <c r="H23" s="12"/>
      <c r="I23" s="13"/>
      <c r="J23" s="16">
        <v>2004</v>
      </c>
      <c r="K23" s="19" t="s">
        <v>27</v>
      </c>
      <c r="L23" s="3" t="s">
        <v>46</v>
      </c>
      <c r="M23" s="3" t="s">
        <v>44</v>
      </c>
      <c r="N23" s="3" t="s">
        <v>33</v>
      </c>
      <c r="O23" s="3"/>
    </row>
    <row r="24" spans="2:15" ht="15.6" customHeight="1">
      <c r="B24" s="14"/>
      <c r="C24" s="14"/>
      <c r="D24" s="26" t="s">
        <v>57</v>
      </c>
      <c r="E24" s="11">
        <v>17.7</v>
      </c>
      <c r="F24" s="12"/>
      <c r="G24" s="12"/>
      <c r="H24" s="12"/>
      <c r="I24" s="13"/>
      <c r="J24" s="16">
        <v>2003</v>
      </c>
      <c r="K24" s="19"/>
      <c r="L24" s="3" t="s">
        <v>58</v>
      </c>
      <c r="M24" s="3"/>
      <c r="N24" s="3"/>
      <c r="O24" s="3"/>
    </row>
    <row r="25" spans="2:15" ht="15.6" customHeight="1">
      <c r="B25" s="14"/>
      <c r="C25" s="14" t="s">
        <v>59</v>
      </c>
      <c r="D25" s="26" t="s">
        <v>60</v>
      </c>
      <c r="E25" s="11">
        <v>2.9</v>
      </c>
      <c r="F25" s="12"/>
      <c r="G25" s="12"/>
      <c r="H25" s="12"/>
      <c r="I25" s="13"/>
      <c r="J25" s="16">
        <v>2006</v>
      </c>
      <c r="K25" s="19" t="s">
        <v>27</v>
      </c>
      <c r="L25" s="3" t="s">
        <v>61</v>
      </c>
      <c r="M25" s="3"/>
      <c r="N25" s="3" t="s">
        <v>33</v>
      </c>
      <c r="O25" s="3"/>
    </row>
    <row r="26" spans="2:15" ht="15.6" customHeight="1">
      <c r="B26" s="14"/>
      <c r="C26" s="14"/>
      <c r="D26" s="26" t="s">
        <v>62</v>
      </c>
      <c r="E26" s="11">
        <v>2.4</v>
      </c>
      <c r="F26" s="12"/>
      <c r="G26" s="12"/>
      <c r="H26" s="12"/>
      <c r="I26" s="13"/>
      <c r="J26" s="16">
        <v>2012</v>
      </c>
      <c r="K26" s="19" t="s">
        <v>27</v>
      </c>
      <c r="L26" s="3" t="s">
        <v>63</v>
      </c>
      <c r="M26" s="3" t="s">
        <v>21</v>
      </c>
      <c r="N26" s="3"/>
      <c r="O26" s="3"/>
    </row>
    <row r="27" spans="2:15" ht="15.6" customHeight="1">
      <c r="B27" s="14"/>
      <c r="C27" s="14"/>
      <c r="D27" s="26" t="s">
        <v>62</v>
      </c>
      <c r="E27" s="11">
        <v>8.1</v>
      </c>
      <c r="F27" s="12"/>
      <c r="G27" s="12"/>
      <c r="H27" s="12"/>
      <c r="I27" s="13"/>
      <c r="J27" s="16">
        <v>2004</v>
      </c>
      <c r="K27" s="19" t="s">
        <v>27</v>
      </c>
      <c r="L27" s="3" t="s">
        <v>61</v>
      </c>
      <c r="M27" s="3"/>
      <c r="N27" s="3" t="s">
        <v>33</v>
      </c>
      <c r="O27" s="3"/>
    </row>
    <row r="28" spans="2:15" ht="15.6" customHeight="1">
      <c r="B28" s="14"/>
      <c r="C28" s="14"/>
      <c r="D28" s="26" t="s">
        <v>64</v>
      </c>
      <c r="E28" s="11">
        <v>3.24</v>
      </c>
      <c r="F28" s="12">
        <v>1.99</v>
      </c>
      <c r="G28" s="12">
        <v>4.3</v>
      </c>
      <c r="H28" s="12"/>
      <c r="I28" s="13"/>
      <c r="J28" s="16">
        <v>2017</v>
      </c>
      <c r="K28" s="19" t="s">
        <v>27</v>
      </c>
      <c r="L28" s="3" t="s">
        <v>20</v>
      </c>
      <c r="M28" s="3" t="s">
        <v>44</v>
      </c>
      <c r="N28" s="3" t="s">
        <v>45</v>
      </c>
      <c r="O28" s="3"/>
    </row>
    <row r="29" spans="2:15" ht="15.6" customHeight="1">
      <c r="B29" s="14"/>
      <c r="C29" s="14"/>
      <c r="D29" s="26" t="s">
        <v>65</v>
      </c>
      <c r="E29" s="11">
        <v>7.52</v>
      </c>
      <c r="F29" s="12"/>
      <c r="G29" s="12"/>
      <c r="H29" s="12"/>
      <c r="I29" s="13"/>
      <c r="J29" s="16">
        <v>2017</v>
      </c>
      <c r="K29" s="19" t="s">
        <v>27</v>
      </c>
      <c r="L29" s="3" t="s">
        <v>66</v>
      </c>
      <c r="M29" s="3" t="s">
        <v>44</v>
      </c>
      <c r="N29" s="3" t="s">
        <v>33</v>
      </c>
      <c r="O29" s="3"/>
    </row>
    <row r="30" spans="2:15" ht="15.6" customHeight="1">
      <c r="B30" s="14"/>
      <c r="C30" s="14"/>
      <c r="D30" s="26" t="s">
        <v>65</v>
      </c>
      <c r="E30" s="11">
        <v>3.18</v>
      </c>
      <c r="F30" s="12">
        <v>1.53</v>
      </c>
      <c r="G30" s="12">
        <v>4.83</v>
      </c>
      <c r="H30" s="12"/>
      <c r="I30" s="13"/>
      <c r="J30" s="16">
        <v>2008</v>
      </c>
      <c r="K30" s="19" t="s">
        <v>27</v>
      </c>
      <c r="L30" s="3" t="s">
        <v>61</v>
      </c>
      <c r="M30" s="3"/>
      <c r="N30" s="3" t="s">
        <v>67</v>
      </c>
      <c r="O30" s="3"/>
    </row>
    <row r="31" spans="2:15" ht="15.6" customHeight="1">
      <c r="B31" s="14"/>
      <c r="C31" s="14"/>
      <c r="D31" s="26" t="s">
        <v>68</v>
      </c>
      <c r="E31" s="11">
        <v>10.76</v>
      </c>
      <c r="F31" s="12">
        <v>10.26</v>
      </c>
      <c r="G31" s="12">
        <v>11.26</v>
      </c>
      <c r="H31" s="12">
        <v>18.8</v>
      </c>
      <c r="I31" s="13">
        <v>2.6</v>
      </c>
      <c r="J31" s="16">
        <v>2017</v>
      </c>
      <c r="K31" s="19" t="s">
        <v>27</v>
      </c>
      <c r="L31" s="3" t="s">
        <v>69</v>
      </c>
      <c r="M31" s="3" t="s">
        <v>70</v>
      </c>
      <c r="N31" s="3"/>
      <c r="O31" s="3"/>
    </row>
    <row r="32" spans="2:15" ht="15.6" customHeight="1">
      <c r="B32" s="14"/>
      <c r="C32" s="14"/>
      <c r="D32" s="26" t="s">
        <v>71</v>
      </c>
      <c r="E32" s="11">
        <v>14.3</v>
      </c>
      <c r="F32" s="12">
        <v>11.76</v>
      </c>
      <c r="G32" s="12">
        <v>16.84</v>
      </c>
      <c r="H32" s="12"/>
      <c r="I32" s="13"/>
      <c r="J32" s="16">
        <v>2008</v>
      </c>
      <c r="K32" s="19" t="s">
        <v>27</v>
      </c>
      <c r="L32" s="3" t="s">
        <v>24</v>
      </c>
      <c r="M32" s="3" t="s">
        <v>21</v>
      </c>
      <c r="N32" s="3" t="s">
        <v>67</v>
      </c>
      <c r="O32" s="3"/>
    </row>
    <row r="33" spans="2:15" ht="15.6" customHeight="1">
      <c r="B33" s="14"/>
      <c r="C33" s="14"/>
      <c r="D33" s="26" t="s">
        <v>72</v>
      </c>
      <c r="E33" s="11">
        <v>6.48</v>
      </c>
      <c r="F33" s="12"/>
      <c r="G33" s="12"/>
      <c r="H33" s="12"/>
      <c r="I33" s="13"/>
      <c r="J33" s="16">
        <v>2017</v>
      </c>
      <c r="K33" s="19" t="s">
        <v>27</v>
      </c>
      <c r="L33" s="3" t="s">
        <v>66</v>
      </c>
      <c r="M33" s="3" t="s">
        <v>44</v>
      </c>
      <c r="N33" s="3" t="s">
        <v>33</v>
      </c>
      <c r="O33" s="3"/>
    </row>
    <row r="34" spans="2:15" ht="15.6" customHeight="1">
      <c r="B34" s="14"/>
      <c r="C34" s="14"/>
      <c r="D34" s="26" t="s">
        <v>72</v>
      </c>
      <c r="E34" s="11">
        <v>5.42</v>
      </c>
      <c r="F34" s="12">
        <v>3.52</v>
      </c>
      <c r="G34" s="12">
        <v>7.32</v>
      </c>
      <c r="H34" s="12"/>
      <c r="I34" s="13"/>
      <c r="J34" s="16">
        <v>2010</v>
      </c>
      <c r="K34" s="19" t="s">
        <v>27</v>
      </c>
      <c r="L34" s="3" t="s">
        <v>61</v>
      </c>
      <c r="M34" s="3"/>
      <c r="N34" s="3" t="s">
        <v>67</v>
      </c>
      <c r="O34" s="3"/>
    </row>
    <row r="35" spans="2:15" ht="15.6" customHeight="1">
      <c r="B35" s="14"/>
      <c r="C35" s="14"/>
      <c r="D35" s="26" t="s">
        <v>73</v>
      </c>
      <c r="E35" s="11">
        <v>1</v>
      </c>
      <c r="F35" s="12">
        <v>0.2</v>
      </c>
      <c r="G35" s="12">
        <v>3.1</v>
      </c>
      <c r="H35" s="12"/>
      <c r="I35" s="13"/>
      <c r="J35" s="16">
        <v>2009</v>
      </c>
      <c r="K35" s="19" t="s">
        <v>27</v>
      </c>
      <c r="L35" s="3" t="s">
        <v>61</v>
      </c>
      <c r="M35" s="3" t="s">
        <v>44</v>
      </c>
      <c r="N35" s="3" t="s">
        <v>33</v>
      </c>
      <c r="O35" s="3"/>
    </row>
    <row r="36" spans="2:15" ht="15.6" customHeight="1">
      <c r="B36" s="14"/>
      <c r="C36" s="14"/>
      <c r="D36" s="26" t="s">
        <v>73</v>
      </c>
      <c r="E36" s="11">
        <v>2.73</v>
      </c>
      <c r="F36" s="12"/>
      <c r="G36" s="12"/>
      <c r="H36" s="12"/>
      <c r="I36" s="13"/>
      <c r="J36" s="16">
        <v>2006</v>
      </c>
      <c r="K36" s="19" t="s">
        <v>27</v>
      </c>
      <c r="L36" s="3" t="s">
        <v>58</v>
      </c>
      <c r="M36" s="3" t="s">
        <v>74</v>
      </c>
      <c r="N36" s="3" t="s">
        <v>75</v>
      </c>
      <c r="O36" s="3"/>
    </row>
    <row r="37" spans="2:15" ht="15.6" customHeight="1">
      <c r="B37" s="14" t="s">
        <v>76</v>
      </c>
      <c r="C37" s="14" t="s">
        <v>77</v>
      </c>
      <c r="D37" s="26" t="s">
        <v>78</v>
      </c>
      <c r="E37" s="11">
        <v>3.1</v>
      </c>
      <c r="F37" s="12"/>
      <c r="G37" s="12"/>
      <c r="H37" s="12">
        <v>5</v>
      </c>
      <c r="I37" s="13">
        <v>1</v>
      </c>
      <c r="J37" s="16">
        <v>2017</v>
      </c>
      <c r="K37" s="19" t="s">
        <v>79</v>
      </c>
      <c r="L37" s="3" t="s">
        <v>24</v>
      </c>
      <c r="M37" s="3" t="s">
        <v>21</v>
      </c>
      <c r="N37" s="3"/>
      <c r="O37" s="3"/>
    </row>
    <row r="38" spans="2:15" ht="15.6" customHeight="1">
      <c r="B38" s="14"/>
      <c r="C38" s="14"/>
      <c r="D38" s="26" t="s">
        <v>78</v>
      </c>
      <c r="E38" s="11">
        <v>5.54</v>
      </c>
      <c r="F38" s="12">
        <v>3.2</v>
      </c>
      <c r="G38" s="12">
        <v>7.89</v>
      </c>
      <c r="H38" s="12"/>
      <c r="I38" s="13"/>
      <c r="J38" s="16">
        <v>2008</v>
      </c>
      <c r="K38" s="19" t="s">
        <v>27</v>
      </c>
      <c r="L38" s="3" t="s">
        <v>24</v>
      </c>
      <c r="M38" s="3" t="s">
        <v>44</v>
      </c>
      <c r="N38" s="3" t="s">
        <v>33</v>
      </c>
      <c r="O38" s="3"/>
    </row>
    <row r="39" spans="2:15" ht="15.6" customHeight="1">
      <c r="B39" s="14"/>
      <c r="C39" s="14"/>
      <c r="D39" s="26" t="s">
        <v>78</v>
      </c>
      <c r="E39" s="11">
        <v>4.7</v>
      </c>
      <c r="F39" s="12"/>
      <c r="G39" s="12"/>
      <c r="H39" s="12"/>
      <c r="I39" s="13"/>
      <c r="J39" s="16">
        <v>2003</v>
      </c>
      <c r="K39" s="19" t="s">
        <v>27</v>
      </c>
      <c r="L39" s="3" t="s">
        <v>58</v>
      </c>
      <c r="M39" s="3" t="s">
        <v>74</v>
      </c>
      <c r="N39" s="3" t="s">
        <v>75</v>
      </c>
      <c r="O39" s="3"/>
    </row>
    <row r="40" spans="2:15" ht="15.6" customHeight="1">
      <c r="B40" s="14"/>
      <c r="C40" s="14"/>
      <c r="D40" s="26" t="s">
        <v>80</v>
      </c>
      <c r="E40" s="11">
        <v>8.3000000000000007</v>
      </c>
      <c r="F40" s="12"/>
      <c r="G40" s="12"/>
      <c r="H40" s="12"/>
      <c r="I40" s="13"/>
      <c r="J40" s="16">
        <v>2006</v>
      </c>
      <c r="K40" s="19" t="s">
        <v>27</v>
      </c>
      <c r="L40" s="3" t="s">
        <v>81</v>
      </c>
      <c r="M40" s="3" t="s">
        <v>21</v>
      </c>
      <c r="N40" s="3"/>
      <c r="O40" s="3"/>
    </row>
    <row r="41" spans="2:15" ht="15.6" customHeight="1">
      <c r="B41" s="14"/>
      <c r="C41" s="14"/>
      <c r="D41" s="26" t="s">
        <v>82</v>
      </c>
      <c r="E41" s="11">
        <v>0.68</v>
      </c>
      <c r="F41" s="12"/>
      <c r="G41" s="12"/>
      <c r="H41" s="12">
        <v>1.4</v>
      </c>
      <c r="I41" s="13">
        <v>0.22</v>
      </c>
      <c r="J41" s="16">
        <v>2010</v>
      </c>
      <c r="K41" s="19" t="s">
        <v>79</v>
      </c>
      <c r="L41" s="3" t="s">
        <v>81</v>
      </c>
      <c r="M41" s="3" t="s">
        <v>21</v>
      </c>
      <c r="N41" s="3"/>
      <c r="O41" s="3"/>
    </row>
    <row r="42" spans="2:15" ht="15.6" customHeight="1">
      <c r="B42" s="14"/>
      <c r="C42" s="14"/>
      <c r="D42" s="26" t="s">
        <v>82</v>
      </c>
      <c r="E42" s="11">
        <v>0.31</v>
      </c>
      <c r="F42" s="12">
        <v>0.25</v>
      </c>
      <c r="G42" s="12">
        <v>1.41</v>
      </c>
      <c r="H42" s="12"/>
      <c r="I42" s="13"/>
      <c r="J42" s="16">
        <v>2008</v>
      </c>
      <c r="K42" s="19" t="s">
        <v>27</v>
      </c>
      <c r="L42" s="3" t="s">
        <v>24</v>
      </c>
      <c r="M42" s="3" t="s">
        <v>44</v>
      </c>
      <c r="N42" s="3" t="s">
        <v>33</v>
      </c>
      <c r="O42" s="3"/>
    </row>
    <row r="43" spans="2:15" ht="15.6" customHeight="1">
      <c r="B43" s="14"/>
      <c r="C43" s="14"/>
      <c r="D43" s="26" t="s">
        <v>83</v>
      </c>
      <c r="E43" s="11">
        <v>2.5</v>
      </c>
      <c r="F43" s="12"/>
      <c r="G43" s="12"/>
      <c r="H43" s="12">
        <v>2.2999999999999998</v>
      </c>
      <c r="I43" s="13">
        <v>2.7</v>
      </c>
      <c r="J43" s="16">
        <v>2018</v>
      </c>
      <c r="K43" s="19" t="s">
        <v>27</v>
      </c>
      <c r="L43" s="3" t="s">
        <v>24</v>
      </c>
      <c r="M43" s="3" t="s">
        <v>21</v>
      </c>
      <c r="N43" s="3"/>
      <c r="O43" s="3"/>
    </row>
    <row r="44" spans="2:15" ht="15.6" customHeight="1">
      <c r="B44" s="14"/>
      <c r="C44" s="14"/>
      <c r="D44" s="26" t="s">
        <v>83</v>
      </c>
      <c r="E44" s="11">
        <v>1.51</v>
      </c>
      <c r="F44" s="12">
        <v>0.26</v>
      </c>
      <c r="G44" s="12">
        <v>2.75</v>
      </c>
      <c r="H44" s="12"/>
      <c r="I44" s="13"/>
      <c r="J44" s="16">
        <v>2010</v>
      </c>
      <c r="K44" s="19" t="s">
        <v>27</v>
      </c>
      <c r="L44" s="3" t="s">
        <v>61</v>
      </c>
      <c r="M44" s="3" t="s">
        <v>44</v>
      </c>
      <c r="N44" s="3" t="s">
        <v>33</v>
      </c>
      <c r="O44" s="3"/>
    </row>
    <row r="45" spans="2:15" ht="15.6" customHeight="1">
      <c r="B45" s="14"/>
      <c r="C45" s="14"/>
      <c r="D45" s="26" t="s">
        <v>83</v>
      </c>
      <c r="E45" s="11">
        <v>1.41</v>
      </c>
      <c r="F45" s="12">
        <v>0.43</v>
      </c>
      <c r="G45" s="12">
        <v>2.15</v>
      </c>
      <c r="H45" s="12"/>
      <c r="I45" s="13"/>
      <c r="J45" s="16">
        <v>2005</v>
      </c>
      <c r="K45" s="19" t="s">
        <v>27</v>
      </c>
      <c r="L45" s="3" t="s">
        <v>61</v>
      </c>
      <c r="M45" s="3" t="s">
        <v>44</v>
      </c>
      <c r="N45" s="3" t="s">
        <v>33</v>
      </c>
      <c r="O45" s="3"/>
    </row>
    <row r="46" spans="2:15" ht="15.6" customHeight="1">
      <c r="B46" s="14"/>
      <c r="C46" s="14"/>
      <c r="D46" s="26" t="s">
        <v>84</v>
      </c>
      <c r="E46" s="11">
        <v>18</v>
      </c>
      <c r="F46" s="12"/>
      <c r="G46" s="12"/>
      <c r="H46" s="12">
        <v>28.5</v>
      </c>
      <c r="I46" s="13">
        <v>7.8</v>
      </c>
      <c r="J46" s="16">
        <v>2016</v>
      </c>
      <c r="K46" s="19" t="s">
        <v>79</v>
      </c>
      <c r="L46" s="3" t="s">
        <v>36</v>
      </c>
      <c r="M46" s="3" t="s">
        <v>21</v>
      </c>
      <c r="N46" s="3"/>
      <c r="O46" s="3" t="s">
        <v>85</v>
      </c>
    </row>
    <row r="47" spans="2:15" ht="15.6" customHeight="1">
      <c r="B47" s="14"/>
      <c r="C47" s="14"/>
      <c r="D47" s="26" t="s">
        <v>84</v>
      </c>
      <c r="E47" s="11">
        <v>7.21</v>
      </c>
      <c r="F47" s="12">
        <v>4.25</v>
      </c>
      <c r="G47" s="12">
        <v>10.17</v>
      </c>
      <c r="H47" s="12"/>
      <c r="I47" s="13"/>
      <c r="J47" s="16">
        <v>2010</v>
      </c>
      <c r="K47" s="19" t="s">
        <v>27</v>
      </c>
      <c r="L47" s="3" t="s">
        <v>61</v>
      </c>
      <c r="M47" s="3" t="s">
        <v>44</v>
      </c>
      <c r="N47" s="3" t="s">
        <v>33</v>
      </c>
      <c r="O47" s="3"/>
    </row>
    <row r="48" spans="2:15" ht="15.6" customHeight="1">
      <c r="B48" s="14"/>
      <c r="C48" s="14"/>
      <c r="D48" s="26" t="s">
        <v>84</v>
      </c>
      <c r="E48" s="11">
        <v>9.86</v>
      </c>
      <c r="F48" s="12">
        <v>7.52</v>
      </c>
      <c r="G48" s="12">
        <v>12.2</v>
      </c>
      <c r="H48" s="12"/>
      <c r="I48" s="13"/>
      <c r="J48" s="16">
        <v>2006</v>
      </c>
      <c r="K48" s="19" t="s">
        <v>27</v>
      </c>
      <c r="L48" s="3" t="s">
        <v>36</v>
      </c>
      <c r="M48" s="3" t="s">
        <v>44</v>
      </c>
      <c r="N48" s="3" t="s">
        <v>33</v>
      </c>
      <c r="O48" s="3"/>
    </row>
    <row r="49" spans="2:15" ht="15.6" customHeight="1">
      <c r="B49" s="14"/>
      <c r="C49" s="14"/>
      <c r="D49" s="26" t="s">
        <v>84</v>
      </c>
      <c r="E49" s="11">
        <v>10.7</v>
      </c>
      <c r="F49" s="12"/>
      <c r="G49" s="12"/>
      <c r="H49" s="12"/>
      <c r="I49" s="13"/>
      <c r="J49" s="16">
        <v>2001</v>
      </c>
      <c r="K49" s="19" t="s">
        <v>86</v>
      </c>
      <c r="L49" s="3" t="s">
        <v>58</v>
      </c>
      <c r="M49" s="3"/>
      <c r="N49" s="3" t="s">
        <v>87</v>
      </c>
      <c r="O49" s="3"/>
    </row>
    <row r="50" spans="2:15" ht="15.6" customHeight="1">
      <c r="B50" s="14"/>
      <c r="C50" s="14"/>
      <c r="D50" s="26" t="s">
        <v>88</v>
      </c>
      <c r="E50" s="11">
        <v>4.88</v>
      </c>
      <c r="F50" s="12">
        <v>3.1</v>
      </c>
      <c r="G50" s="12">
        <v>6.65</v>
      </c>
      <c r="H50" s="12"/>
      <c r="I50" s="13"/>
      <c r="J50" s="16">
        <v>2005</v>
      </c>
      <c r="K50" s="19" t="s">
        <v>27</v>
      </c>
      <c r="L50" s="3" t="s">
        <v>36</v>
      </c>
      <c r="M50" s="3" t="s">
        <v>44</v>
      </c>
      <c r="N50" s="3" t="s">
        <v>33</v>
      </c>
      <c r="O50" s="3"/>
    </row>
    <row r="51" spans="2:15" ht="15.6" customHeight="1">
      <c r="B51" s="14"/>
      <c r="C51" s="14"/>
      <c r="D51" s="26" t="s">
        <v>89</v>
      </c>
      <c r="E51" s="11">
        <v>8.8699999999999992</v>
      </c>
      <c r="F51" s="12">
        <v>5.64</v>
      </c>
      <c r="G51" s="12">
        <v>12.1</v>
      </c>
      <c r="H51" s="12"/>
      <c r="I51" s="13"/>
      <c r="J51" s="16">
        <v>2010</v>
      </c>
      <c r="K51" s="19" t="s">
        <v>27</v>
      </c>
      <c r="L51" s="3" t="s">
        <v>61</v>
      </c>
      <c r="M51" s="3" t="s">
        <v>44</v>
      </c>
      <c r="N51" s="3" t="s">
        <v>33</v>
      </c>
      <c r="O51" s="3"/>
    </row>
    <row r="52" spans="2:15" ht="15.6" customHeight="1">
      <c r="B52" s="14"/>
      <c r="C52" s="14"/>
      <c r="D52" s="26" t="s">
        <v>89</v>
      </c>
      <c r="E52" s="11">
        <v>9</v>
      </c>
      <c r="F52" s="12"/>
      <c r="G52" s="12"/>
      <c r="H52" s="12"/>
      <c r="I52" s="13"/>
      <c r="J52" s="16">
        <v>2006</v>
      </c>
      <c r="K52" s="19" t="s">
        <v>27</v>
      </c>
      <c r="L52" s="3" t="s">
        <v>61</v>
      </c>
      <c r="M52" s="3" t="s">
        <v>44</v>
      </c>
      <c r="N52" s="3" t="s">
        <v>33</v>
      </c>
      <c r="O52" s="3"/>
    </row>
    <row r="53" spans="2:15" ht="15.6" customHeight="1">
      <c r="B53" s="14"/>
      <c r="C53" s="14"/>
      <c r="D53" s="26" t="s">
        <v>90</v>
      </c>
      <c r="E53" s="11">
        <v>4.7880000000000003</v>
      </c>
      <c r="F53" s="12">
        <v>1.3959999999999999</v>
      </c>
      <c r="G53" s="12">
        <v>8.1790000000000003</v>
      </c>
      <c r="H53" s="12"/>
      <c r="I53" s="13"/>
      <c r="J53" s="16">
        <v>2017</v>
      </c>
      <c r="K53" s="19" t="s">
        <v>27</v>
      </c>
      <c r="L53" s="3" t="s">
        <v>66</v>
      </c>
      <c r="M53" s="3" t="s">
        <v>44</v>
      </c>
      <c r="N53" s="3" t="s">
        <v>33</v>
      </c>
      <c r="O53" s="3"/>
    </row>
    <row r="54" spans="2:15" ht="15.6" customHeight="1">
      <c r="B54" s="14"/>
      <c r="C54" s="14"/>
      <c r="D54" s="26" t="s">
        <v>90</v>
      </c>
      <c r="E54" s="11">
        <v>4.03</v>
      </c>
      <c r="F54" s="12">
        <v>1.55</v>
      </c>
      <c r="G54" s="12">
        <v>6.52</v>
      </c>
      <c r="H54" s="12"/>
      <c r="I54" s="13"/>
      <c r="J54" s="16">
        <v>2010</v>
      </c>
      <c r="K54" s="19" t="s">
        <v>27</v>
      </c>
      <c r="L54" s="3" t="s">
        <v>61</v>
      </c>
      <c r="M54" s="3" t="s">
        <v>44</v>
      </c>
      <c r="N54" s="3" t="s">
        <v>33</v>
      </c>
      <c r="O54" s="3"/>
    </row>
    <row r="55" spans="2:15" ht="15.6" customHeight="1">
      <c r="B55" s="14"/>
      <c r="C55" s="14"/>
      <c r="D55" s="26" t="s">
        <v>90</v>
      </c>
      <c r="E55" s="11">
        <v>4.66</v>
      </c>
      <c r="F55" s="12">
        <v>2.91</v>
      </c>
      <c r="G55" s="12">
        <v>6.42</v>
      </c>
      <c r="H55" s="12"/>
      <c r="I55" s="13"/>
      <c r="J55" s="16">
        <v>2006</v>
      </c>
      <c r="K55" s="19" t="s">
        <v>27</v>
      </c>
      <c r="L55" s="3" t="s">
        <v>36</v>
      </c>
      <c r="M55" s="3" t="s">
        <v>44</v>
      </c>
      <c r="N55" s="3" t="s">
        <v>33</v>
      </c>
      <c r="O55" s="3"/>
    </row>
    <row r="56" spans="2:15" ht="15.6" customHeight="1">
      <c r="B56" s="14"/>
      <c r="C56" s="14"/>
      <c r="D56" s="26" t="s">
        <v>90</v>
      </c>
      <c r="E56" s="11">
        <v>3.7</v>
      </c>
      <c r="F56" s="12"/>
      <c r="G56" s="12"/>
      <c r="H56" s="12"/>
      <c r="I56" s="13"/>
      <c r="J56" s="16">
        <v>2002</v>
      </c>
      <c r="K56" s="19"/>
      <c r="L56" s="3" t="s">
        <v>58</v>
      </c>
      <c r="M56" s="3"/>
      <c r="N56" s="3" t="s">
        <v>87</v>
      </c>
      <c r="O56" s="3"/>
    </row>
    <row r="57" spans="2:15" ht="15.6" customHeight="1">
      <c r="B57" s="14"/>
      <c r="C57" s="14" t="s">
        <v>91</v>
      </c>
      <c r="D57" s="26" t="s">
        <v>92</v>
      </c>
      <c r="E57" s="11">
        <v>8.4499999999999993</v>
      </c>
      <c r="F57" s="12"/>
      <c r="G57" s="12"/>
      <c r="H57" s="12"/>
      <c r="I57" s="13"/>
      <c r="J57" s="16">
        <v>2005</v>
      </c>
      <c r="K57" s="19" t="s">
        <v>79</v>
      </c>
      <c r="L57" s="3" t="s">
        <v>81</v>
      </c>
      <c r="M57" s="3" t="s">
        <v>21</v>
      </c>
      <c r="N57" s="3"/>
      <c r="O57" s="3"/>
    </row>
    <row r="58" spans="2:15" ht="15.6" customHeight="1">
      <c r="B58" s="14"/>
      <c r="C58" s="14"/>
      <c r="D58" s="26" t="s">
        <v>93</v>
      </c>
      <c r="E58" s="11">
        <v>5.48</v>
      </c>
      <c r="F58" s="12"/>
      <c r="G58" s="12"/>
      <c r="H58" s="12">
        <v>8.32</v>
      </c>
      <c r="I58" s="13">
        <v>2.59</v>
      </c>
      <c r="J58" s="16">
        <v>2015</v>
      </c>
      <c r="K58" s="19" t="s">
        <v>27</v>
      </c>
      <c r="L58" s="3" t="s">
        <v>24</v>
      </c>
      <c r="M58" s="3" t="s">
        <v>21</v>
      </c>
      <c r="N58" s="3"/>
      <c r="O58" s="3"/>
    </row>
    <row r="59" spans="2:15" ht="15.6" customHeight="1">
      <c r="B59" s="14"/>
      <c r="C59" s="14"/>
      <c r="D59" s="26" t="s">
        <v>93</v>
      </c>
      <c r="E59" s="11">
        <v>2.76</v>
      </c>
      <c r="F59" s="12"/>
      <c r="G59" s="12"/>
      <c r="H59" s="12">
        <v>4.4000000000000004</v>
      </c>
      <c r="I59" s="13">
        <v>1.07</v>
      </c>
      <c r="J59" s="16">
        <v>2010</v>
      </c>
      <c r="K59" s="19" t="s">
        <v>27</v>
      </c>
      <c r="L59" s="3" t="s">
        <v>24</v>
      </c>
      <c r="M59" s="3" t="s">
        <v>21</v>
      </c>
      <c r="N59" s="3"/>
      <c r="O59" s="3"/>
    </row>
    <row r="60" spans="2:15" ht="15.6" customHeight="1">
      <c r="B60" s="14"/>
      <c r="C60" s="14"/>
      <c r="D60" s="26" t="s">
        <v>93</v>
      </c>
      <c r="E60" s="11">
        <v>1.01</v>
      </c>
      <c r="F60" s="12"/>
      <c r="G60" s="12"/>
      <c r="H60" s="12">
        <v>1.88</v>
      </c>
      <c r="I60" s="13">
        <v>0.16</v>
      </c>
      <c r="J60" s="16">
        <v>2006</v>
      </c>
      <c r="K60" s="19" t="s">
        <v>94</v>
      </c>
      <c r="L60" s="3" t="s">
        <v>38</v>
      </c>
      <c r="M60" s="3" t="s">
        <v>51</v>
      </c>
      <c r="N60" s="3"/>
      <c r="O60" s="3"/>
    </row>
    <row r="61" spans="2:15" ht="15.6" customHeight="1">
      <c r="B61" s="14"/>
      <c r="C61" s="14"/>
      <c r="D61" s="26" t="s">
        <v>95</v>
      </c>
      <c r="E61" s="11">
        <v>2.0299999999999998</v>
      </c>
      <c r="F61" s="12">
        <v>1.1200000000000001</v>
      </c>
      <c r="G61" s="12">
        <v>3.67</v>
      </c>
      <c r="H61" s="12">
        <v>3.93</v>
      </c>
      <c r="I61" s="13">
        <v>0.62</v>
      </c>
      <c r="J61" s="16">
        <v>2014</v>
      </c>
      <c r="K61" s="19" t="s">
        <v>79</v>
      </c>
      <c r="L61" s="3" t="s">
        <v>36</v>
      </c>
      <c r="M61" s="3" t="s">
        <v>21</v>
      </c>
      <c r="N61" s="3"/>
      <c r="O61" s="3"/>
    </row>
    <row r="62" spans="2:15" ht="15.6" customHeight="1">
      <c r="B62" s="14"/>
      <c r="C62" s="14"/>
      <c r="D62" s="26" t="s">
        <v>95</v>
      </c>
      <c r="E62" s="11">
        <v>0.39</v>
      </c>
      <c r="F62" s="12">
        <v>0.35</v>
      </c>
      <c r="G62" s="12">
        <v>0.43</v>
      </c>
      <c r="H62" s="12"/>
      <c r="I62" s="13"/>
      <c r="J62" s="16">
        <v>2005</v>
      </c>
      <c r="K62" s="19" t="s">
        <v>79</v>
      </c>
      <c r="L62" s="3" t="s">
        <v>81</v>
      </c>
      <c r="M62" s="3" t="s">
        <v>21</v>
      </c>
      <c r="N62" s="3"/>
      <c r="O62" s="3"/>
    </row>
    <row r="63" spans="2:15" ht="15.6" customHeight="1">
      <c r="B63" s="14"/>
      <c r="C63" s="14"/>
      <c r="D63" s="26" t="s">
        <v>96</v>
      </c>
      <c r="E63" s="11">
        <v>3.48</v>
      </c>
      <c r="F63" s="12">
        <v>0.438</v>
      </c>
      <c r="G63" s="12">
        <v>6.5209999999999999</v>
      </c>
      <c r="H63" s="12"/>
      <c r="I63" s="13"/>
      <c r="J63" s="16">
        <v>2014</v>
      </c>
      <c r="K63" s="19" t="s">
        <v>27</v>
      </c>
      <c r="L63" s="3" t="s">
        <v>97</v>
      </c>
      <c r="M63" s="3" t="s">
        <v>44</v>
      </c>
      <c r="N63" s="3" t="s">
        <v>45</v>
      </c>
      <c r="O63" s="3"/>
    </row>
    <row r="64" spans="2:15" ht="15.6" customHeight="1">
      <c r="B64" s="14"/>
      <c r="C64" s="14"/>
      <c r="D64" s="26" t="s">
        <v>96</v>
      </c>
      <c r="E64" s="11">
        <v>4.8</v>
      </c>
      <c r="F64" s="12"/>
      <c r="G64" s="12"/>
      <c r="H64" s="12"/>
      <c r="I64" s="13"/>
      <c r="J64" s="16">
        <v>2005</v>
      </c>
      <c r="K64" s="19" t="s">
        <v>79</v>
      </c>
      <c r="L64" s="3" t="s">
        <v>61</v>
      </c>
      <c r="M64" s="3" t="s">
        <v>47</v>
      </c>
      <c r="N64" s="3" t="s">
        <v>98</v>
      </c>
      <c r="O64" s="3"/>
    </row>
    <row r="65" spans="2:15" ht="15.6" customHeight="1">
      <c r="B65" s="14"/>
      <c r="C65" s="14"/>
      <c r="D65" s="26" t="s">
        <v>99</v>
      </c>
      <c r="E65" s="11">
        <v>0.83</v>
      </c>
      <c r="F65" s="12">
        <v>0.41</v>
      </c>
      <c r="G65" s="12">
        <v>1.59</v>
      </c>
      <c r="H65" s="12"/>
      <c r="I65" s="13"/>
      <c r="J65" s="16">
        <v>2005</v>
      </c>
      <c r="K65" s="19" t="s">
        <v>79</v>
      </c>
      <c r="L65" s="3" t="s">
        <v>61</v>
      </c>
      <c r="M65" s="3" t="s">
        <v>44</v>
      </c>
      <c r="N65" s="3" t="s">
        <v>33</v>
      </c>
      <c r="O65" s="3"/>
    </row>
    <row r="66" spans="2:15" ht="15.6" customHeight="1">
      <c r="B66" s="14"/>
      <c r="C66" s="14"/>
      <c r="D66" s="26" t="s">
        <v>99</v>
      </c>
      <c r="E66" s="11">
        <v>1.5</v>
      </c>
      <c r="F66" s="12"/>
      <c r="G66" s="12"/>
      <c r="H66" s="12"/>
      <c r="I66" s="13"/>
      <c r="J66" s="16">
        <v>2004</v>
      </c>
      <c r="K66" s="19" t="s">
        <v>27</v>
      </c>
      <c r="L66" s="3" t="s">
        <v>58</v>
      </c>
      <c r="M66" s="3" t="s">
        <v>74</v>
      </c>
      <c r="N66" s="3" t="s">
        <v>75</v>
      </c>
      <c r="O66" s="3"/>
    </row>
    <row r="67" spans="2:15" ht="15.6" customHeight="1">
      <c r="B67" s="14"/>
      <c r="C67" s="14"/>
      <c r="D67" s="26" t="s">
        <v>100</v>
      </c>
      <c r="E67" s="11">
        <v>1.07</v>
      </c>
      <c r="F67" s="12">
        <v>1.06</v>
      </c>
      <c r="G67" s="12">
        <v>1.07</v>
      </c>
      <c r="H67" s="12"/>
      <c r="I67" s="13"/>
      <c r="J67" s="16">
        <v>2006</v>
      </c>
      <c r="K67" s="19" t="s">
        <v>79</v>
      </c>
      <c r="L67" s="3" t="s">
        <v>61</v>
      </c>
      <c r="M67" s="3" t="s">
        <v>21</v>
      </c>
      <c r="N67" s="3" t="s">
        <v>101</v>
      </c>
      <c r="O67" s="3"/>
    </row>
    <row r="68" spans="2:15" ht="15.6" customHeight="1">
      <c r="B68" s="14"/>
      <c r="C68" s="14"/>
      <c r="D68" s="26" t="s">
        <v>100</v>
      </c>
      <c r="E68" s="11">
        <v>2.2000000000000002</v>
      </c>
      <c r="F68" s="12"/>
      <c r="G68" s="12"/>
      <c r="H68" s="12"/>
      <c r="I68" s="13"/>
      <c r="J68" s="16">
        <v>2002</v>
      </c>
      <c r="K68" s="19" t="s">
        <v>79</v>
      </c>
      <c r="L68" s="3" t="s">
        <v>61</v>
      </c>
      <c r="M68" s="3" t="s">
        <v>51</v>
      </c>
      <c r="N68" s="3"/>
      <c r="O68" s="3"/>
    </row>
    <row r="69" spans="2:15" ht="15.6" customHeight="1">
      <c r="B69" s="14"/>
      <c r="C69" s="14"/>
      <c r="D69" s="26" t="s">
        <v>102</v>
      </c>
      <c r="E69" s="11">
        <v>0.77</v>
      </c>
      <c r="F69" s="12"/>
      <c r="G69" s="12"/>
      <c r="H69" s="12">
        <v>1.52</v>
      </c>
      <c r="I69" s="13">
        <v>0.14000000000000001</v>
      </c>
      <c r="J69" s="16">
        <v>2015</v>
      </c>
      <c r="K69" s="19" t="s">
        <v>79</v>
      </c>
      <c r="L69" s="3" t="s">
        <v>24</v>
      </c>
      <c r="M69" s="3" t="s">
        <v>21</v>
      </c>
      <c r="N69" s="3"/>
      <c r="O69" s="3" t="s">
        <v>103</v>
      </c>
    </row>
    <row r="70" spans="2:15" ht="15.6" customHeight="1">
      <c r="B70" s="14"/>
      <c r="C70" s="14"/>
      <c r="D70" s="26" t="s">
        <v>102</v>
      </c>
      <c r="E70" s="11">
        <v>3.55</v>
      </c>
      <c r="F70" s="12">
        <v>3.4</v>
      </c>
      <c r="G70" s="12">
        <v>3.7</v>
      </c>
      <c r="H70" s="12"/>
      <c r="I70" s="13"/>
      <c r="J70" s="16">
        <v>2003</v>
      </c>
      <c r="K70" s="19" t="s">
        <v>79</v>
      </c>
      <c r="L70" s="3" t="s">
        <v>61</v>
      </c>
      <c r="M70" s="3" t="s">
        <v>21</v>
      </c>
      <c r="N70" s="3" t="s">
        <v>33</v>
      </c>
      <c r="O70" s="3"/>
    </row>
    <row r="71" spans="2:15" ht="15.6" customHeight="1">
      <c r="B71" s="14"/>
      <c r="C71" s="14" t="s">
        <v>104</v>
      </c>
      <c r="D71" s="26" t="s">
        <v>105</v>
      </c>
      <c r="E71" s="11">
        <v>10.9</v>
      </c>
      <c r="F71" s="12">
        <v>10.7</v>
      </c>
      <c r="G71" s="12">
        <v>11.2</v>
      </c>
      <c r="H71" s="12"/>
      <c r="I71" s="13"/>
      <c r="J71" s="16">
        <v>2009</v>
      </c>
      <c r="K71" s="19" t="s">
        <v>106</v>
      </c>
      <c r="L71" s="3" t="s">
        <v>36</v>
      </c>
      <c r="M71" s="3" t="s">
        <v>21</v>
      </c>
      <c r="N71" s="3"/>
      <c r="O71" s="3"/>
    </row>
    <row r="72" spans="2:15" ht="15.6" customHeight="1">
      <c r="B72" s="14"/>
      <c r="C72" s="14"/>
      <c r="D72" s="26" t="s">
        <v>107</v>
      </c>
      <c r="E72" s="11">
        <v>28.04</v>
      </c>
      <c r="F72" s="12">
        <v>27.169384131000001</v>
      </c>
      <c r="G72" s="12">
        <v>28.942099906999999</v>
      </c>
      <c r="H72" s="12">
        <v>30.4</v>
      </c>
      <c r="I72" s="13">
        <v>25.6</v>
      </c>
      <c r="J72" s="16">
        <v>2023</v>
      </c>
      <c r="K72" s="19" t="s">
        <v>50</v>
      </c>
      <c r="L72" s="3" t="s">
        <v>36</v>
      </c>
      <c r="M72" s="3" t="s">
        <v>21</v>
      </c>
      <c r="N72" s="3"/>
      <c r="O72" s="3" t="s">
        <v>108</v>
      </c>
    </row>
    <row r="73" spans="2:15" ht="15.6" customHeight="1">
      <c r="B73" s="14"/>
      <c r="C73" s="14"/>
      <c r="D73" s="26" t="s">
        <v>107</v>
      </c>
      <c r="E73" s="11">
        <v>20.7</v>
      </c>
      <c r="F73" s="12">
        <v>19.399999999999999</v>
      </c>
      <c r="G73" s="12">
        <v>22</v>
      </c>
      <c r="H73" s="12">
        <v>22.8</v>
      </c>
      <c r="I73" s="13">
        <v>18.600000000000001</v>
      </c>
      <c r="J73" s="16">
        <v>2019</v>
      </c>
      <c r="K73" s="19" t="s">
        <v>50</v>
      </c>
      <c r="L73" s="3" t="s">
        <v>109</v>
      </c>
      <c r="M73" s="3" t="s">
        <v>21</v>
      </c>
      <c r="N73" s="3"/>
      <c r="O73" s="3"/>
    </row>
    <row r="74" spans="2:15" ht="15.6" customHeight="1">
      <c r="B74" s="14"/>
      <c r="C74" s="14"/>
      <c r="D74" s="26" t="s">
        <v>107</v>
      </c>
      <c r="E74" s="11">
        <v>14.8</v>
      </c>
      <c r="F74" s="12"/>
      <c r="G74" s="12"/>
      <c r="H74" s="12">
        <v>18.7</v>
      </c>
      <c r="I74" s="13">
        <v>11.1</v>
      </c>
      <c r="J74" s="16">
        <v>2017</v>
      </c>
      <c r="K74" s="19" t="s">
        <v>50</v>
      </c>
      <c r="L74" s="3" t="s">
        <v>24</v>
      </c>
      <c r="M74" s="3" t="s">
        <v>21</v>
      </c>
      <c r="N74" s="3"/>
      <c r="O74" s="3"/>
    </row>
    <row r="75" spans="2:15" ht="15.6" customHeight="1">
      <c r="B75" s="14"/>
      <c r="C75" s="14"/>
      <c r="D75" s="26" t="s">
        <v>107</v>
      </c>
      <c r="E75" s="11">
        <v>14.73</v>
      </c>
      <c r="F75" s="12"/>
      <c r="G75" s="12"/>
      <c r="H75" s="12">
        <v>17.64</v>
      </c>
      <c r="I75" s="13">
        <v>11.83</v>
      </c>
      <c r="J75" s="16">
        <v>2015</v>
      </c>
      <c r="K75" s="19" t="s">
        <v>27</v>
      </c>
      <c r="L75" s="3" t="s">
        <v>24</v>
      </c>
      <c r="M75" s="3" t="s">
        <v>21</v>
      </c>
      <c r="N75" s="3"/>
      <c r="O75" s="3"/>
    </row>
    <row r="76" spans="2:15" ht="15.6" customHeight="1">
      <c r="B76" s="14"/>
      <c r="C76" s="14"/>
      <c r="D76" s="26" t="s">
        <v>107</v>
      </c>
      <c r="E76" s="11">
        <v>12.7</v>
      </c>
      <c r="F76" s="12"/>
      <c r="G76" s="12"/>
      <c r="H76" s="12">
        <v>16.399999999999999</v>
      </c>
      <c r="I76" s="13">
        <v>9</v>
      </c>
      <c r="J76" s="16">
        <v>2013</v>
      </c>
      <c r="K76" s="19" t="s">
        <v>27</v>
      </c>
      <c r="L76" s="3" t="s">
        <v>24</v>
      </c>
      <c r="M76" s="3" t="s">
        <v>21</v>
      </c>
      <c r="N76" s="3"/>
      <c r="O76" s="3"/>
    </row>
    <row r="77" spans="2:15" ht="15.6" customHeight="1">
      <c r="B77" s="14"/>
      <c r="C77" s="14"/>
      <c r="D77" s="26" t="s">
        <v>107</v>
      </c>
      <c r="E77" s="11">
        <v>12.2</v>
      </c>
      <c r="F77" s="12"/>
      <c r="G77" s="12"/>
      <c r="H77" s="12">
        <v>15.9</v>
      </c>
      <c r="I77" s="13">
        <v>8.5</v>
      </c>
      <c r="J77" s="16">
        <v>2012</v>
      </c>
      <c r="K77" s="19" t="s">
        <v>27</v>
      </c>
      <c r="L77" s="3" t="s">
        <v>24</v>
      </c>
      <c r="M77" s="3" t="s">
        <v>21</v>
      </c>
      <c r="N77" s="3"/>
      <c r="O77" s="3"/>
    </row>
    <row r="78" spans="2:15" ht="15.6" customHeight="1">
      <c r="B78" s="14"/>
      <c r="C78" s="14"/>
      <c r="D78" s="26" t="s">
        <v>107</v>
      </c>
      <c r="E78" s="11">
        <v>10.9</v>
      </c>
      <c r="F78" s="12"/>
      <c r="G78" s="12"/>
      <c r="H78" s="12"/>
      <c r="I78" s="13"/>
      <c r="J78" s="16">
        <v>2011</v>
      </c>
      <c r="K78" s="19" t="s">
        <v>27</v>
      </c>
      <c r="L78" s="3" t="s">
        <v>24</v>
      </c>
      <c r="M78" s="3" t="s">
        <v>21</v>
      </c>
      <c r="N78" s="3"/>
      <c r="O78" s="3"/>
    </row>
    <row r="79" spans="2:15" ht="15.6" customHeight="1">
      <c r="B79" s="14"/>
      <c r="C79" s="14"/>
      <c r="D79" s="26" t="s">
        <v>107</v>
      </c>
      <c r="E79" s="11">
        <v>12.65</v>
      </c>
      <c r="F79" s="12"/>
      <c r="G79" s="12"/>
      <c r="H79" s="12"/>
      <c r="I79" s="13"/>
      <c r="J79" s="16">
        <v>2010</v>
      </c>
      <c r="K79" s="19" t="s">
        <v>27</v>
      </c>
      <c r="L79" s="3" t="s">
        <v>38</v>
      </c>
      <c r="M79" s="3" t="s">
        <v>51</v>
      </c>
      <c r="N79" s="3"/>
      <c r="O79" s="3"/>
    </row>
    <row r="80" spans="2:15" ht="15.6" customHeight="1">
      <c r="B80" s="14"/>
      <c r="C80" s="14"/>
      <c r="D80" s="26" t="s">
        <v>110</v>
      </c>
      <c r="E80" s="11">
        <v>2.1</v>
      </c>
      <c r="F80" s="12">
        <v>1.9</v>
      </c>
      <c r="G80" s="12">
        <v>2.2999999999999998</v>
      </c>
      <c r="H80" s="12">
        <v>3.5</v>
      </c>
      <c r="I80" s="13">
        <v>0.9</v>
      </c>
      <c r="J80" s="16">
        <v>2016</v>
      </c>
      <c r="K80" s="19" t="s">
        <v>79</v>
      </c>
      <c r="L80" s="3" t="s">
        <v>111</v>
      </c>
      <c r="M80" s="3" t="s">
        <v>21</v>
      </c>
      <c r="N80" s="3"/>
      <c r="O80" s="3" t="s">
        <v>85</v>
      </c>
    </row>
    <row r="81" spans="2:15" ht="15.6" customHeight="1">
      <c r="B81" s="14"/>
      <c r="C81" s="14"/>
      <c r="D81" s="26" t="s">
        <v>110</v>
      </c>
      <c r="E81" s="11">
        <v>1.2</v>
      </c>
      <c r="F81" s="12">
        <v>0.96</v>
      </c>
      <c r="G81" s="12">
        <v>1.46</v>
      </c>
      <c r="H81" s="12">
        <v>2.2000000000000002</v>
      </c>
      <c r="I81" s="13">
        <v>0.3</v>
      </c>
      <c r="J81" s="16">
        <v>2011</v>
      </c>
      <c r="K81" s="19" t="s">
        <v>79</v>
      </c>
      <c r="L81" s="3" t="s">
        <v>112</v>
      </c>
      <c r="M81" s="3" t="s">
        <v>21</v>
      </c>
      <c r="N81" s="3"/>
      <c r="O81" s="3"/>
    </row>
    <row r="82" spans="2:15" ht="15.6" customHeight="1">
      <c r="B82" s="14"/>
      <c r="C82" s="14"/>
      <c r="D82" s="26" t="s">
        <v>110</v>
      </c>
      <c r="E82" s="11">
        <v>1</v>
      </c>
      <c r="F82" s="12"/>
      <c r="G82" s="12"/>
      <c r="H82" s="12"/>
      <c r="I82" s="13"/>
      <c r="J82" s="16">
        <v>2008</v>
      </c>
      <c r="K82" s="19" t="s">
        <v>79</v>
      </c>
      <c r="L82" s="3" t="s">
        <v>36</v>
      </c>
      <c r="M82" s="3" t="s">
        <v>21</v>
      </c>
      <c r="N82" s="3"/>
      <c r="O82" s="3"/>
    </row>
    <row r="83" spans="2:15" ht="15.6" customHeight="1">
      <c r="B83" s="14"/>
      <c r="C83" s="14"/>
      <c r="D83" s="26" t="s">
        <v>113</v>
      </c>
      <c r="E83" s="11">
        <v>26.379918029999999</v>
      </c>
      <c r="F83" s="12"/>
      <c r="G83" s="12"/>
      <c r="H83" s="12">
        <v>28.20545091</v>
      </c>
      <c r="I83" s="13">
        <v>24.594268870000001</v>
      </c>
      <c r="J83" s="16">
        <v>2023</v>
      </c>
      <c r="K83" s="19" t="s">
        <v>27</v>
      </c>
      <c r="L83" s="3" t="s">
        <v>97</v>
      </c>
      <c r="M83" s="3" t="s">
        <v>51</v>
      </c>
      <c r="N83" s="3" t="s">
        <v>37</v>
      </c>
      <c r="O83" s="3" t="s">
        <v>114</v>
      </c>
    </row>
    <row r="84" spans="2:15" ht="15.6" customHeight="1">
      <c r="B84" s="14"/>
      <c r="C84" s="14"/>
      <c r="D84" s="26" t="s">
        <v>113</v>
      </c>
      <c r="E84" s="11">
        <v>26.621935629999999</v>
      </c>
      <c r="F84" s="12"/>
      <c r="G84" s="12"/>
      <c r="H84" s="12">
        <v>28.559494229999999</v>
      </c>
      <c r="I84" s="13">
        <v>24.594268870000001</v>
      </c>
      <c r="J84" s="16">
        <v>2022</v>
      </c>
      <c r="K84" s="19" t="s">
        <v>27</v>
      </c>
      <c r="L84" s="3" t="s">
        <v>97</v>
      </c>
      <c r="M84" s="3" t="s">
        <v>21</v>
      </c>
      <c r="N84" s="3" t="s">
        <v>37</v>
      </c>
      <c r="O84" s="3" t="s">
        <v>115</v>
      </c>
    </row>
    <row r="85" spans="2:15" ht="15.6" customHeight="1">
      <c r="B85" s="14"/>
      <c r="C85" s="14"/>
      <c r="D85" s="26" t="s">
        <v>113</v>
      </c>
      <c r="E85" s="11">
        <v>22.88</v>
      </c>
      <c r="F85" s="12"/>
      <c r="G85" s="12"/>
      <c r="H85" s="12">
        <v>24.584066839999998</v>
      </c>
      <c r="I85" s="13">
        <v>20.945642039999999</v>
      </c>
      <c r="J85" s="16">
        <v>2021</v>
      </c>
      <c r="K85" s="19" t="s">
        <v>27</v>
      </c>
      <c r="L85" s="3" t="s">
        <v>97</v>
      </c>
      <c r="M85" s="3" t="s">
        <v>21</v>
      </c>
      <c r="N85" s="3" t="s">
        <v>37</v>
      </c>
      <c r="O85" s="3" t="s">
        <v>116</v>
      </c>
    </row>
    <row r="86" spans="2:15" ht="15.6" customHeight="1">
      <c r="B86" s="14"/>
      <c r="C86" s="14"/>
      <c r="D86" s="26" t="s">
        <v>113</v>
      </c>
      <c r="E86" s="11">
        <v>21.9</v>
      </c>
      <c r="F86" s="12"/>
      <c r="G86" s="12"/>
      <c r="H86" s="12">
        <v>23.8</v>
      </c>
      <c r="I86" s="13">
        <v>20.100000000000001</v>
      </c>
      <c r="J86" s="16">
        <v>2020</v>
      </c>
      <c r="K86" s="19" t="s">
        <v>27</v>
      </c>
      <c r="L86" s="3" t="s">
        <v>24</v>
      </c>
      <c r="M86" s="3" t="s">
        <v>21</v>
      </c>
      <c r="N86" s="3"/>
      <c r="O86" s="3"/>
    </row>
    <row r="87" spans="2:15" ht="15.6" customHeight="1">
      <c r="B87" s="14"/>
      <c r="C87" s="14"/>
      <c r="D87" s="26" t="s">
        <v>113</v>
      </c>
      <c r="E87" s="11">
        <v>19.399999999999999</v>
      </c>
      <c r="F87" s="12"/>
      <c r="G87" s="12"/>
      <c r="H87" s="12">
        <v>22.2</v>
      </c>
      <c r="I87" s="13">
        <v>16.8</v>
      </c>
      <c r="J87" s="16">
        <v>2018</v>
      </c>
      <c r="K87" s="19" t="s">
        <v>27</v>
      </c>
      <c r="L87" s="3" t="s">
        <v>24</v>
      </c>
      <c r="M87" s="3" t="s">
        <v>21</v>
      </c>
      <c r="N87" s="3"/>
      <c r="O87" s="3" t="s">
        <v>85</v>
      </c>
    </row>
    <row r="88" spans="2:15" ht="15.6" customHeight="1">
      <c r="B88" s="14"/>
      <c r="C88" s="14"/>
      <c r="D88" s="26" t="s">
        <v>113</v>
      </c>
      <c r="E88" s="11">
        <v>18.399999999999999</v>
      </c>
      <c r="F88" s="12"/>
      <c r="G88" s="12"/>
      <c r="H88" s="12">
        <v>21.4</v>
      </c>
      <c r="I88" s="13">
        <v>15.5</v>
      </c>
      <c r="J88" s="16">
        <v>2017</v>
      </c>
      <c r="K88" s="19" t="s">
        <v>27</v>
      </c>
      <c r="L88" s="3" t="s">
        <v>24</v>
      </c>
      <c r="M88" s="3" t="s">
        <v>21</v>
      </c>
      <c r="N88" s="3"/>
      <c r="O88" s="3" t="s">
        <v>85</v>
      </c>
    </row>
    <row r="89" spans="2:15" ht="15.6" customHeight="1">
      <c r="B89" s="14"/>
      <c r="C89" s="14"/>
      <c r="D89" s="26" t="s">
        <v>113</v>
      </c>
      <c r="E89" s="11">
        <v>17</v>
      </c>
      <c r="F89" s="12"/>
      <c r="G89" s="12"/>
      <c r="H89" s="12">
        <v>19.899999999999999</v>
      </c>
      <c r="I89" s="13">
        <v>14.1</v>
      </c>
      <c r="J89" s="16">
        <v>2016</v>
      </c>
      <c r="K89" s="19" t="s">
        <v>27</v>
      </c>
      <c r="L89" s="3" t="s">
        <v>24</v>
      </c>
      <c r="M89" s="3" t="s">
        <v>21</v>
      </c>
      <c r="N89" s="3"/>
      <c r="O89" s="3" t="s">
        <v>85</v>
      </c>
    </row>
    <row r="90" spans="2:15" ht="15.6" customHeight="1">
      <c r="B90" s="14"/>
      <c r="C90" s="14"/>
      <c r="D90" s="26" t="s">
        <v>113</v>
      </c>
      <c r="E90" s="11">
        <v>16.5</v>
      </c>
      <c r="F90" s="12"/>
      <c r="G90" s="12"/>
      <c r="H90" s="12">
        <v>19.399999999999999</v>
      </c>
      <c r="I90" s="13">
        <v>13.6</v>
      </c>
      <c r="J90" s="16">
        <v>2015</v>
      </c>
      <c r="K90" s="19" t="s">
        <v>27</v>
      </c>
      <c r="L90" s="3" t="s">
        <v>24</v>
      </c>
      <c r="M90" s="3" t="s">
        <v>21</v>
      </c>
      <c r="N90" s="3"/>
      <c r="O90" s="3" t="s">
        <v>85</v>
      </c>
    </row>
    <row r="91" spans="2:15" ht="15.6" customHeight="1">
      <c r="B91" s="14"/>
      <c r="C91" s="14"/>
      <c r="D91" s="26" t="s">
        <v>113</v>
      </c>
      <c r="E91" s="11">
        <v>16.2</v>
      </c>
      <c r="F91" s="12"/>
      <c r="G91" s="12"/>
      <c r="H91" s="12">
        <v>19.899999999999999</v>
      </c>
      <c r="I91" s="13">
        <v>12.7</v>
      </c>
      <c r="J91" s="16">
        <v>2014</v>
      </c>
      <c r="K91" s="19" t="s">
        <v>27</v>
      </c>
      <c r="L91" s="3" t="s">
        <v>24</v>
      </c>
      <c r="M91" s="3" t="s">
        <v>21</v>
      </c>
      <c r="N91" s="3"/>
      <c r="O91" s="3"/>
    </row>
    <row r="92" spans="2:15" ht="15.6" customHeight="1">
      <c r="B92" s="14"/>
      <c r="C92" s="14"/>
      <c r="D92" s="26" t="s">
        <v>113</v>
      </c>
      <c r="E92" s="11">
        <v>15.4</v>
      </c>
      <c r="F92" s="12"/>
      <c r="G92" s="12"/>
      <c r="H92" s="12">
        <v>18.7</v>
      </c>
      <c r="I92" s="13">
        <v>12.2</v>
      </c>
      <c r="J92" s="16">
        <v>2013</v>
      </c>
      <c r="K92" s="19" t="s">
        <v>27</v>
      </c>
      <c r="L92" s="3" t="s">
        <v>24</v>
      </c>
      <c r="M92" s="3" t="s">
        <v>21</v>
      </c>
      <c r="N92" s="3"/>
      <c r="O92" s="3"/>
    </row>
    <row r="93" spans="2:15" ht="15.6" customHeight="1">
      <c r="B93" s="14"/>
      <c r="C93" s="14"/>
      <c r="D93" s="26" t="s">
        <v>113</v>
      </c>
      <c r="E93" s="11">
        <v>14.8</v>
      </c>
      <c r="F93" s="12"/>
      <c r="G93" s="12"/>
      <c r="H93" s="12"/>
      <c r="I93" s="13"/>
      <c r="J93" s="16">
        <v>2012</v>
      </c>
      <c r="K93" s="19" t="s">
        <v>27</v>
      </c>
      <c r="L93" s="3" t="s">
        <v>24</v>
      </c>
      <c r="M93" s="3" t="s">
        <v>21</v>
      </c>
      <c r="N93" s="3"/>
      <c r="O93" s="3"/>
    </row>
    <row r="94" spans="2:15" ht="15.6" customHeight="1">
      <c r="B94" s="14"/>
      <c r="C94" s="14"/>
      <c r="D94" s="26" t="s">
        <v>113</v>
      </c>
      <c r="E94" s="11">
        <v>14</v>
      </c>
      <c r="F94" s="12"/>
      <c r="G94" s="12"/>
      <c r="H94" s="12"/>
      <c r="I94" s="13"/>
      <c r="J94" s="16">
        <v>2011</v>
      </c>
      <c r="K94" s="19" t="s">
        <v>27</v>
      </c>
      <c r="L94" s="3" t="s">
        <v>24</v>
      </c>
      <c r="M94" s="3" t="s">
        <v>21</v>
      </c>
      <c r="N94" s="3"/>
      <c r="O94" s="3"/>
    </row>
    <row r="95" spans="2:15" ht="15.6" customHeight="1">
      <c r="B95" s="14"/>
      <c r="C95" s="14"/>
      <c r="D95" s="26" t="s">
        <v>113</v>
      </c>
      <c r="E95" s="11">
        <v>14</v>
      </c>
      <c r="F95" s="12"/>
      <c r="G95" s="12"/>
      <c r="H95" s="12"/>
      <c r="I95" s="13"/>
      <c r="J95" s="16">
        <v>2010</v>
      </c>
      <c r="K95" s="19" t="s">
        <v>27</v>
      </c>
      <c r="L95" s="3" t="s">
        <v>24</v>
      </c>
      <c r="M95" s="3" t="s">
        <v>51</v>
      </c>
      <c r="N95" s="3"/>
      <c r="O95" s="3"/>
    </row>
    <row r="96" spans="2:15" ht="15.6" customHeight="1">
      <c r="B96" s="14"/>
      <c r="C96" s="14" t="s">
        <v>117</v>
      </c>
      <c r="D96" s="26" t="s">
        <v>118</v>
      </c>
      <c r="E96" s="11">
        <v>13.8</v>
      </c>
      <c r="F96" s="12"/>
      <c r="G96" s="12"/>
      <c r="H96" s="12">
        <v>17</v>
      </c>
      <c r="I96" s="13">
        <v>10.8</v>
      </c>
      <c r="J96" s="16">
        <v>2022</v>
      </c>
      <c r="K96" s="19" t="s">
        <v>119</v>
      </c>
      <c r="L96" s="3" t="s">
        <v>24</v>
      </c>
      <c r="M96" s="3" t="s">
        <v>21</v>
      </c>
      <c r="N96" s="3"/>
      <c r="O96" s="3" t="s">
        <v>85</v>
      </c>
    </row>
    <row r="97" spans="2:15" ht="15.6" customHeight="1">
      <c r="B97" s="14"/>
      <c r="C97" s="14"/>
      <c r="D97" s="26" t="s">
        <v>118</v>
      </c>
      <c r="E97" s="11">
        <v>8.1300000000000008</v>
      </c>
      <c r="F97" s="12"/>
      <c r="G97" s="12"/>
      <c r="H97" s="12">
        <v>11.1</v>
      </c>
      <c r="I97" s="13">
        <v>5.46</v>
      </c>
      <c r="J97" s="16">
        <v>2017</v>
      </c>
      <c r="K97" s="19" t="s">
        <v>27</v>
      </c>
      <c r="L97" s="3" t="s">
        <v>24</v>
      </c>
      <c r="M97" s="3" t="s">
        <v>21</v>
      </c>
      <c r="N97" s="3"/>
      <c r="O97" s="3" t="s">
        <v>85</v>
      </c>
    </row>
    <row r="98" spans="2:15" ht="15.6" customHeight="1">
      <c r="B98" s="14"/>
      <c r="C98" s="14"/>
      <c r="D98" s="26" t="s">
        <v>118</v>
      </c>
      <c r="E98" s="11">
        <v>3.2</v>
      </c>
      <c r="F98" s="12"/>
      <c r="G98" s="12"/>
      <c r="H98" s="12">
        <v>4.7</v>
      </c>
      <c r="I98" s="13">
        <v>1.7</v>
      </c>
      <c r="J98" s="16">
        <v>2011</v>
      </c>
      <c r="K98" s="19" t="s">
        <v>27</v>
      </c>
      <c r="L98" s="3" t="s">
        <v>24</v>
      </c>
      <c r="M98" s="3" t="s">
        <v>21</v>
      </c>
      <c r="N98" s="3"/>
      <c r="O98" s="3"/>
    </row>
    <row r="99" spans="2:15" ht="15.6" customHeight="1">
      <c r="B99" s="14"/>
      <c r="C99" s="14"/>
      <c r="D99" s="26" t="s">
        <v>118</v>
      </c>
      <c r="E99" s="11">
        <v>3.7</v>
      </c>
      <c r="F99" s="12"/>
      <c r="G99" s="12"/>
      <c r="H99" s="12"/>
      <c r="I99" s="13"/>
      <c r="J99" s="16">
        <v>2008</v>
      </c>
      <c r="K99" s="19" t="s">
        <v>27</v>
      </c>
      <c r="L99" s="3" t="s">
        <v>24</v>
      </c>
      <c r="M99" s="3" t="s">
        <v>51</v>
      </c>
      <c r="N99" s="3"/>
      <c r="O99" s="3"/>
    </row>
    <row r="100" spans="2:15" ht="15.6" customHeight="1">
      <c r="B100" s="14"/>
      <c r="C100" s="14"/>
      <c r="D100" s="26" t="s">
        <v>120</v>
      </c>
      <c r="E100" s="11">
        <v>1.1000000000000001</v>
      </c>
      <c r="F100" s="12"/>
      <c r="G100" s="12"/>
      <c r="H100" s="12">
        <v>1.6</v>
      </c>
      <c r="I100" s="13">
        <v>0.5</v>
      </c>
      <c r="J100" s="16">
        <v>2023</v>
      </c>
      <c r="K100" s="19" t="s">
        <v>79</v>
      </c>
      <c r="L100" s="3" t="s">
        <v>24</v>
      </c>
      <c r="M100" s="3" t="s">
        <v>51</v>
      </c>
      <c r="N100" s="3"/>
      <c r="O100" s="3" t="s">
        <v>121</v>
      </c>
    </row>
    <row r="101" spans="2:15" ht="15.6" customHeight="1">
      <c r="B101" s="14"/>
      <c r="C101" s="14"/>
      <c r="D101" s="26" t="s">
        <v>120</v>
      </c>
      <c r="E101" s="11">
        <v>2.19</v>
      </c>
      <c r="F101" s="12"/>
      <c r="G101" s="12"/>
      <c r="H101" s="12">
        <v>3.29</v>
      </c>
      <c r="I101" s="13">
        <v>1.24</v>
      </c>
      <c r="J101" s="16">
        <v>2018</v>
      </c>
      <c r="K101" s="19" t="s">
        <v>27</v>
      </c>
      <c r="L101" s="3" t="s">
        <v>24</v>
      </c>
      <c r="M101" s="3" t="s">
        <v>21</v>
      </c>
      <c r="N101" s="3"/>
      <c r="O101" s="3" t="s">
        <v>121</v>
      </c>
    </row>
    <row r="102" spans="2:15" ht="15.6" customHeight="1">
      <c r="B102" s="14"/>
      <c r="C102" s="14"/>
      <c r="D102" s="26" t="s">
        <v>120</v>
      </c>
      <c r="E102" s="11">
        <v>1.42</v>
      </c>
      <c r="F102" s="12">
        <v>1.27</v>
      </c>
      <c r="G102" s="12">
        <v>1.57</v>
      </c>
      <c r="H102" s="12">
        <v>2.1100000000000003</v>
      </c>
      <c r="I102" s="13">
        <v>0.8600000000000001</v>
      </c>
      <c r="J102" s="16">
        <v>2014</v>
      </c>
      <c r="K102" s="19" t="s">
        <v>79</v>
      </c>
      <c r="L102" s="3" t="s">
        <v>122</v>
      </c>
      <c r="M102" s="3" t="s">
        <v>21</v>
      </c>
      <c r="N102" s="3"/>
      <c r="O102" s="3" t="s">
        <v>123</v>
      </c>
    </row>
    <row r="103" spans="2:15" ht="15.6" customHeight="1">
      <c r="B103" s="14"/>
      <c r="C103" s="14"/>
      <c r="D103" s="26" t="s">
        <v>120</v>
      </c>
      <c r="E103" s="11">
        <v>1.27</v>
      </c>
      <c r="F103" s="12"/>
      <c r="G103" s="12"/>
      <c r="H103" s="12">
        <v>1.86</v>
      </c>
      <c r="I103" s="13">
        <v>0.81</v>
      </c>
      <c r="J103" s="16">
        <v>2013</v>
      </c>
      <c r="K103" s="19" t="s">
        <v>79</v>
      </c>
      <c r="L103" s="3" t="s">
        <v>24</v>
      </c>
      <c r="M103" s="3" t="s">
        <v>21</v>
      </c>
      <c r="N103" s="3"/>
      <c r="O103" s="3"/>
    </row>
    <row r="104" spans="2:15" ht="15.6" customHeight="1">
      <c r="B104" s="14"/>
      <c r="C104" s="14"/>
      <c r="D104" s="26" t="s">
        <v>120</v>
      </c>
      <c r="E104" s="11">
        <v>4.5</v>
      </c>
      <c r="F104" s="12"/>
      <c r="G104" s="12"/>
      <c r="H104" s="12">
        <v>8.9</v>
      </c>
      <c r="I104" s="13">
        <v>1.1000000000000001</v>
      </c>
      <c r="J104" s="16">
        <v>2007</v>
      </c>
      <c r="K104" s="19" t="s">
        <v>79</v>
      </c>
      <c r="L104" s="3" t="s">
        <v>24</v>
      </c>
      <c r="M104" s="3" t="s">
        <v>21</v>
      </c>
      <c r="N104" s="3"/>
      <c r="O104" s="3"/>
    </row>
    <row r="105" spans="2:15" ht="15.6" customHeight="1">
      <c r="B105" s="14"/>
      <c r="C105" s="14"/>
      <c r="D105" s="26" t="s">
        <v>124</v>
      </c>
      <c r="E105" s="11">
        <v>2.81</v>
      </c>
      <c r="F105" s="12"/>
      <c r="G105" s="12"/>
      <c r="H105" s="12">
        <v>5.0999999999999996</v>
      </c>
      <c r="I105" s="13">
        <v>0.66</v>
      </c>
      <c r="J105" s="16">
        <v>2012</v>
      </c>
      <c r="K105" s="19" t="s">
        <v>27</v>
      </c>
      <c r="L105" s="3" t="s">
        <v>36</v>
      </c>
      <c r="M105" s="3" t="s">
        <v>21</v>
      </c>
      <c r="N105" s="3"/>
      <c r="O105" s="3"/>
    </row>
    <row r="106" spans="2:15" ht="15.6" customHeight="1">
      <c r="B106" s="14"/>
      <c r="C106" s="14"/>
      <c r="D106" s="26" t="s">
        <v>124</v>
      </c>
      <c r="E106" s="11">
        <v>2.6</v>
      </c>
      <c r="F106" s="12"/>
      <c r="G106" s="12"/>
      <c r="H106" s="12"/>
      <c r="I106" s="13"/>
      <c r="J106" s="16">
        <v>2005</v>
      </c>
      <c r="K106" s="19" t="s">
        <v>79</v>
      </c>
      <c r="L106" s="3" t="s">
        <v>125</v>
      </c>
      <c r="M106" s="3" t="s">
        <v>21</v>
      </c>
      <c r="N106" s="3" t="s">
        <v>101</v>
      </c>
      <c r="O106" s="3"/>
    </row>
    <row r="107" spans="2:15" ht="15.6" customHeight="1">
      <c r="B107" s="14"/>
      <c r="C107" s="14"/>
      <c r="D107" s="26" t="s">
        <v>126</v>
      </c>
      <c r="E107" s="11">
        <v>11.39</v>
      </c>
      <c r="F107" s="12"/>
      <c r="G107" s="12"/>
      <c r="H107" s="12">
        <v>14.86</v>
      </c>
      <c r="I107" s="13">
        <v>7.97</v>
      </c>
      <c r="J107" s="16">
        <v>2023</v>
      </c>
      <c r="K107" s="19" t="s">
        <v>27</v>
      </c>
      <c r="L107" s="3" t="s">
        <v>38</v>
      </c>
      <c r="M107" s="3" t="s">
        <v>51</v>
      </c>
      <c r="N107" s="3"/>
      <c r="O107" s="3" t="s">
        <v>127</v>
      </c>
    </row>
    <row r="108" spans="2:15" ht="15.6" customHeight="1">
      <c r="B108" s="14"/>
      <c r="C108" s="14"/>
      <c r="D108" s="26" t="s">
        <v>126</v>
      </c>
      <c r="E108" s="11">
        <v>12.05</v>
      </c>
      <c r="F108" s="12"/>
      <c r="G108" s="12"/>
      <c r="H108" s="12">
        <v>17.05</v>
      </c>
      <c r="I108" s="13">
        <v>7.17</v>
      </c>
      <c r="J108" s="16">
        <v>2020</v>
      </c>
      <c r="K108" s="19" t="s">
        <v>27</v>
      </c>
      <c r="L108" s="3" t="s">
        <v>24</v>
      </c>
      <c r="M108" s="3" t="s">
        <v>21</v>
      </c>
      <c r="N108" s="3"/>
      <c r="O108" s="3" t="s">
        <v>128</v>
      </c>
    </row>
    <row r="109" spans="2:15" ht="15.6" customHeight="1">
      <c r="B109" s="14"/>
      <c r="C109" s="14"/>
      <c r="D109" s="26" t="s">
        <v>126</v>
      </c>
      <c r="E109" s="11">
        <v>13.33</v>
      </c>
      <c r="F109" s="12"/>
      <c r="G109" s="12"/>
      <c r="H109" s="12">
        <v>18.98</v>
      </c>
      <c r="I109" s="13">
        <v>7.76</v>
      </c>
      <c r="J109" s="16">
        <v>2018</v>
      </c>
      <c r="K109" s="19" t="s">
        <v>27</v>
      </c>
      <c r="L109" s="3" t="s">
        <v>24</v>
      </c>
      <c r="M109" s="3" t="s">
        <v>21</v>
      </c>
      <c r="N109" s="3"/>
      <c r="O109" s="3" t="s">
        <v>128</v>
      </c>
    </row>
    <row r="110" spans="2:15" ht="15.6" customHeight="1">
      <c r="B110" s="14"/>
      <c r="C110" s="14"/>
      <c r="D110" s="26" t="s">
        <v>126</v>
      </c>
      <c r="E110" s="11">
        <v>15.1</v>
      </c>
      <c r="F110" s="12"/>
      <c r="G110" s="12"/>
      <c r="H110" s="12">
        <v>19.11</v>
      </c>
      <c r="I110" s="13">
        <v>11.07</v>
      </c>
      <c r="J110" s="16">
        <v>2016</v>
      </c>
      <c r="K110" s="19" t="s">
        <v>27</v>
      </c>
      <c r="L110" s="3" t="s">
        <v>24</v>
      </c>
      <c r="M110" s="3" t="s">
        <v>21</v>
      </c>
      <c r="N110" s="3"/>
      <c r="O110" s="3" t="s">
        <v>123</v>
      </c>
    </row>
    <row r="111" spans="2:15" ht="15.6" customHeight="1">
      <c r="B111" s="14"/>
      <c r="C111" s="14"/>
      <c r="D111" s="26" t="s">
        <v>126</v>
      </c>
      <c r="E111" s="11">
        <v>11.83</v>
      </c>
      <c r="F111" s="12"/>
      <c r="G111" s="12"/>
      <c r="H111" s="12">
        <v>15.37</v>
      </c>
      <c r="I111" s="13">
        <v>8.3800000000000008</v>
      </c>
      <c r="J111" s="16">
        <v>2014</v>
      </c>
      <c r="K111" s="19" t="s">
        <v>27</v>
      </c>
      <c r="L111" s="3" t="s">
        <v>24</v>
      </c>
      <c r="M111" s="3" t="s">
        <v>21</v>
      </c>
      <c r="N111" s="3"/>
      <c r="O111" s="3"/>
    </row>
    <row r="112" spans="2:15" ht="15.6" customHeight="1">
      <c r="B112" s="14"/>
      <c r="C112" s="14"/>
      <c r="D112" s="26" t="s">
        <v>126</v>
      </c>
      <c r="E112" s="11">
        <v>7.47</v>
      </c>
      <c r="F112" s="12"/>
      <c r="G112" s="12"/>
      <c r="H112" s="12">
        <v>10.52</v>
      </c>
      <c r="I112" s="13">
        <v>4.5199999999999996</v>
      </c>
      <c r="J112" s="16">
        <v>2012</v>
      </c>
      <c r="K112" s="19" t="s">
        <v>27</v>
      </c>
      <c r="L112" s="3" t="s">
        <v>24</v>
      </c>
      <c r="M112" s="3" t="s">
        <v>21</v>
      </c>
      <c r="N112" s="3"/>
      <c r="O112" s="3"/>
    </row>
    <row r="113" spans="2:15" ht="15.6" customHeight="1">
      <c r="B113" s="14"/>
      <c r="C113" s="14"/>
      <c r="D113" s="26" t="s">
        <v>126</v>
      </c>
      <c r="E113" s="11">
        <v>4.88</v>
      </c>
      <c r="F113" s="12"/>
      <c r="G113" s="12"/>
      <c r="H113" s="12"/>
      <c r="I113" s="13"/>
      <c r="J113" s="16">
        <v>2010</v>
      </c>
      <c r="K113" s="19" t="s">
        <v>27</v>
      </c>
      <c r="L113" s="3" t="s">
        <v>24</v>
      </c>
      <c r="M113" s="3"/>
      <c r="N113" s="3"/>
      <c r="O113" s="3"/>
    </row>
    <row r="114" spans="2:15" ht="15.6" customHeight="1">
      <c r="B114" s="14"/>
      <c r="C114" s="14"/>
      <c r="D114" s="26" t="s">
        <v>126</v>
      </c>
      <c r="E114" s="11">
        <v>6.7</v>
      </c>
      <c r="F114" s="12"/>
      <c r="G114" s="12"/>
      <c r="H114" s="12"/>
      <c r="I114" s="13"/>
      <c r="J114" s="16">
        <v>2008</v>
      </c>
      <c r="K114" s="19" t="s">
        <v>27</v>
      </c>
      <c r="L114" s="3" t="s">
        <v>38</v>
      </c>
      <c r="M114" s="3" t="s">
        <v>51</v>
      </c>
      <c r="N114" s="3"/>
      <c r="O114" s="3"/>
    </row>
    <row r="115" spans="2:15" ht="15.6" customHeight="1">
      <c r="B115" s="14"/>
      <c r="C115" s="14"/>
      <c r="D115" s="26" t="s">
        <v>129</v>
      </c>
      <c r="E115" s="11">
        <v>2.68</v>
      </c>
      <c r="F115" s="12">
        <v>2.46</v>
      </c>
      <c r="G115" s="12">
        <v>2.9</v>
      </c>
      <c r="H115" s="12">
        <v>4.21</v>
      </c>
      <c r="I115" s="13">
        <v>1.26</v>
      </c>
      <c r="J115" s="16">
        <v>2019</v>
      </c>
      <c r="K115" s="19" t="s">
        <v>79</v>
      </c>
      <c r="L115" s="3" t="s">
        <v>36</v>
      </c>
      <c r="M115" s="3" t="s">
        <v>21</v>
      </c>
      <c r="N115" s="3"/>
      <c r="O115" s="3"/>
    </row>
    <row r="116" spans="2:15" ht="15.6" customHeight="1">
      <c r="B116" s="14"/>
      <c r="C116" s="14"/>
      <c r="D116" s="26" t="s">
        <v>129</v>
      </c>
      <c r="E116" s="11">
        <v>3.27</v>
      </c>
      <c r="F116" s="12">
        <v>2.94</v>
      </c>
      <c r="G116" s="12">
        <v>3.6</v>
      </c>
      <c r="H116" s="12">
        <v>5.36</v>
      </c>
      <c r="I116" s="13">
        <v>1.3</v>
      </c>
      <c r="J116" s="16">
        <v>2013</v>
      </c>
      <c r="K116" s="19" t="s">
        <v>79</v>
      </c>
      <c r="L116" s="3" t="s">
        <v>24</v>
      </c>
      <c r="M116" s="3" t="s">
        <v>21</v>
      </c>
      <c r="N116" s="3"/>
      <c r="O116" s="3"/>
    </row>
    <row r="117" spans="2:15" ht="15.6" customHeight="1">
      <c r="B117" s="14"/>
      <c r="C117" s="14"/>
      <c r="D117" s="26" t="s">
        <v>129</v>
      </c>
      <c r="E117" s="11">
        <v>2.27</v>
      </c>
      <c r="F117" s="12">
        <v>1.93</v>
      </c>
      <c r="G117" s="12">
        <v>2.61</v>
      </c>
      <c r="H117" s="12">
        <v>3.79</v>
      </c>
      <c r="I117" s="13">
        <v>0.93</v>
      </c>
      <c r="J117" s="16">
        <v>2008</v>
      </c>
      <c r="K117" s="19" t="s">
        <v>79</v>
      </c>
      <c r="L117" s="3" t="s">
        <v>24</v>
      </c>
      <c r="M117" s="3"/>
      <c r="N117" s="3"/>
      <c r="O117" s="3"/>
    </row>
    <row r="118" spans="2:15" ht="15.6" customHeight="1">
      <c r="B118" s="14"/>
      <c r="C118" s="14"/>
      <c r="D118" s="26" t="s">
        <v>129</v>
      </c>
      <c r="E118" s="11">
        <v>1.9</v>
      </c>
      <c r="F118" s="12"/>
      <c r="G118" s="12"/>
      <c r="H118" s="12"/>
      <c r="I118" s="13"/>
      <c r="J118" s="16">
        <v>2003</v>
      </c>
      <c r="K118" s="19" t="s">
        <v>130</v>
      </c>
      <c r="L118" s="3" t="s">
        <v>38</v>
      </c>
      <c r="M118" s="3"/>
      <c r="N118" s="3"/>
      <c r="O118" s="3"/>
    </row>
    <row r="119" spans="2:15" ht="15.6" customHeight="1">
      <c r="B119" s="14"/>
      <c r="C119" s="14"/>
      <c r="D119" s="26" t="s">
        <v>131</v>
      </c>
      <c r="E119" s="11">
        <v>0.67</v>
      </c>
      <c r="F119" s="12"/>
      <c r="G119" s="12"/>
      <c r="H119" s="12">
        <v>0.84</v>
      </c>
      <c r="I119" s="13">
        <v>0.53</v>
      </c>
      <c r="J119" s="16">
        <v>2013</v>
      </c>
      <c r="K119" s="19" t="s">
        <v>79</v>
      </c>
      <c r="L119" s="3" t="s">
        <v>24</v>
      </c>
      <c r="M119" s="3" t="s">
        <v>21</v>
      </c>
      <c r="N119" s="3"/>
      <c r="O119" s="3" t="s">
        <v>85</v>
      </c>
    </row>
    <row r="120" spans="2:15" ht="15.6" customHeight="1">
      <c r="B120" s="14"/>
      <c r="C120" s="14"/>
      <c r="D120" s="26" t="s">
        <v>131</v>
      </c>
      <c r="E120" s="11">
        <v>0.7</v>
      </c>
      <c r="F120" s="12"/>
      <c r="G120" s="12"/>
      <c r="H120" s="12"/>
      <c r="I120" s="13"/>
      <c r="J120" s="16">
        <v>2007</v>
      </c>
      <c r="K120" s="19" t="s">
        <v>79</v>
      </c>
      <c r="L120" s="3" t="s">
        <v>24</v>
      </c>
      <c r="M120" s="3" t="s">
        <v>21</v>
      </c>
      <c r="N120" s="3"/>
      <c r="O120" s="3"/>
    </row>
    <row r="121" spans="2:15" ht="15.6" customHeight="1">
      <c r="B121" s="14"/>
      <c r="C121" s="14"/>
      <c r="D121" s="26" t="s">
        <v>132</v>
      </c>
      <c r="E121" s="11">
        <v>4.5999999999999996</v>
      </c>
      <c r="F121" s="12"/>
      <c r="G121" s="12"/>
      <c r="H121" s="12"/>
      <c r="I121" s="13"/>
      <c r="J121" s="16">
        <v>2016</v>
      </c>
      <c r="K121" s="19" t="s">
        <v>79</v>
      </c>
      <c r="L121" s="3" t="s">
        <v>36</v>
      </c>
      <c r="M121" s="3" t="s">
        <v>21</v>
      </c>
      <c r="N121" s="3"/>
      <c r="O121" s="3"/>
    </row>
    <row r="122" spans="2:15" ht="15.6" customHeight="1">
      <c r="B122" s="14"/>
      <c r="C122" s="14"/>
      <c r="D122" s="26" t="s">
        <v>132</v>
      </c>
      <c r="E122" s="11">
        <v>4.04</v>
      </c>
      <c r="F122" s="12">
        <v>1.56</v>
      </c>
      <c r="G122" s="12">
        <v>6.53</v>
      </c>
      <c r="H122" s="12"/>
      <c r="I122" s="13"/>
      <c r="J122" s="16">
        <v>2010</v>
      </c>
      <c r="K122" s="19" t="s">
        <v>27</v>
      </c>
      <c r="L122" s="3" t="s">
        <v>61</v>
      </c>
      <c r="M122" s="3" t="s">
        <v>44</v>
      </c>
      <c r="N122" s="3" t="s">
        <v>33</v>
      </c>
      <c r="O122" s="3"/>
    </row>
    <row r="123" spans="2:15" ht="15.6" customHeight="1">
      <c r="B123" s="14"/>
      <c r="C123" s="14"/>
      <c r="D123" s="26" t="s">
        <v>132</v>
      </c>
      <c r="E123" s="11">
        <v>3.5</v>
      </c>
      <c r="F123" s="12">
        <v>0.97</v>
      </c>
      <c r="G123" s="12">
        <v>5.95</v>
      </c>
      <c r="H123" s="12"/>
      <c r="I123" s="13"/>
      <c r="J123" s="16">
        <v>2008</v>
      </c>
      <c r="K123" s="19" t="s">
        <v>27</v>
      </c>
      <c r="L123" s="3" t="s">
        <v>61</v>
      </c>
      <c r="M123" s="3"/>
      <c r="N123" s="3"/>
      <c r="O123" s="3"/>
    </row>
    <row r="124" spans="2:15" ht="15.6" customHeight="1">
      <c r="B124" s="14"/>
      <c r="C124" s="14"/>
      <c r="D124" s="26" t="s">
        <v>132</v>
      </c>
      <c r="E124" s="11">
        <v>2.6</v>
      </c>
      <c r="F124" s="12"/>
      <c r="G124" s="12"/>
      <c r="H124" s="12"/>
      <c r="I124" s="13"/>
      <c r="J124" s="16">
        <v>2002</v>
      </c>
      <c r="K124" s="19"/>
      <c r="L124" s="3" t="s">
        <v>58</v>
      </c>
      <c r="M124" s="3"/>
      <c r="N124" s="3"/>
      <c r="O124" s="3"/>
    </row>
    <row r="125" spans="2:15" ht="15.6" customHeight="1">
      <c r="B125" s="14"/>
      <c r="C125" s="14"/>
      <c r="D125" s="26" t="s">
        <v>133</v>
      </c>
      <c r="E125" s="11">
        <v>1.6</v>
      </c>
      <c r="F125" s="12"/>
      <c r="G125" s="12"/>
      <c r="H125" s="12"/>
      <c r="I125" s="13"/>
      <c r="J125" s="16">
        <v>2005</v>
      </c>
      <c r="K125" s="19" t="s">
        <v>79</v>
      </c>
      <c r="L125" s="3" t="s">
        <v>61</v>
      </c>
      <c r="M125" s="3"/>
      <c r="N125" s="3"/>
      <c r="O125" s="3"/>
    </row>
    <row r="126" spans="2:15" ht="15.6" customHeight="1">
      <c r="B126" s="14"/>
      <c r="C126" s="14"/>
      <c r="D126" s="26" t="s">
        <v>134</v>
      </c>
      <c r="E126" s="11">
        <v>1.6240000000000001</v>
      </c>
      <c r="F126" s="12">
        <v>1.2410000000000001</v>
      </c>
      <c r="G126" s="12">
        <v>2.0059999999999998</v>
      </c>
      <c r="H126" s="12"/>
      <c r="I126" s="13"/>
      <c r="J126" s="16">
        <v>2017</v>
      </c>
      <c r="K126" s="19" t="s">
        <v>27</v>
      </c>
      <c r="L126" s="3" t="s">
        <v>97</v>
      </c>
      <c r="M126" s="3" t="s">
        <v>44</v>
      </c>
      <c r="N126" s="3" t="s">
        <v>33</v>
      </c>
      <c r="O126" s="3"/>
    </row>
    <row r="127" spans="2:15" ht="15.6" customHeight="1">
      <c r="B127" s="14"/>
      <c r="C127" s="14"/>
      <c r="D127" s="26" t="s">
        <v>134</v>
      </c>
      <c r="E127" s="11">
        <v>1</v>
      </c>
      <c r="F127" s="12"/>
      <c r="G127" s="12"/>
      <c r="H127" s="12">
        <v>2</v>
      </c>
      <c r="I127" s="13">
        <v>0.2</v>
      </c>
      <c r="J127" s="16">
        <v>2010</v>
      </c>
      <c r="K127" s="19" t="s">
        <v>79</v>
      </c>
      <c r="L127" s="3" t="s">
        <v>24</v>
      </c>
      <c r="M127" s="3" t="s">
        <v>21</v>
      </c>
      <c r="N127" s="3"/>
      <c r="O127" s="3"/>
    </row>
    <row r="128" spans="2:15" ht="15.6" customHeight="1">
      <c r="B128" s="14"/>
      <c r="C128" s="14"/>
      <c r="D128" s="26" t="s">
        <v>134</v>
      </c>
      <c r="E128" s="11">
        <v>0.7</v>
      </c>
      <c r="F128" s="12"/>
      <c r="G128" s="12"/>
      <c r="H128" s="12"/>
      <c r="I128" s="13"/>
      <c r="J128" s="16">
        <v>2006</v>
      </c>
      <c r="K128" s="19" t="s">
        <v>27</v>
      </c>
      <c r="L128" s="3" t="s">
        <v>36</v>
      </c>
      <c r="M128" s="3" t="s">
        <v>21</v>
      </c>
      <c r="N128" s="3"/>
      <c r="O128" s="3"/>
    </row>
    <row r="129" spans="2:15" ht="15.6" customHeight="1">
      <c r="B129" s="14"/>
      <c r="C129" s="14"/>
      <c r="D129" s="26" t="s">
        <v>135</v>
      </c>
      <c r="E129" s="11">
        <v>3.4</v>
      </c>
      <c r="F129" s="12"/>
      <c r="G129" s="12"/>
      <c r="H129" s="12">
        <v>6.6</v>
      </c>
      <c r="I129" s="13">
        <v>0.4</v>
      </c>
      <c r="J129" s="16">
        <v>2013</v>
      </c>
      <c r="K129" s="19" t="s">
        <v>79</v>
      </c>
      <c r="L129" s="3" t="s">
        <v>24</v>
      </c>
      <c r="M129" s="3" t="s">
        <v>21</v>
      </c>
      <c r="N129" s="3"/>
      <c r="O129" s="3" t="s">
        <v>136</v>
      </c>
    </row>
    <row r="130" spans="2:15" ht="15.6" customHeight="1">
      <c r="B130" s="14"/>
      <c r="C130" s="14"/>
      <c r="D130" s="26" t="s">
        <v>135</v>
      </c>
      <c r="E130" s="11">
        <v>4.25</v>
      </c>
      <c r="F130" s="12">
        <v>3.8</v>
      </c>
      <c r="G130" s="12">
        <v>4.7</v>
      </c>
      <c r="H130" s="12"/>
      <c r="I130" s="13"/>
      <c r="J130" s="16">
        <v>2007</v>
      </c>
      <c r="K130" s="19" t="s">
        <v>79</v>
      </c>
      <c r="L130" s="3" t="s">
        <v>36</v>
      </c>
      <c r="M130" s="3" t="s">
        <v>21</v>
      </c>
      <c r="N130" s="3"/>
      <c r="O130" s="3"/>
    </row>
    <row r="131" spans="2:15" ht="15.6" customHeight="1">
      <c r="B131" s="14"/>
      <c r="C131" s="14"/>
      <c r="D131" s="26" t="s">
        <v>135</v>
      </c>
      <c r="E131" s="11">
        <v>2</v>
      </c>
      <c r="F131" s="12"/>
      <c r="G131" s="12"/>
      <c r="H131" s="12"/>
      <c r="I131" s="13"/>
      <c r="J131" s="16">
        <v>2002</v>
      </c>
      <c r="K131" s="19" t="s">
        <v>27</v>
      </c>
      <c r="L131" s="3" t="s">
        <v>58</v>
      </c>
      <c r="M131" s="3"/>
      <c r="N131" s="3"/>
      <c r="O131" s="3"/>
    </row>
    <row r="132" spans="2:15" ht="15.6" customHeight="1">
      <c r="B132" s="14"/>
      <c r="C132" s="14"/>
      <c r="D132" s="26" t="s">
        <v>137</v>
      </c>
      <c r="E132" s="11">
        <v>14.6</v>
      </c>
      <c r="F132" s="12"/>
      <c r="G132" s="12"/>
      <c r="H132" s="12">
        <v>17.8</v>
      </c>
      <c r="I132" s="13">
        <v>11.5</v>
      </c>
      <c r="J132" s="16">
        <v>2018</v>
      </c>
      <c r="K132" s="19" t="s">
        <v>19</v>
      </c>
      <c r="L132" s="3" t="s">
        <v>24</v>
      </c>
      <c r="M132" s="3" t="s">
        <v>21</v>
      </c>
      <c r="N132" s="3"/>
      <c r="O132" s="3" t="s">
        <v>85</v>
      </c>
    </row>
    <row r="133" spans="2:15" ht="15.6" customHeight="1">
      <c r="B133" s="14"/>
      <c r="C133" s="14"/>
      <c r="D133" s="26" t="s">
        <v>137</v>
      </c>
      <c r="E133" s="11">
        <v>9.3000000000000007</v>
      </c>
      <c r="F133" s="12"/>
      <c r="G133" s="12"/>
      <c r="H133" s="12">
        <v>12.5</v>
      </c>
      <c r="I133" s="13">
        <v>6.4</v>
      </c>
      <c r="J133" s="16">
        <v>2014</v>
      </c>
      <c r="K133" s="19" t="s">
        <v>19</v>
      </c>
      <c r="L133" s="3" t="s">
        <v>24</v>
      </c>
      <c r="M133" s="3" t="s">
        <v>21</v>
      </c>
      <c r="N133" s="3"/>
      <c r="O133" s="3" t="s">
        <v>85</v>
      </c>
    </row>
    <row r="134" spans="2:15" ht="15.6" customHeight="1">
      <c r="B134" s="14"/>
      <c r="C134" s="14"/>
      <c r="D134" s="26" t="s">
        <v>137</v>
      </c>
      <c r="E134" s="11">
        <v>8.3000000000000007</v>
      </c>
      <c r="F134" s="12"/>
      <c r="G134" s="12"/>
      <c r="H134" s="12">
        <v>11.5</v>
      </c>
      <c r="I134" s="13">
        <v>5.4</v>
      </c>
      <c r="J134" s="16">
        <v>2011</v>
      </c>
      <c r="K134" s="19" t="s">
        <v>27</v>
      </c>
      <c r="L134" s="3" t="s">
        <v>24</v>
      </c>
      <c r="M134" s="3" t="s">
        <v>21</v>
      </c>
      <c r="N134" s="3"/>
      <c r="O134" s="3"/>
    </row>
    <row r="135" spans="2:15" ht="15.6" customHeight="1">
      <c r="B135" s="14"/>
      <c r="C135" s="14"/>
      <c r="D135" s="26" t="s">
        <v>137</v>
      </c>
      <c r="E135" s="11">
        <v>5.6</v>
      </c>
      <c r="F135" s="12"/>
      <c r="G135" s="12"/>
      <c r="H135" s="12"/>
      <c r="I135" s="13"/>
      <c r="J135" s="16">
        <v>2006</v>
      </c>
      <c r="K135" s="19" t="s">
        <v>27</v>
      </c>
      <c r="L135" s="3" t="s">
        <v>38</v>
      </c>
      <c r="M135" s="3" t="s">
        <v>51</v>
      </c>
      <c r="N135" s="3"/>
      <c r="O135" s="3"/>
    </row>
    <row r="136" spans="2:15" ht="15.6" customHeight="1">
      <c r="B136" s="14"/>
      <c r="C136" s="14"/>
      <c r="D136" s="26" t="s">
        <v>138</v>
      </c>
      <c r="E136" s="11">
        <v>1.41</v>
      </c>
      <c r="F136" s="12"/>
      <c r="G136" s="12"/>
      <c r="H136" s="12">
        <v>1.9</v>
      </c>
      <c r="I136" s="13">
        <v>0.94</v>
      </c>
      <c r="J136" s="16">
        <v>2022</v>
      </c>
      <c r="K136" s="19" t="s">
        <v>79</v>
      </c>
      <c r="L136" s="3" t="s">
        <v>24</v>
      </c>
      <c r="M136" s="3" t="s">
        <v>21</v>
      </c>
      <c r="N136" s="3"/>
      <c r="O136" s="3" t="s">
        <v>85</v>
      </c>
    </row>
    <row r="137" spans="2:15" ht="15.6" customHeight="1">
      <c r="B137" s="14"/>
      <c r="C137" s="14"/>
      <c r="D137" s="26" t="s">
        <v>138</v>
      </c>
      <c r="E137" s="11">
        <v>1.56</v>
      </c>
      <c r="F137" s="12"/>
      <c r="G137" s="12"/>
      <c r="H137" s="12"/>
      <c r="I137" s="13"/>
      <c r="J137" s="16">
        <v>2011</v>
      </c>
      <c r="K137" s="19" t="s">
        <v>79</v>
      </c>
      <c r="L137" s="3" t="s">
        <v>36</v>
      </c>
      <c r="M137" s="3" t="s">
        <v>21</v>
      </c>
      <c r="N137" s="3"/>
      <c r="O137" s="3"/>
    </row>
    <row r="138" spans="2:15" ht="15.6" customHeight="1">
      <c r="B138" s="14"/>
      <c r="C138" s="14"/>
      <c r="D138" s="26" t="s">
        <v>138</v>
      </c>
      <c r="E138" s="11">
        <v>0.85</v>
      </c>
      <c r="F138" s="12"/>
      <c r="G138" s="12"/>
      <c r="H138" s="12"/>
      <c r="I138" s="13"/>
      <c r="J138" s="16">
        <v>2005</v>
      </c>
      <c r="K138" s="19" t="s">
        <v>27</v>
      </c>
      <c r="L138" s="3" t="s">
        <v>125</v>
      </c>
      <c r="M138" s="3" t="s">
        <v>51</v>
      </c>
      <c r="N138" s="3" t="s">
        <v>56</v>
      </c>
      <c r="O138" s="3"/>
    </row>
    <row r="139" spans="2:15" ht="15.6" customHeight="1">
      <c r="B139" s="14" t="s">
        <v>139</v>
      </c>
      <c r="C139" s="14" t="s">
        <v>140</v>
      </c>
      <c r="D139" s="26" t="s">
        <v>141</v>
      </c>
      <c r="E139" s="11">
        <v>3.5</v>
      </c>
      <c r="F139" s="12"/>
      <c r="G139" s="12"/>
      <c r="H139" s="12"/>
      <c r="I139" s="13"/>
      <c r="J139" s="16">
        <v>2003</v>
      </c>
      <c r="K139" s="19" t="s">
        <v>27</v>
      </c>
      <c r="L139" s="3" t="s">
        <v>61</v>
      </c>
      <c r="M139" s="3"/>
      <c r="N139" s="3"/>
      <c r="O139" s="3"/>
    </row>
    <row r="140" spans="2:15" ht="15.6" customHeight="1">
      <c r="B140" s="14"/>
      <c r="C140" s="14"/>
      <c r="D140" s="26" t="s">
        <v>142</v>
      </c>
      <c r="E140" s="11">
        <v>3.5</v>
      </c>
      <c r="F140" s="12"/>
      <c r="G140" s="12"/>
      <c r="H140" s="12"/>
      <c r="I140" s="13"/>
      <c r="J140" s="16">
        <v>2004</v>
      </c>
      <c r="K140" s="19" t="s">
        <v>19</v>
      </c>
      <c r="L140" s="3" t="s">
        <v>61</v>
      </c>
      <c r="M140" s="3"/>
      <c r="N140" s="3"/>
      <c r="O140" s="3"/>
    </row>
    <row r="141" spans="2:15" ht="15.6" customHeight="1">
      <c r="B141" s="14"/>
      <c r="C141" s="14"/>
      <c r="D141" s="26" t="s">
        <v>143</v>
      </c>
      <c r="E141" s="11">
        <v>4.5999999999999996</v>
      </c>
      <c r="F141" s="12">
        <v>4</v>
      </c>
      <c r="G141" s="12">
        <v>5.3</v>
      </c>
      <c r="H141" s="12">
        <v>8.9</v>
      </c>
      <c r="I141" s="13">
        <v>0.5</v>
      </c>
      <c r="J141" s="16">
        <v>2022</v>
      </c>
      <c r="K141" s="19" t="s">
        <v>144</v>
      </c>
      <c r="L141" s="3" t="s">
        <v>145</v>
      </c>
      <c r="M141" s="3" t="s">
        <v>21</v>
      </c>
      <c r="N141" s="3"/>
      <c r="O141" s="3"/>
    </row>
    <row r="142" spans="2:15" ht="15.6" customHeight="1">
      <c r="B142" s="14"/>
      <c r="C142" s="14"/>
      <c r="D142" s="26" t="s">
        <v>143</v>
      </c>
      <c r="E142" s="11">
        <v>3.4</v>
      </c>
      <c r="F142" s="12"/>
      <c r="G142" s="12"/>
      <c r="H142" s="12">
        <v>6.6</v>
      </c>
      <c r="I142" s="13">
        <v>0.5</v>
      </c>
      <c r="J142" s="16">
        <v>2015</v>
      </c>
      <c r="K142" s="19" t="s">
        <v>144</v>
      </c>
      <c r="L142" s="3" t="s">
        <v>24</v>
      </c>
      <c r="M142" s="3" t="s">
        <v>21</v>
      </c>
      <c r="N142" s="3"/>
      <c r="O142" s="3"/>
    </row>
    <row r="143" spans="2:15" ht="15.6" customHeight="1">
      <c r="B143" s="14"/>
      <c r="C143" s="14"/>
      <c r="D143" s="26" t="s">
        <v>143</v>
      </c>
      <c r="E143" s="11">
        <v>2.7</v>
      </c>
      <c r="F143" s="12">
        <v>1.2</v>
      </c>
      <c r="G143" s="12">
        <v>4.3</v>
      </c>
      <c r="H143" s="12"/>
      <c r="I143" s="13"/>
      <c r="J143" s="16">
        <v>2009</v>
      </c>
      <c r="K143" s="19" t="s">
        <v>27</v>
      </c>
      <c r="L143" s="3" t="s">
        <v>146</v>
      </c>
      <c r="M143" s="3" t="s">
        <v>44</v>
      </c>
      <c r="N143" s="3" t="s">
        <v>147</v>
      </c>
      <c r="O143" s="3"/>
    </row>
    <row r="144" spans="2:15" ht="15.6" customHeight="1">
      <c r="B144" s="14"/>
      <c r="C144" s="14"/>
      <c r="D144" s="26" t="s">
        <v>143</v>
      </c>
      <c r="E144" s="11">
        <v>1.1000000000000001</v>
      </c>
      <c r="F144" s="12"/>
      <c r="G144" s="12"/>
      <c r="H144" s="12"/>
      <c r="I144" s="13"/>
      <c r="J144" s="16">
        <v>2005</v>
      </c>
      <c r="K144" s="19" t="s">
        <v>27</v>
      </c>
      <c r="L144" s="3" t="s">
        <v>38</v>
      </c>
      <c r="M144" s="3" t="s">
        <v>74</v>
      </c>
      <c r="N144" s="3" t="s">
        <v>148</v>
      </c>
      <c r="O144" s="3"/>
    </row>
    <row r="145" spans="2:15" ht="15.6" customHeight="1">
      <c r="B145" s="14"/>
      <c r="C145" s="14"/>
      <c r="D145" s="26" t="s">
        <v>149</v>
      </c>
      <c r="E145" s="11">
        <v>2.4</v>
      </c>
      <c r="F145" s="12">
        <v>0.6</v>
      </c>
      <c r="G145" s="12">
        <v>4.3</v>
      </c>
      <c r="H145" s="12"/>
      <c r="I145" s="13"/>
      <c r="J145" s="16">
        <v>2012</v>
      </c>
      <c r="K145" s="19" t="s">
        <v>27</v>
      </c>
      <c r="L145" s="3" t="s">
        <v>24</v>
      </c>
      <c r="M145" s="3" t="s">
        <v>44</v>
      </c>
      <c r="N145" s="3" t="s">
        <v>45</v>
      </c>
      <c r="O145" s="3"/>
    </row>
    <row r="146" spans="2:15" ht="15.6" customHeight="1">
      <c r="B146" s="14"/>
      <c r="C146" s="14"/>
      <c r="D146" s="26" t="s">
        <v>149</v>
      </c>
      <c r="E146" s="11">
        <v>4.2</v>
      </c>
      <c r="F146" s="12"/>
      <c r="G146" s="12"/>
      <c r="H146" s="12"/>
      <c r="I146" s="13"/>
      <c r="J146" s="16">
        <v>2003</v>
      </c>
      <c r="K146" s="19" t="s">
        <v>27</v>
      </c>
      <c r="L146" s="3" t="s">
        <v>150</v>
      </c>
      <c r="M146" s="3"/>
      <c r="N146" s="3"/>
      <c r="O146" s="3"/>
    </row>
    <row r="147" spans="2:15" ht="15.6" customHeight="1">
      <c r="B147" s="14"/>
      <c r="C147" s="14"/>
      <c r="D147" s="26" t="s">
        <v>151</v>
      </c>
      <c r="E147" s="11">
        <v>4.2</v>
      </c>
      <c r="F147" s="12"/>
      <c r="G147" s="12"/>
      <c r="H147" s="12"/>
      <c r="I147" s="13"/>
      <c r="J147" s="16">
        <v>2003</v>
      </c>
      <c r="K147" s="19" t="s">
        <v>27</v>
      </c>
      <c r="L147" s="3" t="s">
        <v>61</v>
      </c>
      <c r="M147" s="3"/>
      <c r="N147" s="3" t="s">
        <v>22</v>
      </c>
      <c r="O147" s="3"/>
    </row>
    <row r="148" spans="2:15" ht="15.6" customHeight="1">
      <c r="B148" s="14"/>
      <c r="C148" s="14" t="s">
        <v>152</v>
      </c>
      <c r="D148" s="26" t="s">
        <v>153</v>
      </c>
      <c r="E148" s="11">
        <v>3.5</v>
      </c>
      <c r="F148" s="12"/>
      <c r="G148" s="12"/>
      <c r="H148" s="12"/>
      <c r="I148" s="13"/>
      <c r="J148" s="16">
        <v>2003</v>
      </c>
      <c r="K148" s="19" t="s">
        <v>27</v>
      </c>
      <c r="L148" s="3" t="s">
        <v>61</v>
      </c>
      <c r="M148" s="3"/>
      <c r="N148" s="3"/>
      <c r="O148" s="3"/>
    </row>
    <row r="149" spans="2:15" ht="15.6" customHeight="1">
      <c r="B149" s="14"/>
      <c r="C149" s="14"/>
      <c r="D149" s="26" t="s">
        <v>154</v>
      </c>
      <c r="E149" s="11">
        <v>0.25505176000000002</v>
      </c>
      <c r="F149" s="12"/>
      <c r="G149" s="12"/>
      <c r="H149" s="12"/>
      <c r="I149" s="13"/>
      <c r="J149" s="16" t="s">
        <v>155</v>
      </c>
      <c r="K149" s="19" t="s">
        <v>156</v>
      </c>
      <c r="L149" s="3" t="s">
        <v>122</v>
      </c>
      <c r="M149" s="3" t="s">
        <v>51</v>
      </c>
      <c r="N149" s="3" t="s">
        <v>22</v>
      </c>
      <c r="O149" s="3" t="s">
        <v>157</v>
      </c>
    </row>
    <row r="150" spans="2:15" ht="15.6" customHeight="1">
      <c r="B150" s="14"/>
      <c r="C150" s="14"/>
      <c r="D150" s="26" t="s">
        <v>158</v>
      </c>
      <c r="E150" s="11">
        <v>0.3</v>
      </c>
      <c r="F150" s="12"/>
      <c r="G150" s="12"/>
      <c r="H150" s="12"/>
      <c r="I150" s="13"/>
      <c r="J150" s="16">
        <v>2005</v>
      </c>
      <c r="K150" s="19" t="s">
        <v>159</v>
      </c>
      <c r="L150" s="3" t="s">
        <v>160</v>
      </c>
      <c r="M150" s="3"/>
      <c r="N150" s="3"/>
      <c r="O150" s="3"/>
    </row>
    <row r="151" spans="2:15" ht="15.6" customHeight="1">
      <c r="B151" s="14"/>
      <c r="C151" s="14"/>
      <c r="D151" s="26" t="s">
        <v>161</v>
      </c>
      <c r="E151" s="11">
        <v>1.44</v>
      </c>
      <c r="F151" s="12">
        <v>1.41</v>
      </c>
      <c r="G151" s="12">
        <v>1.46</v>
      </c>
      <c r="H151" s="12"/>
      <c r="I151" s="13"/>
      <c r="J151" s="16">
        <v>2019</v>
      </c>
      <c r="K151" s="19" t="s">
        <v>27</v>
      </c>
      <c r="L151" s="3" t="s">
        <v>122</v>
      </c>
      <c r="M151" s="3" t="s">
        <v>21</v>
      </c>
      <c r="N151" s="3"/>
      <c r="O151" s="3" t="s">
        <v>123</v>
      </c>
    </row>
    <row r="152" spans="2:15" ht="15.6" customHeight="1">
      <c r="B152" s="14"/>
      <c r="C152" s="14"/>
      <c r="D152" s="26" t="s">
        <v>161</v>
      </c>
      <c r="E152" s="11">
        <v>0.91</v>
      </c>
      <c r="F152" s="12"/>
      <c r="G152" s="12"/>
      <c r="H152" s="12"/>
      <c r="I152" s="13"/>
      <c r="J152" s="16">
        <v>2015</v>
      </c>
      <c r="K152" s="19" t="s">
        <v>162</v>
      </c>
      <c r="L152" s="3" t="s">
        <v>36</v>
      </c>
      <c r="M152" s="3" t="s">
        <v>21</v>
      </c>
      <c r="N152" s="3"/>
      <c r="O152" s="3" t="s">
        <v>163</v>
      </c>
    </row>
    <row r="153" spans="2:15" ht="15.6" customHeight="1">
      <c r="B153" s="14"/>
      <c r="C153" s="14"/>
      <c r="D153" s="26" t="s">
        <v>161</v>
      </c>
      <c r="E153" s="11">
        <v>0.18</v>
      </c>
      <c r="F153" s="12"/>
      <c r="G153" s="12"/>
      <c r="H153" s="12">
        <v>0.33</v>
      </c>
      <c r="I153" s="13">
        <v>0.04</v>
      </c>
      <c r="J153" s="16">
        <v>2015</v>
      </c>
      <c r="K153" s="19" t="s">
        <v>164</v>
      </c>
      <c r="L153" s="3" t="s">
        <v>24</v>
      </c>
      <c r="M153" s="3" t="s">
        <v>21</v>
      </c>
      <c r="N153" s="3"/>
      <c r="O153" s="3" t="s">
        <v>165</v>
      </c>
    </row>
    <row r="154" spans="2:15" ht="15.6" customHeight="1">
      <c r="B154" s="14"/>
      <c r="C154" s="14"/>
      <c r="D154" s="26" t="s">
        <v>161</v>
      </c>
      <c r="E154" s="11">
        <v>0.5</v>
      </c>
      <c r="F154" s="12"/>
      <c r="G154" s="12"/>
      <c r="H154" s="12"/>
      <c r="I154" s="13"/>
      <c r="J154" s="16">
        <v>2010</v>
      </c>
      <c r="K154" s="19" t="s">
        <v>164</v>
      </c>
      <c r="L154" s="3" t="s">
        <v>24</v>
      </c>
      <c r="M154" s="3" t="s">
        <v>21</v>
      </c>
      <c r="N154" s="3" t="s">
        <v>37</v>
      </c>
      <c r="O154" s="3"/>
    </row>
    <row r="155" spans="2:15" ht="15.6" customHeight="1">
      <c r="B155" s="14"/>
      <c r="C155" s="14"/>
      <c r="D155" s="26" t="s">
        <v>161</v>
      </c>
      <c r="E155" s="11">
        <v>0.44</v>
      </c>
      <c r="F155" s="12"/>
      <c r="G155" s="12"/>
      <c r="H155" s="12"/>
      <c r="I155" s="13"/>
      <c r="J155" s="16">
        <v>2008</v>
      </c>
      <c r="K155" s="19" t="s">
        <v>162</v>
      </c>
      <c r="L155" s="3" t="s">
        <v>38</v>
      </c>
      <c r="M155" s="3" t="s">
        <v>51</v>
      </c>
      <c r="N155" s="3"/>
      <c r="O155" s="3"/>
    </row>
    <row r="156" spans="2:15" ht="15.6" customHeight="1">
      <c r="B156" s="14"/>
      <c r="C156" s="14"/>
      <c r="D156" s="26" t="s">
        <v>166</v>
      </c>
      <c r="E156" s="11">
        <v>0.23</v>
      </c>
      <c r="F156" s="12">
        <v>0.08</v>
      </c>
      <c r="G156" s="12">
        <v>0.61</v>
      </c>
      <c r="H156" s="12">
        <v>0.19</v>
      </c>
      <c r="I156" s="13">
        <v>0.27</v>
      </c>
      <c r="J156" s="16">
        <v>2023</v>
      </c>
      <c r="K156" s="19" t="s">
        <v>27</v>
      </c>
      <c r="L156" s="3" t="s">
        <v>36</v>
      </c>
      <c r="M156" s="3" t="s">
        <v>51</v>
      </c>
      <c r="N156" s="3"/>
      <c r="O156" s="3" t="s">
        <v>167</v>
      </c>
    </row>
    <row r="157" spans="2:15" ht="15.6" customHeight="1">
      <c r="B157" s="14"/>
      <c r="C157" s="14"/>
      <c r="D157" s="26" t="s">
        <v>166</v>
      </c>
      <c r="E157" s="11">
        <v>0.14000000000000001</v>
      </c>
      <c r="F157" s="12">
        <v>0.06</v>
      </c>
      <c r="G157" s="12">
        <v>0.36</v>
      </c>
      <c r="H157" s="12">
        <v>0.24</v>
      </c>
      <c r="I157" s="13">
        <v>0.06</v>
      </c>
      <c r="J157" s="16">
        <v>2021</v>
      </c>
      <c r="K157" s="19" t="s">
        <v>27</v>
      </c>
      <c r="L157" s="3" t="s">
        <v>36</v>
      </c>
      <c r="M157" s="3" t="s">
        <v>21</v>
      </c>
      <c r="N157" s="3"/>
      <c r="O157" s="3"/>
    </row>
    <row r="158" spans="2:15" ht="15.6" customHeight="1">
      <c r="B158" s="14"/>
      <c r="C158" s="14"/>
      <c r="D158" s="26" t="s">
        <v>166</v>
      </c>
      <c r="E158" s="11">
        <v>0.1</v>
      </c>
      <c r="F158" s="12"/>
      <c r="G158" s="12"/>
      <c r="H158" s="12"/>
      <c r="I158" s="13"/>
      <c r="J158" s="16">
        <v>2019</v>
      </c>
      <c r="K158" s="19" t="s">
        <v>27</v>
      </c>
      <c r="L158" s="3" t="s">
        <v>24</v>
      </c>
      <c r="M158" s="3" t="s">
        <v>21</v>
      </c>
      <c r="N158" s="3"/>
      <c r="O158" s="3"/>
    </row>
    <row r="159" spans="2:15" ht="15.6" customHeight="1">
      <c r="B159" s="14"/>
      <c r="C159" s="14"/>
      <c r="D159" s="26" t="s">
        <v>166</v>
      </c>
      <c r="E159" s="11">
        <v>0.03</v>
      </c>
      <c r="F159" s="12"/>
      <c r="G159" s="12"/>
      <c r="H159" s="12"/>
      <c r="I159" s="13"/>
      <c r="J159" s="16">
        <v>2017</v>
      </c>
      <c r="K159" s="19" t="s">
        <v>27</v>
      </c>
      <c r="L159" s="3" t="s">
        <v>24</v>
      </c>
      <c r="M159" s="3" t="s">
        <v>21</v>
      </c>
      <c r="N159" s="3"/>
      <c r="O159" s="3"/>
    </row>
    <row r="160" spans="2:15" ht="15.6" customHeight="1">
      <c r="B160" s="14"/>
      <c r="C160" s="14"/>
      <c r="D160" s="26" t="s">
        <v>166</v>
      </c>
      <c r="E160" s="11">
        <v>0.3</v>
      </c>
      <c r="F160" s="12"/>
      <c r="G160" s="12"/>
      <c r="H160" s="12"/>
      <c r="I160" s="13"/>
      <c r="J160" s="16">
        <v>2011</v>
      </c>
      <c r="K160" s="19" t="s">
        <v>27</v>
      </c>
      <c r="L160" s="3" t="s">
        <v>61</v>
      </c>
      <c r="M160" s="3" t="s">
        <v>21</v>
      </c>
      <c r="N160" s="3" t="s">
        <v>22</v>
      </c>
      <c r="O160" s="3"/>
    </row>
    <row r="161" spans="2:15" ht="15.6" customHeight="1">
      <c r="B161" s="14"/>
      <c r="C161" s="14"/>
      <c r="D161" s="26" t="s">
        <v>168</v>
      </c>
      <c r="E161" s="11">
        <v>0.88</v>
      </c>
      <c r="F161" s="12">
        <v>0.69</v>
      </c>
      <c r="G161" s="12">
        <v>1.07</v>
      </c>
      <c r="H161" s="12"/>
      <c r="I161" s="13"/>
      <c r="J161" s="16">
        <v>2008</v>
      </c>
      <c r="K161" s="19" t="s">
        <v>27</v>
      </c>
      <c r="L161" s="3" t="s">
        <v>169</v>
      </c>
      <c r="M161" s="3" t="s">
        <v>44</v>
      </c>
      <c r="N161" s="3" t="s">
        <v>98</v>
      </c>
      <c r="O161" s="3"/>
    </row>
    <row r="162" spans="2:15" ht="15.6" customHeight="1">
      <c r="B162" s="14"/>
      <c r="C162" s="14"/>
      <c r="D162" s="26" t="s">
        <v>170</v>
      </c>
      <c r="E162" s="11">
        <v>1.4</v>
      </c>
      <c r="F162" s="12">
        <v>0.9</v>
      </c>
      <c r="G162" s="12">
        <v>1.9</v>
      </c>
      <c r="H162" s="12"/>
      <c r="I162" s="13"/>
      <c r="J162" s="16" t="s">
        <v>171</v>
      </c>
      <c r="K162" s="19" t="s">
        <v>27</v>
      </c>
      <c r="L162" s="3" t="s">
        <v>172</v>
      </c>
      <c r="M162" s="3" t="s">
        <v>51</v>
      </c>
      <c r="N162" s="3" t="s">
        <v>37</v>
      </c>
      <c r="O162" s="3" t="s">
        <v>173</v>
      </c>
    </row>
    <row r="163" spans="2:15" ht="15.6" customHeight="1">
      <c r="B163" s="14"/>
      <c r="C163" s="14"/>
      <c r="D163" s="26" t="s">
        <v>170</v>
      </c>
      <c r="E163" s="11">
        <v>1.6</v>
      </c>
      <c r="F163" s="12"/>
      <c r="G163" s="12"/>
      <c r="H163" s="12"/>
      <c r="I163" s="13"/>
      <c r="J163" s="16">
        <v>2003</v>
      </c>
      <c r="K163" s="19" t="s">
        <v>27</v>
      </c>
      <c r="L163" s="3" t="s">
        <v>61</v>
      </c>
      <c r="M163" s="3"/>
      <c r="N163" s="3"/>
      <c r="O163" s="3"/>
    </row>
    <row r="164" spans="2:15" ht="15.6" customHeight="1">
      <c r="B164" s="14"/>
      <c r="C164" s="14"/>
      <c r="D164" s="26" t="s">
        <v>174</v>
      </c>
      <c r="E164" s="11">
        <v>0.94</v>
      </c>
      <c r="F164" s="12"/>
      <c r="G164" s="12"/>
      <c r="H164" s="12"/>
      <c r="I164" s="13"/>
      <c r="J164" s="16">
        <v>2005</v>
      </c>
      <c r="K164" s="19" t="s">
        <v>27</v>
      </c>
      <c r="L164" s="3" t="s">
        <v>61</v>
      </c>
      <c r="M164" s="3"/>
      <c r="N164" s="3" t="s">
        <v>33</v>
      </c>
      <c r="O164" s="3"/>
    </row>
    <row r="165" spans="2:15" ht="15.6" customHeight="1">
      <c r="B165" s="14"/>
      <c r="C165" s="14"/>
      <c r="D165" s="26" t="s">
        <v>175</v>
      </c>
      <c r="E165" s="11">
        <v>1.49</v>
      </c>
      <c r="F165" s="12"/>
      <c r="G165" s="12"/>
      <c r="H165" s="12"/>
      <c r="I165" s="13"/>
      <c r="J165" s="16">
        <v>2019</v>
      </c>
      <c r="K165" s="19" t="s">
        <v>27</v>
      </c>
      <c r="L165" s="3" t="s">
        <v>176</v>
      </c>
      <c r="M165" s="3" t="s">
        <v>21</v>
      </c>
      <c r="N165" s="3" t="s">
        <v>177</v>
      </c>
      <c r="O165" s="3"/>
    </row>
    <row r="166" spans="2:15" ht="15.6" customHeight="1">
      <c r="B166" s="14"/>
      <c r="C166" s="14"/>
      <c r="D166" s="26" t="s">
        <v>175</v>
      </c>
      <c r="E166" s="11">
        <v>1.64</v>
      </c>
      <c r="F166" s="12"/>
      <c r="G166" s="12"/>
      <c r="H166" s="12"/>
      <c r="I166" s="13"/>
      <c r="J166" s="16">
        <v>2016</v>
      </c>
      <c r="K166" s="19" t="s">
        <v>178</v>
      </c>
      <c r="L166" s="3" t="s">
        <v>24</v>
      </c>
      <c r="M166" s="3" t="s">
        <v>21</v>
      </c>
      <c r="N166" s="3"/>
      <c r="O166" s="3" t="s">
        <v>179</v>
      </c>
    </row>
    <row r="167" spans="2:15" ht="15.6" customHeight="1">
      <c r="B167" s="14"/>
      <c r="C167" s="14"/>
      <c r="D167" s="26" t="s">
        <v>175</v>
      </c>
      <c r="E167" s="11">
        <v>0.61</v>
      </c>
      <c r="F167" s="12"/>
      <c r="G167" s="12"/>
      <c r="H167" s="12"/>
      <c r="I167" s="13"/>
      <c r="J167" s="16">
        <v>2012</v>
      </c>
      <c r="K167" s="19" t="s">
        <v>178</v>
      </c>
      <c r="L167" s="3" t="s">
        <v>24</v>
      </c>
      <c r="M167" s="3" t="s">
        <v>21</v>
      </c>
      <c r="N167" s="3"/>
      <c r="O167" s="3"/>
    </row>
    <row r="168" spans="2:15" ht="15.6" customHeight="1">
      <c r="B168" s="14"/>
      <c r="C168" s="14"/>
      <c r="D168" s="26" t="s">
        <v>175</v>
      </c>
      <c r="E168" s="11">
        <v>0.74</v>
      </c>
      <c r="F168" s="12"/>
      <c r="G168" s="12"/>
      <c r="H168" s="12"/>
      <c r="I168" s="13"/>
      <c r="J168" s="16">
        <v>2008</v>
      </c>
      <c r="K168" s="19" t="s">
        <v>180</v>
      </c>
      <c r="L168" s="3" t="s">
        <v>24</v>
      </c>
      <c r="M168" s="3" t="s">
        <v>21</v>
      </c>
      <c r="N168" s="3"/>
      <c r="O168" s="3"/>
    </row>
    <row r="169" spans="2:15" ht="15.6" customHeight="1">
      <c r="B169" s="14"/>
      <c r="C169" s="14"/>
      <c r="D169" s="26" t="s">
        <v>181</v>
      </c>
      <c r="E169" s="11">
        <v>0.28999999999999998</v>
      </c>
      <c r="F169" s="12">
        <v>7.0000000000000007E-2</v>
      </c>
      <c r="G169" s="12">
        <v>0.55000000000000004</v>
      </c>
      <c r="H169" s="12"/>
      <c r="I169" s="13"/>
      <c r="J169" s="16">
        <v>2004</v>
      </c>
      <c r="K169" s="19" t="s">
        <v>27</v>
      </c>
      <c r="L169" s="3" t="s">
        <v>24</v>
      </c>
      <c r="M169" s="3" t="s">
        <v>21</v>
      </c>
      <c r="N169" s="3" t="s">
        <v>182</v>
      </c>
      <c r="O169" s="3"/>
    </row>
    <row r="170" spans="2:15" ht="15.6" customHeight="1">
      <c r="B170" s="14"/>
      <c r="C170" s="14"/>
      <c r="D170" s="26" t="s">
        <v>183</v>
      </c>
      <c r="E170" s="11">
        <v>0.81403700000000001</v>
      </c>
      <c r="F170" s="12">
        <v>0.74725299999999995</v>
      </c>
      <c r="G170" s="12">
        <v>0.88082099999999997</v>
      </c>
      <c r="H170" s="12"/>
      <c r="I170" s="13"/>
      <c r="J170" s="16" t="s">
        <v>184</v>
      </c>
      <c r="K170" s="19" t="s">
        <v>19</v>
      </c>
      <c r="L170" s="3" t="s">
        <v>185</v>
      </c>
      <c r="M170" s="3" t="s">
        <v>21</v>
      </c>
      <c r="N170" s="3" t="s">
        <v>22</v>
      </c>
      <c r="O170" s="3" t="s">
        <v>186</v>
      </c>
    </row>
    <row r="171" spans="2:15" ht="15.6" customHeight="1">
      <c r="B171" s="14"/>
      <c r="C171" s="14"/>
      <c r="D171" s="26" t="s">
        <v>187</v>
      </c>
      <c r="E171" s="11">
        <v>1.33</v>
      </c>
      <c r="F171" s="12"/>
      <c r="G171" s="12"/>
      <c r="H171" s="12">
        <v>1.81</v>
      </c>
      <c r="I171" s="13">
        <v>0.86099999999999999</v>
      </c>
      <c r="J171" s="16">
        <v>2019</v>
      </c>
      <c r="K171" s="19" t="s">
        <v>79</v>
      </c>
      <c r="L171" s="3" t="s">
        <v>36</v>
      </c>
      <c r="M171" s="3" t="s">
        <v>21</v>
      </c>
      <c r="N171" s="3"/>
      <c r="O171" s="3"/>
    </row>
    <row r="172" spans="2:15" ht="15.6" customHeight="1">
      <c r="B172" s="14"/>
      <c r="C172" s="14"/>
      <c r="D172" s="26" t="s">
        <v>187</v>
      </c>
      <c r="E172" s="11">
        <v>1.2</v>
      </c>
      <c r="F172" s="12"/>
      <c r="G172" s="12"/>
      <c r="H172" s="12"/>
      <c r="I172" s="13"/>
      <c r="J172" s="16">
        <v>2007</v>
      </c>
      <c r="K172" s="19" t="s">
        <v>79</v>
      </c>
      <c r="L172" s="3" t="s">
        <v>24</v>
      </c>
      <c r="M172" s="3" t="s">
        <v>21</v>
      </c>
      <c r="N172" s="3"/>
      <c r="O172" s="3"/>
    </row>
    <row r="173" spans="2:15" ht="15.6" customHeight="1">
      <c r="B173" s="14"/>
      <c r="C173" s="14" t="s">
        <v>188</v>
      </c>
      <c r="D173" s="26" t="s">
        <v>189</v>
      </c>
      <c r="E173" s="11">
        <v>3.8</v>
      </c>
      <c r="F173" s="12"/>
      <c r="G173" s="12"/>
      <c r="H173" s="12">
        <v>6.1</v>
      </c>
      <c r="I173" s="13">
        <v>1.5</v>
      </c>
      <c r="J173" s="16">
        <v>2015</v>
      </c>
      <c r="K173" s="19" t="s">
        <v>50</v>
      </c>
      <c r="L173" s="3" t="s">
        <v>190</v>
      </c>
      <c r="M173" s="3" t="s">
        <v>21</v>
      </c>
      <c r="N173" s="3"/>
      <c r="O173" s="3"/>
    </row>
    <row r="174" spans="2:15" ht="15.6" customHeight="1">
      <c r="B174" s="14"/>
      <c r="C174" s="14"/>
      <c r="D174" s="26" t="s">
        <v>189</v>
      </c>
      <c r="E174" s="11">
        <v>4.28</v>
      </c>
      <c r="F174" s="12">
        <v>3.37</v>
      </c>
      <c r="G174" s="12">
        <v>5.18</v>
      </c>
      <c r="H174" s="12">
        <v>8.1</v>
      </c>
      <c r="I174" s="13">
        <v>0.2</v>
      </c>
      <c r="J174" s="16">
        <v>2009</v>
      </c>
      <c r="K174" s="19" t="s">
        <v>27</v>
      </c>
      <c r="L174" s="3" t="s">
        <v>191</v>
      </c>
      <c r="M174" s="3" t="s">
        <v>21</v>
      </c>
      <c r="N174" s="3"/>
      <c r="O174" s="3"/>
    </row>
    <row r="175" spans="2:15" ht="15.6" customHeight="1">
      <c r="B175" s="14"/>
      <c r="C175" s="14"/>
      <c r="D175" s="26" t="s">
        <v>189</v>
      </c>
      <c r="E175" s="11">
        <v>3.59</v>
      </c>
      <c r="F175" s="12"/>
      <c r="G175" s="12"/>
      <c r="H175" s="12"/>
      <c r="I175" s="13"/>
      <c r="J175" s="16">
        <v>2005</v>
      </c>
      <c r="K175" s="19" t="s">
        <v>27</v>
      </c>
      <c r="L175" s="3" t="s">
        <v>192</v>
      </c>
      <c r="M175" s="3"/>
      <c r="N175" s="3"/>
      <c r="O175" s="3"/>
    </row>
    <row r="176" spans="2:15" ht="15.6" customHeight="1">
      <c r="B176" s="14"/>
      <c r="C176" s="14"/>
      <c r="D176" s="26" t="s">
        <v>193</v>
      </c>
      <c r="E176" s="11">
        <v>0.57999999999999996</v>
      </c>
      <c r="F176" s="12"/>
      <c r="G176" s="12"/>
      <c r="H176" s="12"/>
      <c r="I176" s="13"/>
      <c r="J176" s="16">
        <v>2015</v>
      </c>
      <c r="K176" s="19" t="s">
        <v>27</v>
      </c>
      <c r="L176" s="3" t="s">
        <v>97</v>
      </c>
      <c r="M176" s="3" t="s">
        <v>21</v>
      </c>
      <c r="N176" s="3"/>
      <c r="O176" s="3" t="s">
        <v>194</v>
      </c>
    </row>
    <row r="177" spans="2:15" ht="15.6" customHeight="1">
      <c r="B177" s="14"/>
      <c r="C177" s="14"/>
      <c r="D177" s="26" t="s">
        <v>193</v>
      </c>
      <c r="E177" s="11">
        <v>0.61</v>
      </c>
      <c r="F177" s="12">
        <v>0.54</v>
      </c>
      <c r="G177" s="12">
        <v>0.7</v>
      </c>
      <c r="H177" s="12"/>
      <c r="I177" s="13"/>
      <c r="J177" s="16">
        <v>2013</v>
      </c>
      <c r="K177" s="19" t="s">
        <v>195</v>
      </c>
      <c r="L177" s="3" t="s">
        <v>196</v>
      </c>
      <c r="M177" s="3" t="s">
        <v>197</v>
      </c>
      <c r="N177" s="3" t="s">
        <v>37</v>
      </c>
      <c r="O177" s="3" t="s">
        <v>198</v>
      </c>
    </row>
    <row r="178" spans="2:15" ht="15.6" customHeight="1">
      <c r="B178" s="14"/>
      <c r="C178" s="14"/>
      <c r="D178" s="26" t="s">
        <v>193</v>
      </c>
      <c r="E178" s="11">
        <v>0.17</v>
      </c>
      <c r="F178" s="12"/>
      <c r="G178" s="12"/>
      <c r="H178" s="12"/>
      <c r="I178" s="13"/>
      <c r="J178" s="16">
        <v>2011</v>
      </c>
      <c r="K178" s="19" t="s">
        <v>27</v>
      </c>
      <c r="L178" s="3" t="s">
        <v>36</v>
      </c>
      <c r="M178" s="3"/>
      <c r="N178" s="3"/>
      <c r="O178" s="3" t="s">
        <v>199</v>
      </c>
    </row>
    <row r="179" spans="2:15" ht="15.6" customHeight="1">
      <c r="B179" s="14"/>
      <c r="C179" s="14"/>
      <c r="D179" s="26" t="s">
        <v>200</v>
      </c>
      <c r="E179" s="11">
        <v>14</v>
      </c>
      <c r="F179" s="12"/>
      <c r="G179" s="12"/>
      <c r="H179" s="12">
        <v>15.3</v>
      </c>
      <c r="I179" s="13">
        <v>12.3</v>
      </c>
      <c r="J179" s="16">
        <v>2020</v>
      </c>
      <c r="K179" s="19" t="s">
        <v>201</v>
      </c>
      <c r="L179" s="3" t="s">
        <v>24</v>
      </c>
      <c r="M179" s="3" t="s">
        <v>21</v>
      </c>
      <c r="N179" s="3"/>
      <c r="O179" s="3"/>
    </row>
    <row r="180" spans="2:15" ht="15.6" customHeight="1">
      <c r="B180" s="14"/>
      <c r="C180" s="14"/>
      <c r="D180" s="26" t="s">
        <v>200</v>
      </c>
      <c r="E180" s="11">
        <v>27</v>
      </c>
      <c r="F180" s="12"/>
      <c r="G180" s="12"/>
      <c r="H180" s="12">
        <v>32.200000000000003</v>
      </c>
      <c r="I180" s="13">
        <v>21.8</v>
      </c>
      <c r="J180" s="16">
        <v>2016</v>
      </c>
      <c r="K180" s="19" t="s">
        <v>202</v>
      </c>
      <c r="L180" s="3" t="s">
        <v>24</v>
      </c>
      <c r="M180" s="3" t="s">
        <v>21</v>
      </c>
      <c r="N180" s="3"/>
      <c r="O180" s="3"/>
    </row>
    <row r="181" spans="2:15" ht="15.6" customHeight="1">
      <c r="B181" s="14"/>
      <c r="C181" s="14"/>
      <c r="D181" s="26" t="s">
        <v>200</v>
      </c>
      <c r="E181" s="11">
        <v>8.8800000000000008</v>
      </c>
      <c r="F181" s="12">
        <v>8.9</v>
      </c>
      <c r="G181" s="12">
        <v>8.9</v>
      </c>
      <c r="H181" s="12">
        <v>12.3</v>
      </c>
      <c r="I181" s="13">
        <v>5.5</v>
      </c>
      <c r="J181" s="16">
        <v>2009</v>
      </c>
      <c r="K181" s="19" t="s">
        <v>203</v>
      </c>
      <c r="L181" s="3" t="s">
        <v>24</v>
      </c>
      <c r="M181" s="3" t="s">
        <v>21</v>
      </c>
      <c r="N181" s="3"/>
      <c r="O181" s="3"/>
    </row>
    <row r="182" spans="2:15" ht="15.6" customHeight="1">
      <c r="B182" s="14"/>
      <c r="C182" s="14"/>
      <c r="D182" s="26" t="s">
        <v>200</v>
      </c>
      <c r="E182" s="11">
        <v>8.5</v>
      </c>
      <c r="F182" s="12"/>
      <c r="G182" s="12"/>
      <c r="H182" s="12"/>
      <c r="I182" s="13"/>
      <c r="J182" s="16">
        <v>2005</v>
      </c>
      <c r="K182" s="19" t="s">
        <v>203</v>
      </c>
      <c r="L182" s="3" t="s">
        <v>38</v>
      </c>
      <c r="M182" s="3"/>
      <c r="N182" s="3"/>
      <c r="O182" s="3"/>
    </row>
    <row r="183" spans="2:15" ht="15.6" customHeight="1">
      <c r="B183" s="14"/>
      <c r="C183" s="14"/>
      <c r="D183" s="26" t="s">
        <v>204</v>
      </c>
      <c r="E183" s="11">
        <v>3.1</v>
      </c>
      <c r="F183" s="12"/>
      <c r="G183" s="12"/>
      <c r="H183" s="12"/>
      <c r="I183" s="13"/>
      <c r="J183" s="16">
        <v>2005</v>
      </c>
      <c r="K183" s="19" t="s">
        <v>27</v>
      </c>
      <c r="L183" s="3" t="s">
        <v>61</v>
      </c>
      <c r="M183" s="3"/>
      <c r="N183" s="3"/>
      <c r="O183" s="3"/>
    </row>
    <row r="184" spans="2:15" ht="15.6" customHeight="1">
      <c r="B184" s="14"/>
      <c r="C184" s="14"/>
      <c r="D184" s="26" t="s">
        <v>205</v>
      </c>
      <c r="E184" s="11">
        <v>2</v>
      </c>
      <c r="F184" s="12">
        <v>0.5</v>
      </c>
      <c r="G184" s="12">
        <v>3.5</v>
      </c>
      <c r="H184" s="12"/>
      <c r="I184" s="13"/>
      <c r="J184" s="16">
        <v>2009</v>
      </c>
      <c r="K184" s="19" t="s">
        <v>27</v>
      </c>
      <c r="L184" s="3" t="s">
        <v>206</v>
      </c>
      <c r="M184" s="3" t="s">
        <v>44</v>
      </c>
      <c r="N184" s="3" t="s">
        <v>33</v>
      </c>
      <c r="O184" s="3"/>
    </row>
    <row r="185" spans="2:15" ht="15.6" customHeight="1">
      <c r="B185" s="14"/>
      <c r="C185" s="14"/>
      <c r="D185" s="26" t="s">
        <v>205</v>
      </c>
      <c r="E185" s="11">
        <v>6.4</v>
      </c>
      <c r="F185" s="12"/>
      <c r="G185" s="12"/>
      <c r="H185" s="12"/>
      <c r="I185" s="13"/>
      <c r="J185" s="16">
        <v>2001</v>
      </c>
      <c r="K185" s="19" t="s">
        <v>27</v>
      </c>
      <c r="L185" s="3" t="s">
        <v>38</v>
      </c>
      <c r="M185" s="3"/>
      <c r="N185" s="3" t="s">
        <v>207</v>
      </c>
      <c r="O185" s="3"/>
    </row>
    <row r="186" spans="2:15" ht="15.6" customHeight="1">
      <c r="B186" s="14"/>
      <c r="C186" s="14"/>
      <c r="D186" s="26" t="s">
        <v>208</v>
      </c>
      <c r="E186" s="11">
        <v>3.6</v>
      </c>
      <c r="F186" s="12">
        <v>3.1</v>
      </c>
      <c r="G186" s="12">
        <v>4</v>
      </c>
      <c r="H186" s="12">
        <v>6.7</v>
      </c>
      <c r="I186" s="13">
        <v>0.2</v>
      </c>
      <c r="J186" s="16">
        <v>2012</v>
      </c>
      <c r="K186" s="19" t="s">
        <v>27</v>
      </c>
      <c r="L186" s="3" t="s">
        <v>69</v>
      </c>
      <c r="M186" s="3"/>
      <c r="N186" s="3"/>
      <c r="O186" s="3"/>
    </row>
    <row r="187" spans="2:15" ht="15.6" customHeight="1">
      <c r="B187" s="14"/>
      <c r="C187" s="14"/>
      <c r="D187" s="26" t="s">
        <v>208</v>
      </c>
      <c r="E187" s="11">
        <v>3.9</v>
      </c>
      <c r="F187" s="12"/>
      <c r="G187" s="12"/>
      <c r="H187" s="12"/>
      <c r="I187" s="13"/>
      <c r="J187" s="16">
        <v>2000</v>
      </c>
      <c r="K187" s="19" t="s">
        <v>27</v>
      </c>
      <c r="L187" s="3" t="s">
        <v>209</v>
      </c>
      <c r="M187" s="3"/>
      <c r="N187" s="3"/>
      <c r="O187" s="3"/>
    </row>
    <row r="188" spans="2:15" ht="15.6" customHeight="1">
      <c r="B188" s="14"/>
      <c r="C188" s="14"/>
      <c r="D188" s="26" t="s">
        <v>210</v>
      </c>
      <c r="E188" s="11">
        <v>0.3</v>
      </c>
      <c r="F188" s="12"/>
      <c r="G188" s="12"/>
      <c r="H188" s="12"/>
      <c r="I188" s="13"/>
      <c r="J188" s="16">
        <v>2006</v>
      </c>
      <c r="K188" s="19" t="s">
        <v>27</v>
      </c>
      <c r="L188" s="3" t="s">
        <v>146</v>
      </c>
      <c r="M188" s="3" t="s">
        <v>211</v>
      </c>
      <c r="N188" s="3"/>
      <c r="O188" s="3"/>
    </row>
    <row r="189" spans="2:15" ht="15.6" customHeight="1">
      <c r="B189" s="14"/>
      <c r="C189" s="14"/>
      <c r="D189" s="26" t="s">
        <v>212</v>
      </c>
      <c r="E189" s="11">
        <v>5.35</v>
      </c>
      <c r="F189" s="12"/>
      <c r="G189" s="12"/>
      <c r="H189" s="12"/>
      <c r="I189" s="13"/>
      <c r="J189" s="16">
        <v>2006</v>
      </c>
      <c r="K189" s="19" t="s">
        <v>27</v>
      </c>
      <c r="L189" s="3" t="s">
        <v>61</v>
      </c>
      <c r="M189" s="3"/>
      <c r="N189" s="3"/>
      <c r="O189" s="3"/>
    </row>
    <row r="190" spans="2:15" ht="15.6" customHeight="1">
      <c r="B190" s="14"/>
      <c r="C190" s="14" t="s">
        <v>213</v>
      </c>
      <c r="D190" s="26" t="s">
        <v>214</v>
      </c>
      <c r="E190" s="11">
        <v>3.1</v>
      </c>
      <c r="F190" s="12">
        <v>1.2383</v>
      </c>
      <c r="G190" s="12">
        <v>4.9531999999999998</v>
      </c>
      <c r="H190" s="12"/>
      <c r="I190" s="13"/>
      <c r="J190" s="16">
        <v>2018</v>
      </c>
      <c r="K190" s="19" t="s">
        <v>215</v>
      </c>
      <c r="L190" s="3" t="s">
        <v>97</v>
      </c>
      <c r="M190" s="3" t="s">
        <v>21</v>
      </c>
      <c r="N190" s="3" t="s">
        <v>22</v>
      </c>
      <c r="O190" s="3"/>
    </row>
    <row r="191" spans="2:15" ht="15.6" customHeight="1">
      <c r="B191" s="14"/>
      <c r="C191" s="14"/>
      <c r="D191" s="26" t="s">
        <v>214</v>
      </c>
      <c r="E191" s="11">
        <v>3.3</v>
      </c>
      <c r="F191" s="12"/>
      <c r="G191" s="12"/>
      <c r="H191" s="12"/>
      <c r="I191" s="13"/>
      <c r="J191" s="16">
        <v>2004</v>
      </c>
      <c r="K191" s="19" t="s">
        <v>35</v>
      </c>
      <c r="L191" s="3" t="s">
        <v>216</v>
      </c>
      <c r="M191" s="3" t="s">
        <v>21</v>
      </c>
      <c r="N191" s="3" t="s">
        <v>217</v>
      </c>
      <c r="O191" s="3"/>
    </row>
    <row r="192" spans="2:15" ht="15.6" customHeight="1">
      <c r="B192" s="14"/>
      <c r="C192" s="14"/>
      <c r="D192" s="26" t="s">
        <v>218</v>
      </c>
      <c r="E192" s="11">
        <v>4.2</v>
      </c>
      <c r="F192" s="12">
        <v>1.8</v>
      </c>
      <c r="G192" s="12">
        <v>6.5</v>
      </c>
      <c r="H192" s="12"/>
      <c r="I192" s="13"/>
      <c r="J192" s="16">
        <v>2009</v>
      </c>
      <c r="K192" s="19" t="s">
        <v>27</v>
      </c>
      <c r="L192" s="3" t="s">
        <v>61</v>
      </c>
      <c r="M192" s="3"/>
      <c r="N192" s="3"/>
      <c r="O192" s="3"/>
    </row>
    <row r="193" spans="2:15" ht="15.6" customHeight="1">
      <c r="B193" s="14"/>
      <c r="C193" s="14"/>
      <c r="D193" s="26" t="s">
        <v>219</v>
      </c>
      <c r="E193" s="11">
        <v>2.83</v>
      </c>
      <c r="F193" s="12"/>
      <c r="G193" s="12"/>
      <c r="H193" s="12">
        <v>5.05</v>
      </c>
      <c r="I193" s="13">
        <v>0.6</v>
      </c>
      <c r="J193" s="16">
        <v>2018</v>
      </c>
      <c r="K193" s="19" t="s">
        <v>220</v>
      </c>
      <c r="L193" s="3" t="s">
        <v>36</v>
      </c>
      <c r="M193" s="3" t="s">
        <v>21</v>
      </c>
      <c r="N193" s="3"/>
      <c r="O193" s="3" t="s">
        <v>221</v>
      </c>
    </row>
    <row r="194" spans="2:15" ht="15.6" customHeight="1">
      <c r="B194" s="14"/>
      <c r="C194" s="14"/>
      <c r="D194" s="26" t="s">
        <v>222</v>
      </c>
      <c r="E194" s="11">
        <v>2.5499999999999998</v>
      </c>
      <c r="F194" s="12"/>
      <c r="G194" s="12"/>
      <c r="H194" s="12"/>
      <c r="I194" s="13"/>
      <c r="J194" s="16">
        <v>2012</v>
      </c>
      <c r="K194" s="19" t="s">
        <v>27</v>
      </c>
      <c r="L194" s="3" t="s">
        <v>36</v>
      </c>
      <c r="M194" s="3"/>
      <c r="N194" s="3"/>
      <c r="O194" s="3"/>
    </row>
    <row r="195" spans="2:15" ht="15.6" customHeight="1">
      <c r="B195" s="14"/>
      <c r="C195" s="14"/>
      <c r="D195" s="26" t="s">
        <v>223</v>
      </c>
      <c r="E195" s="11">
        <v>0.70899999999999996</v>
      </c>
      <c r="F195" s="12"/>
      <c r="G195" s="12"/>
      <c r="H195" s="12"/>
      <c r="I195" s="13"/>
      <c r="J195" s="16">
        <v>2019</v>
      </c>
      <c r="K195" s="19" t="s">
        <v>224</v>
      </c>
      <c r="L195" s="3" t="s">
        <v>97</v>
      </c>
      <c r="M195" s="3" t="s">
        <v>21</v>
      </c>
      <c r="N195" s="3" t="s">
        <v>22</v>
      </c>
      <c r="O195" s="3"/>
    </row>
    <row r="196" spans="2:15" ht="15.6" customHeight="1">
      <c r="B196" s="14"/>
      <c r="C196" s="14"/>
      <c r="D196" s="26" t="s">
        <v>225</v>
      </c>
      <c r="E196" s="11">
        <v>1.98</v>
      </c>
      <c r="F196" s="12"/>
      <c r="G196" s="12"/>
      <c r="H196" s="12">
        <v>4.07</v>
      </c>
      <c r="I196" s="13">
        <v>0.02</v>
      </c>
      <c r="J196" s="16">
        <v>2019</v>
      </c>
      <c r="K196" s="19" t="s">
        <v>226</v>
      </c>
      <c r="L196" s="3" t="s">
        <v>227</v>
      </c>
      <c r="M196" s="3" t="s">
        <v>21</v>
      </c>
      <c r="N196" s="3"/>
      <c r="O196" s="3" t="s">
        <v>85</v>
      </c>
    </row>
    <row r="197" spans="2:15" ht="15.6" customHeight="1">
      <c r="B197" s="14"/>
      <c r="C197" s="14"/>
      <c r="D197" s="26" t="s">
        <v>225</v>
      </c>
      <c r="E197" s="11">
        <v>1.9</v>
      </c>
      <c r="F197" s="12"/>
      <c r="G197" s="12"/>
      <c r="H197" s="12"/>
      <c r="I197" s="13"/>
      <c r="J197" s="16">
        <v>2018</v>
      </c>
      <c r="K197" s="19" t="s">
        <v>226</v>
      </c>
      <c r="L197" s="3" t="s">
        <v>36</v>
      </c>
      <c r="M197" s="3" t="s">
        <v>21</v>
      </c>
      <c r="N197" s="3"/>
      <c r="O197" s="3"/>
    </row>
    <row r="198" spans="2:15" ht="15.6" customHeight="1">
      <c r="B198" s="14"/>
      <c r="C198" s="14"/>
      <c r="D198" s="26" t="s">
        <v>225</v>
      </c>
      <c r="E198" s="11">
        <v>1.42</v>
      </c>
      <c r="F198" s="12">
        <v>1.26</v>
      </c>
      <c r="G198" s="12">
        <v>1.58</v>
      </c>
      <c r="H198" s="12"/>
      <c r="I198" s="13"/>
      <c r="J198" s="16">
        <v>2016</v>
      </c>
      <c r="K198" s="19" t="s">
        <v>27</v>
      </c>
      <c r="L198" s="3" t="s">
        <v>36</v>
      </c>
      <c r="M198" s="3" t="s">
        <v>228</v>
      </c>
      <c r="N198" s="3" t="s">
        <v>229</v>
      </c>
      <c r="O198" s="3"/>
    </row>
    <row r="199" spans="2:15" ht="15.6" customHeight="1">
      <c r="B199" s="14"/>
      <c r="C199" s="14"/>
      <c r="D199" s="26" t="s">
        <v>225</v>
      </c>
      <c r="E199" s="11">
        <v>1.31</v>
      </c>
      <c r="F199" s="12"/>
      <c r="G199" s="12"/>
      <c r="H199" s="12"/>
      <c r="I199" s="13"/>
      <c r="J199" s="16">
        <v>2012</v>
      </c>
      <c r="K199" s="19" t="s">
        <v>27</v>
      </c>
      <c r="L199" s="3" t="s">
        <v>24</v>
      </c>
      <c r="M199" s="3" t="s">
        <v>21</v>
      </c>
      <c r="N199" s="3"/>
      <c r="O199" s="3"/>
    </row>
    <row r="200" spans="2:15" ht="15.6" customHeight="1">
      <c r="B200" s="14"/>
      <c r="C200" s="14"/>
      <c r="D200" s="26" t="s">
        <v>225</v>
      </c>
      <c r="E200" s="11">
        <v>1.43</v>
      </c>
      <c r="F200" s="12">
        <v>1.43</v>
      </c>
      <c r="G200" s="12">
        <v>1.43</v>
      </c>
      <c r="H200" s="12"/>
      <c r="I200" s="13"/>
      <c r="J200" s="16">
        <v>2010</v>
      </c>
      <c r="K200" s="19" t="s">
        <v>27</v>
      </c>
      <c r="L200" s="3" t="s">
        <v>61</v>
      </c>
      <c r="M200" s="3"/>
      <c r="N200" s="3" t="s">
        <v>230</v>
      </c>
      <c r="O200" s="3"/>
    </row>
    <row r="201" spans="2:15" ht="15.6" customHeight="1">
      <c r="B201" s="14" t="s">
        <v>231</v>
      </c>
      <c r="C201" s="14" t="s">
        <v>232</v>
      </c>
      <c r="D201" s="26" t="s">
        <v>233</v>
      </c>
      <c r="E201" s="11">
        <v>1.07</v>
      </c>
      <c r="F201" s="12">
        <v>0.9</v>
      </c>
      <c r="G201" s="12">
        <v>1.3</v>
      </c>
      <c r="H201" s="12"/>
      <c r="I201" s="13"/>
      <c r="J201" s="16">
        <v>2007</v>
      </c>
      <c r="K201" s="19" t="s">
        <v>27</v>
      </c>
      <c r="L201" s="3" t="s">
        <v>234</v>
      </c>
      <c r="M201" s="3" t="s">
        <v>44</v>
      </c>
      <c r="N201" s="3" t="s">
        <v>235</v>
      </c>
      <c r="O201" s="3"/>
    </row>
    <row r="202" spans="2:15" ht="15.6" customHeight="1">
      <c r="B202" s="14"/>
      <c r="C202" s="14"/>
      <c r="D202" s="26" t="s">
        <v>236</v>
      </c>
      <c r="E202" s="11">
        <v>0.7</v>
      </c>
      <c r="F202" s="12"/>
      <c r="G202" s="12"/>
      <c r="H202" s="12"/>
      <c r="I202" s="13"/>
      <c r="J202" s="16">
        <v>2010</v>
      </c>
      <c r="K202" s="19" t="s">
        <v>27</v>
      </c>
      <c r="L202" s="3" t="s">
        <v>36</v>
      </c>
      <c r="M202" s="3" t="s">
        <v>21</v>
      </c>
      <c r="N202" s="3"/>
      <c r="O202" s="3"/>
    </row>
    <row r="203" spans="2:15" ht="15.6" customHeight="1">
      <c r="B203" s="14"/>
      <c r="C203" s="14"/>
      <c r="D203" s="26" t="s">
        <v>236</v>
      </c>
      <c r="E203" s="11">
        <v>0.9</v>
      </c>
      <c r="F203" s="12"/>
      <c r="G203" s="12"/>
      <c r="H203" s="12"/>
      <c r="I203" s="13"/>
      <c r="J203" s="16">
        <v>2008</v>
      </c>
      <c r="K203" s="19" t="s">
        <v>27</v>
      </c>
      <c r="L203" s="3" t="s">
        <v>125</v>
      </c>
      <c r="M203" s="3" t="s">
        <v>51</v>
      </c>
      <c r="N203" s="3"/>
      <c r="O203" s="3"/>
    </row>
    <row r="204" spans="2:15" ht="15.6" customHeight="1">
      <c r="B204" s="14"/>
      <c r="C204" s="14"/>
      <c r="D204" s="26" t="s">
        <v>237</v>
      </c>
      <c r="E204" s="11">
        <v>3.49</v>
      </c>
      <c r="F204" s="12">
        <v>3.46</v>
      </c>
      <c r="G204" s="12">
        <v>3.51</v>
      </c>
      <c r="H204" s="12"/>
      <c r="I204" s="13"/>
      <c r="J204" s="16">
        <v>2007</v>
      </c>
      <c r="K204" s="19" t="s">
        <v>27</v>
      </c>
      <c r="L204" s="3" t="s">
        <v>238</v>
      </c>
      <c r="M204" s="3" t="s">
        <v>44</v>
      </c>
      <c r="N204" s="3" t="s">
        <v>33</v>
      </c>
      <c r="O204" s="3" t="s">
        <v>239</v>
      </c>
    </row>
    <row r="205" spans="2:15" ht="15.6" customHeight="1">
      <c r="B205" s="14"/>
      <c r="C205" s="14"/>
      <c r="D205" s="26" t="s">
        <v>240</v>
      </c>
      <c r="E205" s="11">
        <v>2.13</v>
      </c>
      <c r="F205" s="12">
        <v>1.29</v>
      </c>
      <c r="G205" s="12">
        <v>2.98</v>
      </c>
      <c r="H205" s="12"/>
      <c r="I205" s="13"/>
      <c r="J205" s="16">
        <v>2015</v>
      </c>
      <c r="K205" s="19" t="s">
        <v>27</v>
      </c>
      <c r="L205" s="3" t="s">
        <v>238</v>
      </c>
      <c r="M205" s="3" t="s">
        <v>44</v>
      </c>
      <c r="N205" s="3" t="s">
        <v>33</v>
      </c>
      <c r="O205" s="3"/>
    </row>
    <row r="206" spans="2:15" ht="15.6" customHeight="1">
      <c r="B206" s="14"/>
      <c r="C206" s="14"/>
      <c r="D206" s="26" t="s">
        <v>240</v>
      </c>
      <c r="E206" s="11">
        <v>2.9</v>
      </c>
      <c r="F206" s="12">
        <v>1.2</v>
      </c>
      <c r="G206" s="12">
        <v>4.5999999999999996</v>
      </c>
      <c r="H206" s="12"/>
      <c r="I206" s="13"/>
      <c r="J206" s="16">
        <v>2011</v>
      </c>
      <c r="K206" s="19" t="s">
        <v>27</v>
      </c>
      <c r="L206" s="3" t="s">
        <v>61</v>
      </c>
      <c r="M206" s="3" t="s">
        <v>44</v>
      </c>
      <c r="N206" s="3" t="s">
        <v>45</v>
      </c>
      <c r="O206" s="3"/>
    </row>
    <row r="207" spans="2:15" ht="15.6" customHeight="1">
      <c r="B207" s="14"/>
      <c r="C207" s="14"/>
      <c r="D207" s="26" t="s">
        <v>240</v>
      </c>
      <c r="E207" s="11">
        <v>2.5</v>
      </c>
      <c r="F207" s="12">
        <v>2.4</v>
      </c>
      <c r="G207" s="12">
        <v>2.59</v>
      </c>
      <c r="H207" s="12"/>
      <c r="I207" s="13"/>
      <c r="J207" s="16">
        <v>2007</v>
      </c>
      <c r="K207" s="19" t="s">
        <v>27</v>
      </c>
      <c r="L207" s="3" t="s">
        <v>241</v>
      </c>
      <c r="M207" s="3" t="s">
        <v>74</v>
      </c>
      <c r="N207" s="3" t="s">
        <v>75</v>
      </c>
      <c r="O207" s="3"/>
    </row>
    <row r="208" spans="2:15" ht="15.6" customHeight="1">
      <c r="B208" s="14"/>
      <c r="C208" s="14" t="s">
        <v>242</v>
      </c>
      <c r="D208" s="26" t="s">
        <v>243</v>
      </c>
      <c r="E208" s="11">
        <v>5.6</v>
      </c>
      <c r="F208" s="12"/>
      <c r="G208" s="12"/>
      <c r="H208" s="12"/>
      <c r="I208" s="13"/>
      <c r="J208" s="16">
        <v>2014</v>
      </c>
      <c r="K208" s="19" t="s">
        <v>27</v>
      </c>
      <c r="L208" s="3"/>
      <c r="M208" s="3" t="s">
        <v>21</v>
      </c>
      <c r="N208" s="3"/>
      <c r="O208" s="3" t="s">
        <v>244</v>
      </c>
    </row>
    <row r="209" spans="2:15" ht="15.6" customHeight="1">
      <c r="B209" s="14"/>
      <c r="C209" s="14"/>
      <c r="D209" s="26" t="s">
        <v>243</v>
      </c>
      <c r="E209" s="11">
        <v>5.6</v>
      </c>
      <c r="F209" s="12"/>
      <c r="G209" s="12"/>
      <c r="H209" s="12">
        <v>10.199999999999999</v>
      </c>
      <c r="I209" s="13">
        <v>1</v>
      </c>
      <c r="J209" s="16">
        <v>2014</v>
      </c>
      <c r="K209" s="19" t="s">
        <v>27</v>
      </c>
      <c r="L209" s="3" t="s">
        <v>24</v>
      </c>
      <c r="M209" s="3" t="s">
        <v>21</v>
      </c>
      <c r="N209" s="3"/>
      <c r="O209" s="3" t="s">
        <v>85</v>
      </c>
    </row>
    <row r="210" spans="2:15" ht="15.6" customHeight="1">
      <c r="B210" s="14"/>
      <c r="C210" s="14"/>
      <c r="D210" s="26" t="s">
        <v>243</v>
      </c>
      <c r="E210" s="11">
        <v>1.8</v>
      </c>
      <c r="F210" s="12"/>
      <c r="G210" s="12"/>
      <c r="H210" s="12"/>
      <c r="I210" s="13"/>
      <c r="J210" s="16">
        <v>2006</v>
      </c>
      <c r="K210" s="19" t="s">
        <v>27</v>
      </c>
      <c r="L210" s="3" t="s">
        <v>36</v>
      </c>
      <c r="M210" s="3" t="s">
        <v>44</v>
      </c>
      <c r="N210" s="3" t="s">
        <v>33</v>
      </c>
      <c r="O210" s="3"/>
    </row>
    <row r="211" spans="2:15" ht="15.6" customHeight="1">
      <c r="B211" s="14"/>
      <c r="C211" s="14"/>
      <c r="D211" s="26" t="s">
        <v>245</v>
      </c>
      <c r="E211" s="11">
        <v>1.6</v>
      </c>
      <c r="F211" s="12">
        <v>0.32</v>
      </c>
      <c r="G211" s="12">
        <v>2.89</v>
      </c>
      <c r="H211" s="12"/>
      <c r="I211" s="13"/>
      <c r="J211" s="16">
        <v>2011</v>
      </c>
      <c r="K211" s="19" t="s">
        <v>27</v>
      </c>
      <c r="L211" s="3" t="s">
        <v>234</v>
      </c>
      <c r="M211" s="3" t="s">
        <v>44</v>
      </c>
      <c r="N211" s="3" t="s">
        <v>45</v>
      </c>
      <c r="O211" s="3"/>
    </row>
    <row r="212" spans="2:15" ht="15.6" customHeight="1">
      <c r="B212" s="14"/>
      <c r="C212" s="14"/>
      <c r="D212" s="26" t="s">
        <v>245</v>
      </c>
      <c r="E212" s="11">
        <v>2.8</v>
      </c>
      <c r="F212" s="12">
        <v>2.75</v>
      </c>
      <c r="G212" s="12">
        <v>4.63</v>
      </c>
      <c r="H212" s="12"/>
      <c r="I212" s="13"/>
      <c r="J212" s="16">
        <v>2007</v>
      </c>
      <c r="K212" s="19" t="s">
        <v>27</v>
      </c>
      <c r="L212" s="3" t="s">
        <v>241</v>
      </c>
      <c r="M212" s="3" t="s">
        <v>74</v>
      </c>
      <c r="N212" s="3" t="s">
        <v>246</v>
      </c>
      <c r="O212" s="3"/>
    </row>
    <row r="213" spans="2:15" ht="15.6" customHeight="1">
      <c r="B213" s="14"/>
      <c r="C213" s="14"/>
      <c r="D213" s="26" t="s">
        <v>247</v>
      </c>
      <c r="E213" s="11">
        <v>2.4</v>
      </c>
      <c r="F213" s="12"/>
      <c r="G213" s="12"/>
      <c r="H213" s="12">
        <v>2.6</v>
      </c>
      <c r="I213" s="13">
        <v>2.2000000000000002</v>
      </c>
      <c r="J213" s="16">
        <v>2020</v>
      </c>
      <c r="K213" s="19" t="s">
        <v>27</v>
      </c>
      <c r="L213" s="3" t="s">
        <v>24</v>
      </c>
      <c r="M213" s="3" t="s">
        <v>21</v>
      </c>
      <c r="N213" s="3"/>
      <c r="O213" s="3"/>
    </row>
    <row r="214" spans="2:15" ht="15.6" customHeight="1">
      <c r="B214" s="14"/>
      <c r="C214" s="14"/>
      <c r="D214" s="26" t="s">
        <v>247</v>
      </c>
      <c r="E214" s="11">
        <v>4.2</v>
      </c>
      <c r="F214" s="12"/>
      <c r="G214" s="12"/>
      <c r="H214" s="12">
        <v>5.9</v>
      </c>
      <c r="I214" s="13">
        <v>2.2999999999999998</v>
      </c>
      <c r="J214" s="16">
        <v>2016</v>
      </c>
      <c r="K214" s="19" t="s">
        <v>27</v>
      </c>
      <c r="L214" s="3" t="s">
        <v>24</v>
      </c>
      <c r="M214" s="3" t="s">
        <v>21</v>
      </c>
      <c r="N214" s="3"/>
      <c r="O214" s="3"/>
    </row>
    <row r="215" spans="2:15" ht="15.6" customHeight="1">
      <c r="B215" s="14"/>
      <c r="C215" s="14"/>
      <c r="D215" s="26" t="s">
        <v>247</v>
      </c>
      <c r="E215" s="11">
        <v>3.5</v>
      </c>
      <c r="F215" s="12"/>
      <c r="G215" s="12"/>
      <c r="H215" s="12">
        <v>5.0999999999999996</v>
      </c>
      <c r="I215" s="13">
        <v>1.9</v>
      </c>
      <c r="J215" s="16">
        <v>2012</v>
      </c>
      <c r="K215" s="19" t="s">
        <v>27</v>
      </c>
      <c r="L215" s="3" t="s">
        <v>24</v>
      </c>
      <c r="M215" s="3" t="s">
        <v>21</v>
      </c>
      <c r="N215" s="3"/>
      <c r="O215" s="3"/>
    </row>
    <row r="216" spans="2:15" ht="15.6" customHeight="1">
      <c r="B216" s="14"/>
      <c r="C216" s="14"/>
      <c r="D216" s="26" t="s">
        <v>247</v>
      </c>
      <c r="E216" s="11">
        <v>2.5</v>
      </c>
      <c r="F216" s="12"/>
      <c r="G216" s="12"/>
      <c r="H216" s="12"/>
      <c r="I216" s="13"/>
      <c r="J216" s="16">
        <v>2008</v>
      </c>
      <c r="K216" s="19" t="s">
        <v>27</v>
      </c>
      <c r="L216" s="3" t="s">
        <v>24</v>
      </c>
      <c r="M216" s="3" t="s">
        <v>21</v>
      </c>
      <c r="N216" s="3"/>
      <c r="O216" s="3"/>
    </row>
    <row r="217" spans="2:15" ht="15.6" customHeight="1">
      <c r="B217" s="14"/>
      <c r="C217" s="14"/>
      <c r="D217" s="26" t="s">
        <v>247</v>
      </c>
      <c r="E217" s="11">
        <v>2.2000000000000002</v>
      </c>
      <c r="F217" s="12"/>
      <c r="G217" s="12"/>
      <c r="H217" s="12"/>
      <c r="I217" s="13"/>
      <c r="J217" s="16">
        <v>2007</v>
      </c>
      <c r="K217" s="19" t="s">
        <v>27</v>
      </c>
      <c r="L217" s="3" t="s">
        <v>38</v>
      </c>
      <c r="M217" s="3" t="s">
        <v>51</v>
      </c>
      <c r="N217" s="3" t="s">
        <v>246</v>
      </c>
      <c r="O217" s="3"/>
    </row>
    <row r="218" spans="2:15" ht="15.6" customHeight="1">
      <c r="B218" s="14"/>
      <c r="C218" s="14"/>
      <c r="D218" s="26" t="s">
        <v>248</v>
      </c>
      <c r="E218" s="11">
        <v>10.199999999999999</v>
      </c>
      <c r="F218" s="12"/>
      <c r="G218" s="12"/>
      <c r="H218" s="12">
        <v>14.2</v>
      </c>
      <c r="I218" s="13">
        <v>6.2</v>
      </c>
      <c r="J218" s="16">
        <v>2019</v>
      </c>
      <c r="K218" s="19" t="s">
        <v>27</v>
      </c>
      <c r="L218" s="3" t="s">
        <v>24</v>
      </c>
      <c r="M218" s="3" t="s">
        <v>21</v>
      </c>
      <c r="N218" s="3"/>
      <c r="O218" s="3"/>
    </row>
    <row r="219" spans="2:15" ht="15.6" customHeight="1">
      <c r="B219" s="14"/>
      <c r="C219" s="14"/>
      <c r="D219" s="26" t="s">
        <v>248</v>
      </c>
      <c r="E219" s="11">
        <v>7.9</v>
      </c>
      <c r="F219" s="12"/>
      <c r="G219" s="12"/>
      <c r="H219" s="12">
        <v>11.5</v>
      </c>
      <c r="I219" s="13">
        <v>4.3</v>
      </c>
      <c r="J219" s="16">
        <v>2015</v>
      </c>
      <c r="K219" s="19" t="s">
        <v>27</v>
      </c>
      <c r="L219" s="3" t="s">
        <v>24</v>
      </c>
      <c r="M219" s="3" t="s">
        <v>21</v>
      </c>
      <c r="N219" s="3"/>
      <c r="O219" s="3"/>
    </row>
    <row r="220" spans="2:15" ht="15.6" customHeight="1">
      <c r="B220" s="14"/>
      <c r="C220" s="14"/>
      <c r="D220" s="26" t="s">
        <v>248</v>
      </c>
      <c r="E220" s="11">
        <v>5</v>
      </c>
      <c r="F220" s="12"/>
      <c r="G220" s="12"/>
      <c r="H220" s="12"/>
      <c r="I220" s="13"/>
      <c r="J220" s="16">
        <v>2012</v>
      </c>
      <c r="K220" s="19" t="s">
        <v>27</v>
      </c>
      <c r="L220" s="3" t="s">
        <v>249</v>
      </c>
      <c r="M220" s="3" t="s">
        <v>21</v>
      </c>
      <c r="N220" s="3"/>
      <c r="O220" s="3"/>
    </row>
    <row r="221" spans="2:15" ht="15.6" customHeight="1">
      <c r="B221" s="14"/>
      <c r="C221" s="14"/>
      <c r="D221" s="26" t="s">
        <v>248</v>
      </c>
      <c r="E221" s="11">
        <v>5.18</v>
      </c>
      <c r="F221" s="12">
        <v>5.0999999999999996</v>
      </c>
      <c r="G221" s="12">
        <v>5.3</v>
      </c>
      <c r="H221" s="12"/>
      <c r="I221" s="13"/>
      <c r="J221" s="16">
        <v>2007</v>
      </c>
      <c r="K221" s="19" t="s">
        <v>27</v>
      </c>
      <c r="L221" s="3" t="s">
        <v>241</v>
      </c>
      <c r="M221" s="3" t="s">
        <v>74</v>
      </c>
      <c r="N221" s="3" t="s">
        <v>75</v>
      </c>
      <c r="O221" s="3"/>
    </row>
    <row r="222" spans="2:15" ht="15.6" customHeight="1">
      <c r="B222" s="14"/>
      <c r="C222" s="14"/>
      <c r="D222" s="26" t="s">
        <v>250</v>
      </c>
      <c r="E222" s="11">
        <v>1.3</v>
      </c>
      <c r="F222" s="12"/>
      <c r="G222" s="12"/>
      <c r="H222" s="12"/>
      <c r="I222" s="13"/>
      <c r="J222" s="16">
        <v>2019</v>
      </c>
      <c r="K222" s="19" t="s">
        <v>27</v>
      </c>
      <c r="L222" s="3" t="s">
        <v>238</v>
      </c>
      <c r="M222" s="3" t="s">
        <v>44</v>
      </c>
      <c r="N222" s="3" t="s">
        <v>45</v>
      </c>
      <c r="O222" s="3"/>
    </row>
    <row r="223" spans="2:15" ht="15.6" customHeight="1">
      <c r="B223" s="14"/>
      <c r="C223" s="14"/>
      <c r="D223" s="26" t="s">
        <v>251</v>
      </c>
      <c r="E223" s="11">
        <v>4.5999999999999996</v>
      </c>
      <c r="F223" s="12"/>
      <c r="G223" s="12"/>
      <c r="H223" s="12">
        <v>4.9000000000000004</v>
      </c>
      <c r="I223" s="13">
        <v>4.3</v>
      </c>
      <c r="J223" s="16">
        <v>2017</v>
      </c>
      <c r="K223" s="19" t="s">
        <v>27</v>
      </c>
      <c r="L223" s="3" t="s">
        <v>24</v>
      </c>
      <c r="M223" s="3" t="s">
        <v>21</v>
      </c>
      <c r="N223" s="3"/>
      <c r="O223" s="3"/>
    </row>
    <row r="224" spans="2:15" ht="15.6" customHeight="1">
      <c r="B224" s="14"/>
      <c r="C224" s="14"/>
      <c r="D224" s="26" t="s">
        <v>251</v>
      </c>
      <c r="E224" s="11">
        <v>1.82</v>
      </c>
      <c r="F224" s="12">
        <v>1.1000000000000001</v>
      </c>
      <c r="G224" s="12">
        <v>2.54</v>
      </c>
      <c r="H224" s="12"/>
      <c r="I224" s="13"/>
      <c r="J224" s="16">
        <v>2015</v>
      </c>
      <c r="K224" s="19" t="s">
        <v>27</v>
      </c>
      <c r="L224" s="3" t="s">
        <v>238</v>
      </c>
      <c r="M224" s="3" t="s">
        <v>44</v>
      </c>
      <c r="N224" s="3" t="s">
        <v>33</v>
      </c>
      <c r="O224" s="3"/>
    </row>
    <row r="225" spans="2:15" ht="15.6" customHeight="1">
      <c r="B225" s="14"/>
      <c r="C225" s="14"/>
      <c r="D225" s="26" t="s">
        <v>251</v>
      </c>
      <c r="E225" s="11">
        <v>1.9</v>
      </c>
      <c r="F225" s="12">
        <v>0.43</v>
      </c>
      <c r="G225" s="12">
        <v>3.3</v>
      </c>
      <c r="H225" s="12"/>
      <c r="I225" s="13"/>
      <c r="J225" s="16">
        <v>2011</v>
      </c>
      <c r="K225" s="19" t="s">
        <v>27</v>
      </c>
      <c r="L225" s="3" t="s">
        <v>234</v>
      </c>
      <c r="M225" s="3" t="s">
        <v>44</v>
      </c>
      <c r="N225" s="3" t="s">
        <v>45</v>
      </c>
      <c r="O225" s="3"/>
    </row>
    <row r="226" spans="2:15" ht="15.6" customHeight="1">
      <c r="B226" s="14"/>
      <c r="C226" s="14"/>
      <c r="D226" s="26" t="s">
        <v>251</v>
      </c>
      <c r="E226" s="11">
        <v>0.23</v>
      </c>
      <c r="F226" s="12"/>
      <c r="G226" s="12"/>
      <c r="H226" s="12"/>
      <c r="I226" s="13"/>
      <c r="J226" s="16">
        <v>2008</v>
      </c>
      <c r="K226" s="19" t="s">
        <v>27</v>
      </c>
      <c r="L226" s="3" t="s">
        <v>241</v>
      </c>
      <c r="M226" s="3" t="s">
        <v>74</v>
      </c>
      <c r="N226" s="3" t="s">
        <v>75</v>
      </c>
      <c r="O226" s="3"/>
    </row>
    <row r="227" spans="2:15" ht="15.6" customHeight="1">
      <c r="B227" s="14"/>
      <c r="C227" s="14"/>
      <c r="D227" s="26" t="s">
        <v>252</v>
      </c>
      <c r="E227" s="11">
        <v>6.6</v>
      </c>
      <c r="F227" s="12"/>
      <c r="G227" s="12"/>
      <c r="H227" s="12">
        <v>8.3000000000000007</v>
      </c>
      <c r="I227" s="13">
        <v>4</v>
      </c>
      <c r="J227" s="16">
        <v>2017</v>
      </c>
      <c r="K227" s="19" t="s">
        <v>27</v>
      </c>
      <c r="L227" s="3" t="s">
        <v>24</v>
      </c>
      <c r="M227" s="3" t="s">
        <v>21</v>
      </c>
      <c r="N227" s="3"/>
      <c r="O227" s="3"/>
    </row>
    <row r="228" spans="2:15" ht="15.6" customHeight="1">
      <c r="B228" s="14"/>
      <c r="C228" s="14"/>
      <c r="D228" s="26" t="s">
        <v>252</v>
      </c>
      <c r="E228" s="11">
        <v>1.1299999999999999</v>
      </c>
      <c r="F228" s="12">
        <v>0.68</v>
      </c>
      <c r="G228" s="12">
        <v>1.58</v>
      </c>
      <c r="H228" s="12"/>
      <c r="I228" s="13"/>
      <c r="J228" s="16">
        <v>2015</v>
      </c>
      <c r="K228" s="19" t="s">
        <v>27</v>
      </c>
      <c r="L228" s="3" t="s">
        <v>238</v>
      </c>
      <c r="M228" s="3" t="s">
        <v>44</v>
      </c>
      <c r="N228" s="3" t="s">
        <v>33</v>
      </c>
      <c r="O228" s="3"/>
    </row>
    <row r="229" spans="2:15" ht="15.6" customHeight="1">
      <c r="B229" s="14"/>
      <c r="C229" s="14"/>
      <c r="D229" s="26" t="s">
        <v>252</v>
      </c>
      <c r="E229" s="11">
        <v>0.63</v>
      </c>
      <c r="F229" s="12">
        <v>0.46</v>
      </c>
      <c r="G229" s="12">
        <v>2.38</v>
      </c>
      <c r="H229" s="12"/>
      <c r="I229" s="13"/>
      <c r="J229" s="16">
        <v>2008</v>
      </c>
      <c r="K229" s="19" t="s">
        <v>27</v>
      </c>
      <c r="L229" s="3" t="s">
        <v>234</v>
      </c>
      <c r="M229" s="3" t="s">
        <v>44</v>
      </c>
      <c r="N229" s="3" t="s">
        <v>33</v>
      </c>
      <c r="O229" s="3"/>
    </row>
    <row r="230" spans="2:15" ht="15.6" customHeight="1">
      <c r="B230" s="14"/>
      <c r="C230" s="14"/>
      <c r="D230" s="26" t="s">
        <v>253</v>
      </c>
      <c r="E230" s="11">
        <v>3.5</v>
      </c>
      <c r="F230" s="12"/>
      <c r="G230" s="12"/>
      <c r="H230" s="12">
        <v>4.8</v>
      </c>
      <c r="I230" s="13">
        <v>2.1</v>
      </c>
      <c r="J230" s="16">
        <v>2019</v>
      </c>
      <c r="K230" s="19" t="s">
        <v>27</v>
      </c>
      <c r="L230" s="3" t="s">
        <v>24</v>
      </c>
      <c r="M230" s="3" t="s">
        <v>21</v>
      </c>
      <c r="N230" s="3"/>
      <c r="O230" s="3"/>
    </row>
    <row r="231" spans="2:15" ht="15.6" customHeight="1">
      <c r="B231" s="14"/>
      <c r="C231" s="14"/>
      <c r="D231" s="26" t="s">
        <v>253</v>
      </c>
      <c r="E231" s="11">
        <v>3.2</v>
      </c>
      <c r="F231" s="12"/>
      <c r="G231" s="12"/>
      <c r="H231" s="12">
        <v>4.3</v>
      </c>
      <c r="I231" s="13">
        <v>2</v>
      </c>
      <c r="J231" s="16">
        <v>2016</v>
      </c>
      <c r="K231" s="19" t="s">
        <v>27</v>
      </c>
      <c r="L231" s="3" t="s">
        <v>24</v>
      </c>
      <c r="M231" s="3" t="s">
        <v>21</v>
      </c>
      <c r="N231" s="3"/>
      <c r="O231" s="3"/>
    </row>
    <row r="232" spans="2:15" ht="15.6" customHeight="1">
      <c r="B232" s="14"/>
      <c r="C232" s="14"/>
      <c r="D232" s="26" t="s">
        <v>253</v>
      </c>
      <c r="E232" s="11">
        <v>2</v>
      </c>
      <c r="F232" s="12"/>
      <c r="G232" s="12"/>
      <c r="H232" s="12">
        <v>2.2999999999999998</v>
      </c>
      <c r="I232" s="13">
        <v>1.8</v>
      </c>
      <c r="J232" s="16">
        <v>2013</v>
      </c>
      <c r="K232" s="19" t="s">
        <v>27</v>
      </c>
      <c r="L232" s="3" t="s">
        <v>24</v>
      </c>
      <c r="M232" s="3" t="s">
        <v>21</v>
      </c>
      <c r="N232" s="3"/>
      <c r="O232" s="3"/>
    </row>
    <row r="233" spans="2:15" ht="15.6" customHeight="1">
      <c r="B233" s="14"/>
      <c r="C233" s="14"/>
      <c r="D233" s="26" t="s">
        <v>253</v>
      </c>
      <c r="E233" s="11">
        <v>0.3</v>
      </c>
      <c r="F233" s="12"/>
      <c r="G233" s="12"/>
      <c r="H233" s="12"/>
      <c r="I233" s="13"/>
      <c r="J233" s="16">
        <v>2010</v>
      </c>
      <c r="K233" s="19" t="s">
        <v>27</v>
      </c>
      <c r="L233" s="3" t="s">
        <v>24</v>
      </c>
      <c r="M233" s="3" t="s">
        <v>21</v>
      </c>
      <c r="N233" s="3"/>
      <c r="O233" s="3"/>
    </row>
    <row r="234" spans="2:15" ht="15.6" customHeight="1">
      <c r="B234" s="14"/>
      <c r="C234" s="14"/>
      <c r="D234" s="26" t="s">
        <v>253</v>
      </c>
      <c r="E234" s="11">
        <v>0.4</v>
      </c>
      <c r="F234" s="12"/>
      <c r="G234" s="12"/>
      <c r="H234" s="12"/>
      <c r="I234" s="13"/>
      <c r="J234" s="16">
        <v>2007</v>
      </c>
      <c r="K234" s="19" t="s">
        <v>27</v>
      </c>
      <c r="L234" s="3" t="s">
        <v>38</v>
      </c>
      <c r="M234" s="3" t="s">
        <v>51</v>
      </c>
      <c r="N234" s="3"/>
      <c r="O234" s="3"/>
    </row>
    <row r="235" spans="2:15" ht="15.6" customHeight="1">
      <c r="B235" s="14"/>
      <c r="C235" s="14"/>
      <c r="D235" s="26" t="s">
        <v>254</v>
      </c>
      <c r="E235" s="11">
        <v>2.2000000000000002</v>
      </c>
      <c r="F235" s="12"/>
      <c r="G235" s="12"/>
      <c r="H235" s="12">
        <v>3.8</v>
      </c>
      <c r="I235" s="13">
        <v>0.6</v>
      </c>
      <c r="J235" s="16">
        <v>2023</v>
      </c>
      <c r="K235" s="19" t="s">
        <v>144</v>
      </c>
      <c r="L235" s="3" t="s">
        <v>38</v>
      </c>
      <c r="M235" s="3" t="s">
        <v>51</v>
      </c>
      <c r="N235" s="3"/>
      <c r="O235" s="3"/>
    </row>
    <row r="236" spans="2:15" ht="15.6" customHeight="1">
      <c r="B236" s="14"/>
      <c r="C236" s="14"/>
      <c r="D236" s="26" t="s">
        <v>254</v>
      </c>
      <c r="E236" s="11">
        <v>2</v>
      </c>
      <c r="F236" s="12"/>
      <c r="G236" s="12"/>
      <c r="H236" s="12">
        <v>2.8</v>
      </c>
      <c r="I236" s="13">
        <v>1.2</v>
      </c>
      <c r="J236" s="16">
        <v>2018</v>
      </c>
      <c r="K236" s="19" t="s">
        <v>27</v>
      </c>
      <c r="L236" s="3" t="s">
        <v>24</v>
      </c>
      <c r="M236" s="3" t="s">
        <v>21</v>
      </c>
      <c r="N236" s="3"/>
      <c r="O236" s="3"/>
    </row>
    <row r="237" spans="2:15" ht="15.6" customHeight="1">
      <c r="B237" s="14"/>
      <c r="C237" s="14"/>
      <c r="D237" s="26" t="s">
        <v>254</v>
      </c>
      <c r="E237" s="11">
        <v>1.6</v>
      </c>
      <c r="F237" s="12"/>
      <c r="G237" s="12"/>
      <c r="H237" s="12">
        <v>2.5</v>
      </c>
      <c r="I237" s="13">
        <v>0.6</v>
      </c>
      <c r="J237" s="16">
        <v>2014</v>
      </c>
      <c r="K237" s="19" t="s">
        <v>144</v>
      </c>
      <c r="L237" s="3" t="s">
        <v>36</v>
      </c>
      <c r="M237" s="3" t="s">
        <v>21</v>
      </c>
      <c r="N237" s="3"/>
      <c r="O237" s="3"/>
    </row>
    <row r="238" spans="2:15" ht="15.6" customHeight="1">
      <c r="B238" s="14"/>
      <c r="C238" s="14"/>
      <c r="D238" s="26" t="s">
        <v>254</v>
      </c>
      <c r="E238" s="11">
        <v>4.07</v>
      </c>
      <c r="F238" s="12">
        <v>2.75</v>
      </c>
      <c r="G238" s="12">
        <v>5.39</v>
      </c>
      <c r="H238" s="12"/>
      <c r="I238" s="13"/>
      <c r="J238" s="16">
        <v>2006</v>
      </c>
      <c r="K238" s="19" t="s">
        <v>27</v>
      </c>
      <c r="L238" s="3" t="s">
        <v>36</v>
      </c>
      <c r="M238" s="3" t="s">
        <v>21</v>
      </c>
      <c r="N238" s="3" t="s">
        <v>255</v>
      </c>
      <c r="O238" s="3"/>
    </row>
    <row r="239" spans="2:15" ht="15.6" customHeight="1">
      <c r="B239" s="14"/>
      <c r="C239" s="14"/>
      <c r="D239" s="26" t="s">
        <v>256</v>
      </c>
      <c r="E239" s="11">
        <v>1.1100000000000001</v>
      </c>
      <c r="F239" s="12"/>
      <c r="G239" s="12"/>
      <c r="H239" s="12">
        <v>2.2200000000000002</v>
      </c>
      <c r="I239" s="13">
        <v>0.09</v>
      </c>
      <c r="J239" s="16">
        <v>2018</v>
      </c>
      <c r="K239" s="19" t="s">
        <v>27</v>
      </c>
      <c r="L239" s="3" t="s">
        <v>24</v>
      </c>
      <c r="M239" s="3" t="s">
        <v>21</v>
      </c>
      <c r="N239" s="3"/>
      <c r="O239" s="3"/>
    </row>
    <row r="240" spans="2:15" ht="15.6" customHeight="1">
      <c r="B240" s="14"/>
      <c r="C240" s="14"/>
      <c r="D240" s="26" t="s">
        <v>256</v>
      </c>
      <c r="E240" s="11">
        <v>1.1100000000000001</v>
      </c>
      <c r="F240" s="12"/>
      <c r="G240" s="12"/>
      <c r="H240" s="12">
        <v>2.2200000000000002</v>
      </c>
      <c r="I240" s="13">
        <v>0.09</v>
      </c>
      <c r="J240" s="16">
        <v>2017</v>
      </c>
      <c r="K240" s="19" t="s">
        <v>27</v>
      </c>
      <c r="L240" s="3" t="s">
        <v>249</v>
      </c>
      <c r="M240" s="3" t="s">
        <v>21</v>
      </c>
      <c r="N240" s="3"/>
      <c r="O240" s="3"/>
    </row>
    <row r="241" spans="2:15" ht="15.6" customHeight="1">
      <c r="B241" s="14"/>
      <c r="C241" s="14"/>
      <c r="D241" s="26" t="s">
        <v>256</v>
      </c>
      <c r="E241" s="11">
        <v>0.3</v>
      </c>
      <c r="F241" s="12"/>
      <c r="G241" s="12"/>
      <c r="H241" s="12">
        <v>0.5</v>
      </c>
      <c r="I241" s="13">
        <v>0.1</v>
      </c>
      <c r="J241" s="16">
        <v>2011</v>
      </c>
      <c r="K241" s="19" t="s">
        <v>27</v>
      </c>
      <c r="L241" s="3" t="s">
        <v>249</v>
      </c>
      <c r="M241" s="3" t="s">
        <v>21</v>
      </c>
      <c r="N241" s="3"/>
      <c r="O241" s="3"/>
    </row>
    <row r="242" spans="2:15" ht="15.6" customHeight="1">
      <c r="B242" s="14"/>
      <c r="C242" s="14"/>
      <c r="D242" s="26" t="s">
        <v>256</v>
      </c>
      <c r="E242" s="11">
        <v>1.9</v>
      </c>
      <c r="F242" s="12"/>
      <c r="G242" s="12"/>
      <c r="H242" s="12"/>
      <c r="I242" s="13"/>
      <c r="J242" s="16">
        <v>2003</v>
      </c>
      <c r="K242" s="19" t="s">
        <v>27</v>
      </c>
      <c r="L242" s="3" t="s">
        <v>61</v>
      </c>
      <c r="M242" s="3"/>
      <c r="N242" s="3"/>
      <c r="O242" s="3"/>
    </row>
    <row r="243" spans="2:15" ht="15.6" customHeight="1">
      <c r="B243" s="14"/>
      <c r="C243" s="14" t="s">
        <v>257</v>
      </c>
      <c r="D243" s="26" t="s">
        <v>258</v>
      </c>
      <c r="E243" s="11">
        <v>6.3</v>
      </c>
      <c r="F243" s="12">
        <v>5.62</v>
      </c>
      <c r="G243" s="12">
        <v>7.04</v>
      </c>
      <c r="H243" s="12"/>
      <c r="I243" s="13"/>
      <c r="J243" s="16">
        <v>2020</v>
      </c>
      <c r="K243" s="19" t="s">
        <v>27</v>
      </c>
      <c r="L243" s="3" t="s">
        <v>36</v>
      </c>
      <c r="M243" s="3" t="s">
        <v>21</v>
      </c>
      <c r="N243" s="3"/>
      <c r="O243" s="3"/>
    </row>
    <row r="244" spans="2:15" ht="15.6" customHeight="1">
      <c r="B244" s="14"/>
      <c r="C244" s="14"/>
      <c r="D244" s="26" t="s">
        <v>258</v>
      </c>
      <c r="E244" s="11">
        <v>6.4</v>
      </c>
      <c r="F244" s="12">
        <v>5.5</v>
      </c>
      <c r="G244" s="12">
        <v>7.2</v>
      </c>
      <c r="H244" s="12">
        <v>7.2</v>
      </c>
      <c r="I244" s="13">
        <v>5.6</v>
      </c>
      <c r="J244" s="16">
        <v>2015</v>
      </c>
      <c r="K244" s="19" t="s">
        <v>27</v>
      </c>
      <c r="L244" s="3" t="s">
        <v>36</v>
      </c>
      <c r="M244" s="3" t="s">
        <v>21</v>
      </c>
      <c r="N244" s="3"/>
      <c r="O244" s="3"/>
    </row>
    <row r="245" spans="2:15" ht="15.6" customHeight="1">
      <c r="B245" s="14"/>
      <c r="C245" s="14"/>
      <c r="D245" s="26" t="s">
        <v>258</v>
      </c>
      <c r="E245" s="11">
        <v>3.5</v>
      </c>
      <c r="F245" s="12"/>
      <c r="G245" s="12"/>
      <c r="H245" s="12"/>
      <c r="I245" s="13"/>
      <c r="J245" s="16">
        <v>2008</v>
      </c>
      <c r="K245" s="19" t="s">
        <v>27</v>
      </c>
      <c r="L245" s="3" t="s">
        <v>24</v>
      </c>
      <c r="M245" s="3" t="s">
        <v>21</v>
      </c>
      <c r="N245" s="3"/>
      <c r="O245" s="3"/>
    </row>
    <row r="246" spans="2:15" ht="15.6" customHeight="1">
      <c r="B246" s="14"/>
      <c r="C246" s="14"/>
      <c r="D246" s="26" t="s">
        <v>258</v>
      </c>
      <c r="E246" s="11">
        <v>7.5</v>
      </c>
      <c r="F246" s="12"/>
      <c r="G246" s="12"/>
      <c r="H246" s="12"/>
      <c r="I246" s="13"/>
      <c r="J246" s="16">
        <v>2004</v>
      </c>
      <c r="K246" s="19" t="s">
        <v>27</v>
      </c>
      <c r="L246" s="3" t="s">
        <v>259</v>
      </c>
      <c r="M246" s="3" t="s">
        <v>51</v>
      </c>
      <c r="N246" s="3"/>
      <c r="O246" s="3"/>
    </row>
    <row r="247" spans="2:15" ht="15.6" customHeight="1">
      <c r="B247" s="14"/>
      <c r="C247" s="14"/>
      <c r="D247" s="26" t="s">
        <v>260</v>
      </c>
      <c r="E247" s="11">
        <v>7</v>
      </c>
      <c r="F247" s="12"/>
      <c r="G247" s="12"/>
      <c r="H247" s="12">
        <v>10.4</v>
      </c>
      <c r="I247" s="13">
        <v>3.7</v>
      </c>
      <c r="J247" s="16">
        <v>2018</v>
      </c>
      <c r="K247" s="19" t="s">
        <v>27</v>
      </c>
      <c r="L247" s="3" t="s">
        <v>24</v>
      </c>
      <c r="M247" s="3" t="s">
        <v>21</v>
      </c>
      <c r="N247" s="3"/>
      <c r="O247" s="3"/>
    </row>
    <row r="248" spans="2:15" ht="15.6" customHeight="1">
      <c r="B248" s="14"/>
      <c r="C248" s="14"/>
      <c r="D248" s="26" t="s">
        <v>260</v>
      </c>
      <c r="E248" s="11">
        <v>4.5999999999999996</v>
      </c>
      <c r="F248" s="12"/>
      <c r="G248" s="12"/>
      <c r="H248" s="12">
        <v>6.3</v>
      </c>
      <c r="I248" s="13">
        <v>2.9</v>
      </c>
      <c r="J248" s="16">
        <v>2013</v>
      </c>
      <c r="K248" s="19" t="s">
        <v>27</v>
      </c>
      <c r="L248" s="3" t="s">
        <v>24</v>
      </c>
      <c r="M248" s="3" t="s">
        <v>21</v>
      </c>
      <c r="N248" s="3"/>
      <c r="O248" s="3"/>
    </row>
    <row r="249" spans="2:15" ht="15.6" customHeight="1">
      <c r="B249" s="14"/>
      <c r="C249" s="14"/>
      <c r="D249" s="26" t="s">
        <v>260</v>
      </c>
      <c r="E249" s="11">
        <v>5.0999999999999996</v>
      </c>
      <c r="F249" s="12"/>
      <c r="G249" s="12"/>
      <c r="H249" s="12">
        <v>7.1</v>
      </c>
      <c r="I249" s="13">
        <v>3.2</v>
      </c>
      <c r="J249" s="16">
        <v>2008</v>
      </c>
      <c r="K249" s="19" t="s">
        <v>27</v>
      </c>
      <c r="L249" s="3" t="s">
        <v>24</v>
      </c>
      <c r="M249" s="3" t="s">
        <v>21</v>
      </c>
      <c r="N249" s="3"/>
      <c r="O249" s="3"/>
    </row>
    <row r="250" spans="2:15" ht="15.6" customHeight="1">
      <c r="B250" s="14"/>
      <c r="C250" s="14"/>
      <c r="D250" s="26" t="s">
        <v>260</v>
      </c>
      <c r="E250" s="11">
        <v>5</v>
      </c>
      <c r="F250" s="12"/>
      <c r="G250" s="12"/>
      <c r="H250" s="12">
        <v>6.9</v>
      </c>
      <c r="I250" s="13">
        <v>3.2</v>
      </c>
      <c r="J250" s="16">
        <v>2004</v>
      </c>
      <c r="K250" s="19" t="s">
        <v>27</v>
      </c>
      <c r="L250" s="3" t="s">
        <v>261</v>
      </c>
      <c r="M250" s="3" t="s">
        <v>51</v>
      </c>
      <c r="N250" s="3"/>
      <c r="O250" s="3"/>
    </row>
    <row r="251" spans="2:15" ht="15.6" customHeight="1">
      <c r="B251" s="14"/>
      <c r="C251" s="14"/>
      <c r="D251" s="26" t="s">
        <v>262</v>
      </c>
      <c r="E251" s="11">
        <v>6</v>
      </c>
      <c r="F251" s="12"/>
      <c r="G251" s="12"/>
      <c r="H251" s="12">
        <v>8.1</v>
      </c>
      <c r="I251" s="13">
        <v>4</v>
      </c>
      <c r="J251" s="16">
        <v>2022</v>
      </c>
      <c r="K251" s="19" t="s">
        <v>27</v>
      </c>
      <c r="L251" s="3" t="s">
        <v>24</v>
      </c>
      <c r="M251" s="3" t="s">
        <v>51</v>
      </c>
      <c r="N251" s="3"/>
      <c r="O251" s="3"/>
    </row>
    <row r="252" spans="2:15" ht="15.6" customHeight="1">
      <c r="B252" s="14"/>
      <c r="C252" s="14"/>
      <c r="D252" s="26" t="s">
        <v>262</v>
      </c>
      <c r="E252" s="11">
        <v>4</v>
      </c>
      <c r="F252" s="12"/>
      <c r="G252" s="12"/>
      <c r="H252" s="12">
        <v>6.4</v>
      </c>
      <c r="I252" s="13">
        <v>1.7</v>
      </c>
      <c r="J252" s="16">
        <v>2019</v>
      </c>
      <c r="K252" s="19" t="s">
        <v>27</v>
      </c>
      <c r="L252" s="3" t="s">
        <v>24</v>
      </c>
      <c r="M252" s="3" t="s">
        <v>21</v>
      </c>
      <c r="N252" s="3"/>
      <c r="O252" s="3"/>
    </row>
    <row r="253" spans="2:15" ht="15.6" customHeight="1">
      <c r="B253" s="14"/>
      <c r="C253" s="14"/>
      <c r="D253" s="26" t="s">
        <v>262</v>
      </c>
      <c r="E253" s="11">
        <v>2.2000000000000002</v>
      </c>
      <c r="F253" s="12"/>
      <c r="G253" s="12"/>
      <c r="H253" s="12">
        <v>3.5</v>
      </c>
      <c r="I253" s="13">
        <v>0.9</v>
      </c>
      <c r="J253" s="16">
        <v>2016</v>
      </c>
      <c r="K253" s="19" t="s">
        <v>27</v>
      </c>
      <c r="L253" s="3" t="s">
        <v>24</v>
      </c>
      <c r="M253" s="3" t="s">
        <v>21</v>
      </c>
      <c r="N253" s="3"/>
      <c r="O253" s="3"/>
    </row>
    <row r="254" spans="2:15" ht="15.6" customHeight="1">
      <c r="B254" s="14"/>
      <c r="C254" s="14"/>
      <c r="D254" s="26" t="s">
        <v>262</v>
      </c>
      <c r="E254" s="11">
        <v>2.2000000000000002</v>
      </c>
      <c r="F254" s="12"/>
      <c r="G254" s="12"/>
      <c r="H254" s="12">
        <v>3.5</v>
      </c>
      <c r="I254" s="13">
        <v>1</v>
      </c>
      <c r="J254" s="16">
        <v>2012</v>
      </c>
      <c r="K254" s="19" t="s">
        <v>27</v>
      </c>
      <c r="L254" s="3" t="s">
        <v>24</v>
      </c>
      <c r="M254" s="3" t="s">
        <v>21</v>
      </c>
      <c r="N254" s="3"/>
      <c r="O254" s="3"/>
    </row>
    <row r="255" spans="2:15" ht="15.6" customHeight="1">
      <c r="B255" s="14"/>
      <c r="C255" s="14"/>
      <c r="D255" s="26" t="s">
        <v>262</v>
      </c>
      <c r="E255" s="11">
        <v>4.4000000000000004</v>
      </c>
      <c r="F255" s="12"/>
      <c r="G255" s="12"/>
      <c r="H255" s="12">
        <v>7.3</v>
      </c>
      <c r="I255" s="13">
        <v>1.5</v>
      </c>
      <c r="J255" s="16">
        <v>2009</v>
      </c>
      <c r="K255" s="19" t="s">
        <v>27</v>
      </c>
      <c r="L255" s="3" t="s">
        <v>24</v>
      </c>
      <c r="M255" s="3" t="s">
        <v>21</v>
      </c>
      <c r="N255" s="3"/>
      <c r="O255" s="3"/>
    </row>
    <row r="256" spans="2:15" ht="15.6" customHeight="1">
      <c r="B256" s="14"/>
      <c r="C256" s="14"/>
      <c r="D256" s="26" t="s">
        <v>262</v>
      </c>
      <c r="E256" s="11">
        <v>2.1</v>
      </c>
      <c r="F256" s="12"/>
      <c r="G256" s="12"/>
      <c r="H256" s="12">
        <v>3.7</v>
      </c>
      <c r="I256" s="13">
        <v>0.6</v>
      </c>
      <c r="J256" s="16">
        <v>2006</v>
      </c>
      <c r="K256" s="19" t="s">
        <v>19</v>
      </c>
      <c r="L256" s="3" t="s">
        <v>38</v>
      </c>
      <c r="M256" s="3"/>
      <c r="N256" s="3"/>
      <c r="O256" s="3"/>
    </row>
    <row r="257" spans="2:15" ht="15.6" customHeight="1">
      <c r="B257" s="14"/>
      <c r="C257" s="14"/>
      <c r="D257" s="26" t="s">
        <v>263</v>
      </c>
      <c r="E257" s="11">
        <v>8.6</v>
      </c>
      <c r="F257" s="12"/>
      <c r="G257" s="12"/>
      <c r="H257" s="12">
        <v>10</v>
      </c>
      <c r="I257" s="13">
        <v>7.2</v>
      </c>
      <c r="J257" s="16">
        <v>2022</v>
      </c>
      <c r="K257" s="19" t="s">
        <v>27</v>
      </c>
      <c r="L257" s="3" t="s">
        <v>24</v>
      </c>
      <c r="M257" s="3" t="s">
        <v>51</v>
      </c>
      <c r="N257" s="3"/>
      <c r="O257" s="3"/>
    </row>
    <row r="258" spans="2:15" ht="15.6" customHeight="1">
      <c r="B258" s="14"/>
      <c r="C258" s="14"/>
      <c r="D258" s="26" t="s">
        <v>263</v>
      </c>
      <c r="E258" s="11">
        <v>8.1</v>
      </c>
      <c r="F258" s="12"/>
      <c r="G258" s="12"/>
      <c r="H258" s="12">
        <v>10.7</v>
      </c>
      <c r="I258" s="13">
        <v>5.6</v>
      </c>
      <c r="J258" s="16">
        <v>2021</v>
      </c>
      <c r="K258" s="19" t="s">
        <v>27</v>
      </c>
      <c r="L258" s="3" t="s">
        <v>24</v>
      </c>
      <c r="M258" s="3" t="s">
        <v>21</v>
      </c>
      <c r="N258" s="3"/>
      <c r="O258" s="3"/>
    </row>
    <row r="259" spans="2:15" ht="15.6" customHeight="1">
      <c r="B259" s="14"/>
      <c r="C259" s="14"/>
      <c r="D259" s="26" t="s">
        <v>263</v>
      </c>
      <c r="E259" s="11">
        <v>11.1</v>
      </c>
      <c r="F259" s="12"/>
      <c r="G259" s="12"/>
      <c r="H259" s="12">
        <v>15.9</v>
      </c>
      <c r="I259" s="13">
        <v>6.2</v>
      </c>
      <c r="J259" s="16">
        <v>2020</v>
      </c>
      <c r="K259" s="19" t="s">
        <v>27</v>
      </c>
      <c r="L259" s="3" t="s">
        <v>24</v>
      </c>
      <c r="M259" s="3" t="s">
        <v>21</v>
      </c>
      <c r="N259" s="3"/>
      <c r="O259" s="3"/>
    </row>
    <row r="260" spans="2:15" ht="15.6" customHeight="1">
      <c r="B260" s="14"/>
      <c r="C260" s="14"/>
      <c r="D260" s="26" t="s">
        <v>263</v>
      </c>
      <c r="E260" s="11">
        <v>9.4</v>
      </c>
      <c r="F260" s="12"/>
      <c r="G260" s="12"/>
      <c r="H260" s="12">
        <v>14.6</v>
      </c>
      <c r="I260" s="13">
        <v>4.2</v>
      </c>
      <c r="J260" s="16">
        <v>2019</v>
      </c>
      <c r="K260" s="19" t="s">
        <v>27</v>
      </c>
      <c r="L260" s="3" t="s">
        <v>24</v>
      </c>
      <c r="M260" s="3" t="s">
        <v>21</v>
      </c>
      <c r="N260" s="3"/>
      <c r="O260" s="3"/>
    </row>
    <row r="261" spans="2:15" ht="15.6" customHeight="1">
      <c r="B261" s="14"/>
      <c r="C261" s="14"/>
      <c r="D261" s="26" t="s">
        <v>263</v>
      </c>
      <c r="E261" s="11">
        <v>7.9</v>
      </c>
      <c r="F261" s="12"/>
      <c r="G261" s="12"/>
      <c r="H261" s="12">
        <v>10</v>
      </c>
      <c r="I261" s="13">
        <v>5.8</v>
      </c>
      <c r="J261" s="16">
        <v>2018</v>
      </c>
      <c r="K261" s="19" t="s">
        <v>27</v>
      </c>
      <c r="L261" s="3" t="s">
        <v>24</v>
      </c>
      <c r="M261" s="3" t="s">
        <v>21</v>
      </c>
      <c r="N261" s="3"/>
      <c r="O261" s="3"/>
    </row>
    <row r="262" spans="2:15" ht="15.6" customHeight="1">
      <c r="B262" s="14"/>
      <c r="C262" s="14"/>
      <c r="D262" s="26" t="s">
        <v>263</v>
      </c>
      <c r="E262" s="11">
        <v>8.9</v>
      </c>
      <c r="F262" s="12"/>
      <c r="G262" s="12"/>
      <c r="H262" s="12">
        <v>11.9</v>
      </c>
      <c r="I262" s="13">
        <v>5.9</v>
      </c>
      <c r="J262" s="16">
        <v>2017</v>
      </c>
      <c r="K262" s="19" t="s">
        <v>27</v>
      </c>
      <c r="L262" s="3" t="s">
        <v>249</v>
      </c>
      <c r="M262" s="3" t="s">
        <v>21</v>
      </c>
      <c r="N262" s="3"/>
      <c r="O262" s="3"/>
    </row>
    <row r="263" spans="2:15" ht="15.6" customHeight="1">
      <c r="B263" s="14"/>
      <c r="C263" s="14"/>
      <c r="D263" s="26" t="s">
        <v>263</v>
      </c>
      <c r="E263" s="11">
        <v>9.5</v>
      </c>
      <c r="F263" s="12"/>
      <c r="G263" s="12"/>
      <c r="H263" s="12">
        <v>14.2</v>
      </c>
      <c r="I263" s="13">
        <v>5</v>
      </c>
      <c r="J263" s="16">
        <v>2016</v>
      </c>
      <c r="K263" s="19" t="s">
        <v>27</v>
      </c>
      <c r="L263" s="3" t="s">
        <v>24</v>
      </c>
      <c r="M263" s="3" t="s">
        <v>21</v>
      </c>
      <c r="N263" s="3"/>
      <c r="O263" s="3"/>
    </row>
    <row r="264" spans="2:15" ht="15.6" customHeight="1">
      <c r="B264" s="14"/>
      <c r="C264" s="14"/>
      <c r="D264" s="26" t="s">
        <v>263</v>
      </c>
      <c r="E264" s="11">
        <v>9.4</v>
      </c>
      <c r="F264" s="12"/>
      <c r="G264" s="12"/>
      <c r="H264" s="12">
        <v>13.4</v>
      </c>
      <c r="I264" s="13">
        <v>5.3</v>
      </c>
      <c r="J264" s="16">
        <v>2015</v>
      </c>
      <c r="K264" s="19" t="s">
        <v>27</v>
      </c>
      <c r="L264" s="3" t="s">
        <v>24</v>
      </c>
      <c r="M264" s="3" t="s">
        <v>21</v>
      </c>
      <c r="N264" s="3"/>
      <c r="O264" s="3"/>
    </row>
    <row r="265" spans="2:15" ht="15.6" customHeight="1">
      <c r="B265" s="14"/>
      <c r="C265" s="14"/>
      <c r="D265" s="26" t="s">
        <v>263</v>
      </c>
      <c r="E265" s="11">
        <v>11.4</v>
      </c>
      <c r="F265" s="12"/>
      <c r="G265" s="12"/>
      <c r="H265" s="12">
        <v>15.4</v>
      </c>
      <c r="I265" s="13">
        <v>7.3</v>
      </c>
      <c r="J265" s="16">
        <v>2014</v>
      </c>
      <c r="K265" s="19" t="s">
        <v>27</v>
      </c>
      <c r="L265" s="3" t="s">
        <v>24</v>
      </c>
      <c r="M265" s="3" t="s">
        <v>21</v>
      </c>
      <c r="N265" s="3"/>
      <c r="O265" s="3"/>
    </row>
    <row r="266" spans="2:15" ht="15.6" customHeight="1">
      <c r="B266" s="14"/>
      <c r="C266" s="14"/>
      <c r="D266" s="26" t="s">
        <v>263</v>
      </c>
      <c r="E266" s="11">
        <v>8.9</v>
      </c>
      <c r="F266" s="12"/>
      <c r="G266" s="12"/>
      <c r="H266" s="12">
        <v>13.2</v>
      </c>
      <c r="I266" s="13">
        <v>5.3</v>
      </c>
      <c r="J266" s="16">
        <v>2013</v>
      </c>
      <c r="K266" s="19" t="s">
        <v>27</v>
      </c>
      <c r="L266" s="3" t="s">
        <v>24</v>
      </c>
      <c r="M266" s="3" t="s">
        <v>21</v>
      </c>
      <c r="N266" s="3"/>
      <c r="O266" s="3"/>
    </row>
    <row r="267" spans="2:15" ht="15.6" customHeight="1">
      <c r="B267" s="14"/>
      <c r="C267" s="14"/>
      <c r="D267" s="26" t="s">
        <v>263</v>
      </c>
      <c r="E267" s="11">
        <v>9.1999999999999993</v>
      </c>
      <c r="F267" s="12"/>
      <c r="G267" s="12"/>
      <c r="H267" s="12">
        <v>13.1</v>
      </c>
      <c r="I267" s="13">
        <v>5.3</v>
      </c>
      <c r="J267" s="16">
        <v>2012</v>
      </c>
      <c r="K267" s="19" t="s">
        <v>27</v>
      </c>
      <c r="L267" s="3" t="s">
        <v>24</v>
      </c>
      <c r="M267" s="3" t="s">
        <v>21</v>
      </c>
      <c r="N267" s="3"/>
      <c r="O267" s="3"/>
    </row>
    <row r="268" spans="2:15" ht="15.6" customHeight="1">
      <c r="B268" s="14"/>
      <c r="C268" s="14"/>
      <c r="D268" s="26" t="s">
        <v>263</v>
      </c>
      <c r="E268" s="11">
        <v>9.6999999999999993</v>
      </c>
      <c r="F268" s="12"/>
      <c r="G268" s="12"/>
      <c r="H268" s="12"/>
      <c r="I268" s="13"/>
      <c r="J268" s="16">
        <v>2010</v>
      </c>
      <c r="K268" s="19" t="s">
        <v>27</v>
      </c>
      <c r="L268" s="3" t="s">
        <v>24</v>
      </c>
      <c r="M268" s="3" t="s">
        <v>21</v>
      </c>
      <c r="N268" s="3"/>
      <c r="O268" s="3"/>
    </row>
    <row r="269" spans="2:15" ht="15.6" customHeight="1">
      <c r="B269" s="14"/>
      <c r="C269" s="14"/>
      <c r="D269" s="26" t="s">
        <v>263</v>
      </c>
      <c r="E269" s="11">
        <v>15.2</v>
      </c>
      <c r="F269" s="12"/>
      <c r="G269" s="12"/>
      <c r="H269" s="12"/>
      <c r="I269" s="13"/>
      <c r="J269" s="16">
        <v>2008</v>
      </c>
      <c r="K269" s="19" t="s">
        <v>27</v>
      </c>
      <c r="L269" s="3" t="s">
        <v>125</v>
      </c>
      <c r="M269" s="3" t="s">
        <v>51</v>
      </c>
      <c r="N269" s="3"/>
      <c r="O269" s="3"/>
    </row>
    <row r="270" spans="2:15" ht="15.6" customHeight="1">
      <c r="B270" s="14"/>
      <c r="C270" s="14"/>
      <c r="D270" s="26" t="s">
        <v>264</v>
      </c>
      <c r="E270" s="11">
        <v>6.6</v>
      </c>
      <c r="F270" s="12"/>
      <c r="G270" s="12"/>
      <c r="H270" s="12">
        <v>9.1</v>
      </c>
      <c r="I270" s="13">
        <v>4.3</v>
      </c>
      <c r="J270" s="16">
        <v>2023</v>
      </c>
      <c r="K270" s="19" t="s">
        <v>265</v>
      </c>
      <c r="L270" s="3" t="s">
        <v>266</v>
      </c>
      <c r="M270" s="3" t="s">
        <v>51</v>
      </c>
      <c r="N270" s="3"/>
      <c r="O270" s="3"/>
    </row>
    <row r="271" spans="2:15" ht="15.6" customHeight="1">
      <c r="B271" s="14"/>
      <c r="C271" s="14"/>
      <c r="D271" s="26" t="s">
        <v>264</v>
      </c>
      <c r="E271" s="11">
        <v>6.3</v>
      </c>
      <c r="F271" s="12"/>
      <c r="G271" s="12"/>
      <c r="H271" s="12">
        <v>8.3000000000000007</v>
      </c>
      <c r="I271" s="13">
        <v>4.3</v>
      </c>
      <c r="J271" s="16">
        <v>2021</v>
      </c>
      <c r="K271" s="19" t="s">
        <v>27</v>
      </c>
      <c r="L271" s="3" t="s">
        <v>249</v>
      </c>
      <c r="M271" s="3" t="s">
        <v>21</v>
      </c>
      <c r="N271" s="3"/>
      <c r="O271" s="3"/>
    </row>
    <row r="272" spans="2:15" ht="15.6" customHeight="1">
      <c r="B272" s="14"/>
      <c r="C272" s="14"/>
      <c r="D272" s="26" t="s">
        <v>264</v>
      </c>
      <c r="E272" s="11">
        <v>6.4</v>
      </c>
      <c r="F272" s="12"/>
      <c r="G272" s="12"/>
      <c r="H272" s="12">
        <v>8.6999999999999993</v>
      </c>
      <c r="I272" s="13">
        <v>4.5999999999999996</v>
      </c>
      <c r="J272" s="16">
        <v>2017</v>
      </c>
      <c r="K272" s="19" t="s">
        <v>265</v>
      </c>
      <c r="L272" s="3" t="s">
        <v>24</v>
      </c>
      <c r="M272" s="3" t="s">
        <v>21</v>
      </c>
      <c r="N272" s="3"/>
      <c r="O272" s="3"/>
    </row>
    <row r="273" spans="2:15" ht="15.6" customHeight="1">
      <c r="B273" s="14"/>
      <c r="C273" s="14"/>
      <c r="D273" s="26" t="s">
        <v>264</v>
      </c>
      <c r="E273" s="11">
        <v>6.9</v>
      </c>
      <c r="F273" s="12"/>
      <c r="G273" s="12"/>
      <c r="H273" s="12">
        <v>9.1999999999999993</v>
      </c>
      <c r="I273" s="13">
        <v>5.0999999999999996</v>
      </c>
      <c r="J273" s="16">
        <v>2013</v>
      </c>
      <c r="K273" s="19" t="s">
        <v>265</v>
      </c>
      <c r="L273" s="3" t="s">
        <v>24</v>
      </c>
      <c r="M273" s="3" t="s">
        <v>21</v>
      </c>
      <c r="N273" s="3"/>
      <c r="O273" s="3"/>
    </row>
    <row r="274" spans="2:15" ht="15.6" customHeight="1">
      <c r="B274" s="14"/>
      <c r="C274" s="14"/>
      <c r="D274" s="26" t="s">
        <v>264</v>
      </c>
      <c r="E274" s="11">
        <v>5.4</v>
      </c>
      <c r="F274" s="12"/>
      <c r="G274" s="12"/>
      <c r="H274" s="12"/>
      <c r="I274" s="13"/>
      <c r="J274" s="16">
        <v>2010</v>
      </c>
      <c r="K274" s="19" t="s">
        <v>265</v>
      </c>
      <c r="L274" s="3" t="s">
        <v>24</v>
      </c>
      <c r="M274" s="3" t="s">
        <v>21</v>
      </c>
      <c r="N274" s="3"/>
      <c r="O274" s="3"/>
    </row>
    <row r="275" spans="2:15" ht="15.6" customHeight="1">
      <c r="B275" s="14"/>
      <c r="C275" s="14"/>
      <c r="D275" s="26" t="s">
        <v>264</v>
      </c>
      <c r="E275" s="11">
        <v>5.5</v>
      </c>
      <c r="F275" s="12"/>
      <c r="G275" s="12"/>
      <c r="H275" s="12"/>
      <c r="I275" s="13"/>
      <c r="J275" s="16">
        <v>2008</v>
      </c>
      <c r="K275" s="19" t="s">
        <v>265</v>
      </c>
      <c r="L275" s="3" t="s">
        <v>38</v>
      </c>
      <c r="M275" s="3" t="s">
        <v>51</v>
      </c>
      <c r="N275" s="3"/>
      <c r="O275" s="3"/>
    </row>
    <row r="276" spans="2:15" ht="15.6" customHeight="1">
      <c r="B276" s="14"/>
      <c r="C276" s="14"/>
      <c r="D276" s="26" t="s">
        <v>267</v>
      </c>
      <c r="E276" s="11">
        <v>5.6</v>
      </c>
      <c r="F276" s="12"/>
      <c r="G276" s="12"/>
      <c r="H276" s="12">
        <v>7.8</v>
      </c>
      <c r="I276" s="13">
        <v>4.0999999999999996</v>
      </c>
      <c r="J276" s="16">
        <v>2023</v>
      </c>
      <c r="K276" s="19" t="s">
        <v>265</v>
      </c>
      <c r="L276" s="3" t="s">
        <v>36</v>
      </c>
      <c r="M276" s="3" t="s">
        <v>51</v>
      </c>
      <c r="N276" s="3"/>
      <c r="O276" s="3"/>
    </row>
    <row r="277" spans="2:15" ht="15.6" customHeight="1">
      <c r="B277" s="14"/>
      <c r="C277" s="14"/>
      <c r="D277" s="26" t="s">
        <v>267</v>
      </c>
      <c r="E277" s="11">
        <v>6.59</v>
      </c>
      <c r="F277" s="12"/>
      <c r="G277" s="12"/>
      <c r="H277" s="12">
        <v>9.1999999999999993</v>
      </c>
      <c r="I277" s="13">
        <v>4.8099999999999996</v>
      </c>
      <c r="J277" s="16">
        <v>2018</v>
      </c>
      <c r="K277" s="19" t="s">
        <v>265</v>
      </c>
      <c r="L277" s="3" t="s">
        <v>24</v>
      </c>
      <c r="M277" s="3" t="s">
        <v>21</v>
      </c>
      <c r="N277" s="3"/>
      <c r="O277" s="3"/>
    </row>
    <row r="278" spans="2:15" ht="15.6" customHeight="1">
      <c r="B278" s="14"/>
      <c r="C278" s="14"/>
      <c r="D278" s="26" t="s">
        <v>267</v>
      </c>
      <c r="E278" s="11">
        <v>6</v>
      </c>
      <c r="F278" s="12"/>
      <c r="G278" s="12"/>
      <c r="H278" s="12">
        <v>8.3000000000000007</v>
      </c>
      <c r="I278" s="13">
        <v>3.8</v>
      </c>
      <c r="J278" s="16">
        <v>2008</v>
      </c>
      <c r="K278" s="19" t="s">
        <v>27</v>
      </c>
      <c r="L278" s="3" t="s">
        <v>24</v>
      </c>
      <c r="M278" s="3" t="s">
        <v>21</v>
      </c>
      <c r="N278" s="3"/>
      <c r="O278" s="3"/>
    </row>
    <row r="279" spans="2:15" ht="15.6" customHeight="1">
      <c r="B279" s="14"/>
      <c r="C279" s="14"/>
      <c r="D279" s="26" t="s">
        <v>267</v>
      </c>
      <c r="E279" s="11">
        <v>4.5999999999999996</v>
      </c>
      <c r="F279" s="12"/>
      <c r="G279" s="12"/>
      <c r="H279" s="12"/>
      <c r="I279" s="13"/>
      <c r="J279" s="16">
        <v>2003</v>
      </c>
      <c r="K279" s="19" t="s">
        <v>27</v>
      </c>
      <c r="L279" s="3" t="s">
        <v>38</v>
      </c>
      <c r="M279" s="3" t="s">
        <v>51</v>
      </c>
      <c r="N279" s="3"/>
      <c r="O279" s="3"/>
    </row>
    <row r="280" spans="2:15" ht="15.6" customHeight="1">
      <c r="B280" s="14"/>
      <c r="C280" s="14"/>
      <c r="D280" s="26" t="s">
        <v>268</v>
      </c>
      <c r="E280" s="11">
        <v>9</v>
      </c>
      <c r="F280" s="12"/>
      <c r="G280" s="12"/>
      <c r="H280" s="12">
        <v>12.8</v>
      </c>
      <c r="I280" s="13">
        <v>4.9000000000000004</v>
      </c>
      <c r="J280" s="16">
        <v>2022</v>
      </c>
      <c r="K280" s="19" t="s">
        <v>27</v>
      </c>
      <c r="L280" s="3" t="s">
        <v>24</v>
      </c>
      <c r="M280" s="3" t="s">
        <v>21</v>
      </c>
      <c r="N280" s="3"/>
      <c r="O280" s="3"/>
    </row>
    <row r="281" spans="2:15" ht="15.6" customHeight="1">
      <c r="B281" s="14"/>
      <c r="C281" s="14"/>
      <c r="D281" s="26" t="s">
        <v>268</v>
      </c>
      <c r="E281" s="11">
        <v>8.1999999999999993</v>
      </c>
      <c r="F281" s="12"/>
      <c r="G281" s="12"/>
      <c r="H281" s="12">
        <v>11.2</v>
      </c>
      <c r="I281" s="13">
        <v>5.2</v>
      </c>
      <c r="J281" s="16">
        <v>2018</v>
      </c>
      <c r="K281" s="19" t="s">
        <v>27</v>
      </c>
      <c r="L281" s="3" t="s">
        <v>24</v>
      </c>
      <c r="M281" s="3" t="s">
        <v>21</v>
      </c>
      <c r="N281" s="3"/>
      <c r="O281" s="3"/>
    </row>
    <row r="282" spans="2:15" ht="15.6" customHeight="1">
      <c r="B282" s="14"/>
      <c r="C282" s="14"/>
      <c r="D282" s="26" t="s">
        <v>268</v>
      </c>
      <c r="E282" s="11">
        <v>6.8</v>
      </c>
      <c r="F282" s="12"/>
      <c r="G282" s="12"/>
      <c r="H282" s="12">
        <v>9.1999999999999993</v>
      </c>
      <c r="I282" s="13">
        <v>4.3</v>
      </c>
      <c r="J282" s="16">
        <v>2014</v>
      </c>
      <c r="K282" s="19" t="s">
        <v>27</v>
      </c>
      <c r="L282" s="3" t="s">
        <v>24</v>
      </c>
      <c r="M282" s="3" t="s">
        <v>21</v>
      </c>
      <c r="N282" s="3"/>
      <c r="O282" s="3"/>
    </row>
    <row r="283" spans="2:15" ht="15.6" customHeight="1">
      <c r="B283" s="14"/>
      <c r="C283" s="14"/>
      <c r="D283" s="26" t="s">
        <v>268</v>
      </c>
      <c r="E283" s="11">
        <v>4.5999999999999996</v>
      </c>
      <c r="F283" s="12"/>
      <c r="G283" s="12"/>
      <c r="H283" s="12">
        <v>5.8</v>
      </c>
      <c r="I283" s="13">
        <v>3.3</v>
      </c>
      <c r="J283" s="16">
        <v>2010</v>
      </c>
      <c r="K283" s="19" t="s">
        <v>27</v>
      </c>
      <c r="L283" s="3" t="s">
        <v>24</v>
      </c>
      <c r="M283" s="3" t="s">
        <v>21</v>
      </c>
      <c r="N283" s="3"/>
      <c r="O283" s="3"/>
    </row>
    <row r="284" spans="2:15" ht="15.6" customHeight="1">
      <c r="B284" s="14"/>
      <c r="C284" s="14"/>
      <c r="D284" s="26" t="s">
        <v>268</v>
      </c>
      <c r="E284" s="11">
        <v>3.6</v>
      </c>
      <c r="F284" s="12"/>
      <c r="G284" s="12"/>
      <c r="H284" s="12"/>
      <c r="I284" s="13"/>
      <c r="J284" s="16">
        <v>2006</v>
      </c>
      <c r="K284" s="19" t="s">
        <v>27</v>
      </c>
      <c r="L284" s="3" t="s">
        <v>38</v>
      </c>
      <c r="M284" s="3" t="s">
        <v>51</v>
      </c>
      <c r="N284" s="3"/>
      <c r="O284" s="3"/>
    </row>
    <row r="285" spans="2:15" ht="15.6" customHeight="1">
      <c r="B285" s="14"/>
      <c r="C285" s="14"/>
      <c r="D285" s="26" t="s">
        <v>269</v>
      </c>
      <c r="E285" s="11">
        <v>10.8</v>
      </c>
      <c r="F285" s="12"/>
      <c r="G285" s="12"/>
      <c r="H285" s="12">
        <v>14.5</v>
      </c>
      <c r="I285" s="13">
        <v>7.2</v>
      </c>
      <c r="J285" s="16">
        <v>2023</v>
      </c>
      <c r="K285" s="19" t="s">
        <v>144</v>
      </c>
      <c r="L285" s="3" t="s">
        <v>24</v>
      </c>
      <c r="M285" s="3" t="s">
        <v>51</v>
      </c>
      <c r="N285" s="3"/>
      <c r="O285" s="3"/>
    </row>
    <row r="286" spans="2:15" ht="15.6" customHeight="1">
      <c r="B286" s="14"/>
      <c r="C286" s="14"/>
      <c r="D286" s="26" t="s">
        <v>269</v>
      </c>
      <c r="E286" s="11">
        <v>10.6</v>
      </c>
      <c r="F286" s="12"/>
      <c r="G286" s="12"/>
      <c r="H286" s="12">
        <v>14.2</v>
      </c>
      <c r="I286" s="13">
        <v>7.2</v>
      </c>
      <c r="J286" s="16">
        <v>2021</v>
      </c>
      <c r="K286" s="19" t="s">
        <v>144</v>
      </c>
      <c r="L286" s="3" t="s">
        <v>249</v>
      </c>
      <c r="M286" s="3" t="s">
        <v>21</v>
      </c>
      <c r="N286" s="3"/>
      <c r="O286" s="3"/>
    </row>
    <row r="287" spans="2:15" ht="15.6" customHeight="1">
      <c r="B287" s="14"/>
      <c r="C287" s="14"/>
      <c r="D287" s="26" t="s">
        <v>269</v>
      </c>
      <c r="E287" s="11">
        <v>11</v>
      </c>
      <c r="F287" s="12"/>
      <c r="G287" s="12"/>
      <c r="H287" s="12">
        <v>15.1</v>
      </c>
      <c r="I287" s="13">
        <v>7.1</v>
      </c>
      <c r="J287" s="16">
        <v>2017</v>
      </c>
      <c r="K287" s="19" t="s">
        <v>144</v>
      </c>
      <c r="L287" s="3" t="s">
        <v>249</v>
      </c>
      <c r="M287" s="3" t="s">
        <v>21</v>
      </c>
      <c r="N287" s="3"/>
      <c r="O287" s="3"/>
    </row>
    <row r="288" spans="2:15" ht="15.6" customHeight="1">
      <c r="B288" s="14"/>
      <c r="C288" s="14"/>
      <c r="D288" s="26" t="s">
        <v>269</v>
      </c>
      <c r="E288" s="11">
        <v>11.1</v>
      </c>
      <c r="F288" s="12"/>
      <c r="G288" s="12"/>
      <c r="H288" s="12">
        <v>15.2</v>
      </c>
      <c r="I288" s="13">
        <v>7.1</v>
      </c>
      <c r="J288" s="16">
        <v>2016</v>
      </c>
      <c r="K288" s="19" t="s">
        <v>144</v>
      </c>
      <c r="L288" s="3" t="s">
        <v>249</v>
      </c>
      <c r="M288" s="3" t="s">
        <v>21</v>
      </c>
      <c r="N288" s="3"/>
      <c r="O288" s="3"/>
    </row>
    <row r="289" spans="2:15" ht="15.6" customHeight="1">
      <c r="B289" s="14"/>
      <c r="C289" s="14"/>
      <c r="D289" s="26" t="s">
        <v>269</v>
      </c>
      <c r="E289" s="11">
        <v>11.1</v>
      </c>
      <c r="F289" s="12"/>
      <c r="G289" s="12"/>
      <c r="H289" s="12">
        <v>15</v>
      </c>
      <c r="I289" s="13">
        <v>7.4</v>
      </c>
      <c r="J289" s="16">
        <v>2014</v>
      </c>
      <c r="K289" s="19" t="s">
        <v>27</v>
      </c>
      <c r="L289" s="3" t="s">
        <v>24</v>
      </c>
      <c r="M289" s="3" t="s">
        <v>21</v>
      </c>
      <c r="N289" s="3"/>
      <c r="O289" s="3"/>
    </row>
    <row r="290" spans="2:15" ht="15.6" customHeight="1">
      <c r="B290" s="14"/>
      <c r="C290" s="14"/>
      <c r="D290" s="26" t="s">
        <v>269</v>
      </c>
      <c r="E290" s="11">
        <v>8.4</v>
      </c>
      <c r="F290" s="12"/>
      <c r="G290" s="12"/>
      <c r="H290" s="12">
        <v>11.8</v>
      </c>
      <c r="I290" s="13">
        <v>5.2</v>
      </c>
      <c r="J290" s="16">
        <v>2010</v>
      </c>
      <c r="K290" s="19" t="s">
        <v>27</v>
      </c>
      <c r="L290" s="3" t="s">
        <v>24</v>
      </c>
      <c r="M290" s="3" t="s">
        <v>21</v>
      </c>
      <c r="N290" s="3"/>
      <c r="O290" s="3"/>
    </row>
    <row r="291" spans="2:15" ht="15.6" customHeight="1">
      <c r="B291" s="14"/>
      <c r="C291" s="14"/>
      <c r="D291" s="26" t="s">
        <v>269</v>
      </c>
      <c r="E291" s="11">
        <v>8.6</v>
      </c>
      <c r="F291" s="12"/>
      <c r="G291" s="12"/>
      <c r="H291" s="12"/>
      <c r="I291" s="13"/>
      <c r="J291" s="16">
        <v>2005</v>
      </c>
      <c r="K291" s="19" t="s">
        <v>27</v>
      </c>
      <c r="L291" s="3" t="s">
        <v>38</v>
      </c>
      <c r="M291" s="3"/>
      <c r="N291" s="3"/>
      <c r="O291" s="3"/>
    </row>
    <row r="292" spans="2:15" ht="15.6" customHeight="1">
      <c r="B292" s="14"/>
      <c r="C292" s="14"/>
      <c r="D292" s="26" t="s">
        <v>270</v>
      </c>
      <c r="E292" s="11">
        <v>8.8000000000000007</v>
      </c>
      <c r="F292" s="12"/>
      <c r="G292" s="12"/>
      <c r="H292" s="12">
        <v>10.7</v>
      </c>
      <c r="I292" s="13">
        <v>6.8</v>
      </c>
      <c r="J292" s="16">
        <v>2021</v>
      </c>
      <c r="K292" s="19" t="s">
        <v>144</v>
      </c>
      <c r="L292" s="3" t="s">
        <v>24</v>
      </c>
      <c r="M292" s="3" t="s">
        <v>21</v>
      </c>
      <c r="N292" s="3"/>
      <c r="O292" s="3"/>
    </row>
    <row r="293" spans="2:15" ht="15.6" customHeight="1">
      <c r="B293" s="14"/>
      <c r="C293" s="14"/>
      <c r="D293" s="26" t="s">
        <v>270</v>
      </c>
      <c r="E293" s="11">
        <v>7.09</v>
      </c>
      <c r="F293" s="12"/>
      <c r="G293" s="12"/>
      <c r="H293" s="12">
        <v>8.8699999999999992</v>
      </c>
      <c r="I293" s="13">
        <v>5.25</v>
      </c>
      <c r="J293" s="16">
        <v>2018</v>
      </c>
      <c r="K293" s="19" t="s">
        <v>144</v>
      </c>
      <c r="L293" s="3" t="s">
        <v>24</v>
      </c>
      <c r="M293" s="3" t="s">
        <v>21</v>
      </c>
      <c r="N293" s="3"/>
      <c r="O293" s="3"/>
    </row>
    <row r="294" spans="2:15" ht="15.6" customHeight="1">
      <c r="B294" s="14"/>
      <c r="C294" s="14"/>
      <c r="D294" s="26" t="s">
        <v>270</v>
      </c>
      <c r="E294" s="11">
        <v>6.1</v>
      </c>
      <c r="F294" s="12">
        <v>5.6</v>
      </c>
      <c r="G294" s="12">
        <v>6.7</v>
      </c>
      <c r="H294" s="12">
        <v>7.4</v>
      </c>
      <c r="I294" s="13">
        <v>4.9000000000000004</v>
      </c>
      <c r="J294" s="16">
        <v>2015</v>
      </c>
      <c r="K294" s="19" t="s">
        <v>144</v>
      </c>
      <c r="L294" s="3" t="s">
        <v>271</v>
      </c>
      <c r="M294" s="3" t="s">
        <v>21</v>
      </c>
      <c r="N294" s="3"/>
      <c r="O294" s="3"/>
    </row>
    <row r="295" spans="2:15" ht="15.6" customHeight="1">
      <c r="B295" s="14"/>
      <c r="C295" s="14"/>
      <c r="D295" s="26" t="s">
        <v>270</v>
      </c>
      <c r="E295" s="11">
        <v>4.5</v>
      </c>
      <c r="F295" s="12"/>
      <c r="G295" s="12"/>
      <c r="H295" s="12">
        <v>6</v>
      </c>
      <c r="I295" s="13">
        <v>3</v>
      </c>
      <c r="J295" s="16">
        <v>2012</v>
      </c>
      <c r="K295" s="19" t="s">
        <v>144</v>
      </c>
      <c r="L295" s="3" t="s">
        <v>24</v>
      </c>
      <c r="M295" s="3" t="s">
        <v>21</v>
      </c>
      <c r="N295" s="3"/>
      <c r="O295" s="3"/>
    </row>
    <row r="296" spans="2:15" ht="15.6" customHeight="1">
      <c r="B296" s="14"/>
      <c r="C296" s="14"/>
      <c r="D296" s="26" t="s">
        <v>270</v>
      </c>
      <c r="E296" s="11">
        <v>4.8</v>
      </c>
      <c r="F296" s="12"/>
      <c r="G296" s="12"/>
      <c r="H296" s="12">
        <v>6.4</v>
      </c>
      <c r="I296" s="13">
        <v>3.1</v>
      </c>
      <c r="J296" s="16">
        <v>2009</v>
      </c>
      <c r="K296" s="19" t="s">
        <v>144</v>
      </c>
      <c r="L296" s="3" t="s">
        <v>24</v>
      </c>
      <c r="M296" s="3" t="s">
        <v>21</v>
      </c>
      <c r="N296" s="3"/>
      <c r="O296" s="3"/>
    </row>
    <row r="297" spans="2:15" ht="15.6" customHeight="1">
      <c r="B297" s="14"/>
      <c r="C297" s="14"/>
      <c r="D297" s="26" t="s">
        <v>270</v>
      </c>
      <c r="E297" s="11">
        <v>4.7</v>
      </c>
      <c r="F297" s="12"/>
      <c r="G297" s="12"/>
      <c r="H297" s="12"/>
      <c r="I297" s="13"/>
      <c r="J297" s="16">
        <v>2007</v>
      </c>
      <c r="K297" s="19" t="s">
        <v>144</v>
      </c>
      <c r="L297" s="3" t="s">
        <v>125</v>
      </c>
      <c r="M297" s="3" t="s">
        <v>51</v>
      </c>
      <c r="N297" s="3"/>
      <c r="O297" s="3"/>
    </row>
    <row r="298" spans="2:15" ht="15.6" customHeight="1">
      <c r="B298" s="14"/>
      <c r="C298" s="14"/>
      <c r="D298" s="26" t="s">
        <v>272</v>
      </c>
      <c r="E298" s="11">
        <v>2.8</v>
      </c>
      <c r="F298" s="12"/>
      <c r="G298" s="12"/>
      <c r="H298" s="12">
        <v>4.0999999999999996</v>
      </c>
      <c r="I298" s="13">
        <v>1.6</v>
      </c>
      <c r="J298" s="16">
        <v>2015</v>
      </c>
      <c r="K298" s="19" t="s">
        <v>144</v>
      </c>
      <c r="L298" s="3" t="s">
        <v>24</v>
      </c>
      <c r="M298" s="3" t="s">
        <v>21</v>
      </c>
      <c r="N298" s="3"/>
      <c r="O298" s="3"/>
    </row>
    <row r="299" spans="2:15" ht="15.6" customHeight="1">
      <c r="B299" s="14"/>
      <c r="C299" s="14"/>
      <c r="D299" s="26" t="s">
        <v>272</v>
      </c>
      <c r="E299" s="11">
        <v>1.7</v>
      </c>
      <c r="F299" s="12"/>
      <c r="G299" s="12"/>
      <c r="H299" s="12">
        <v>2.5</v>
      </c>
      <c r="I299" s="13">
        <v>0.9</v>
      </c>
      <c r="J299" s="16">
        <v>2004</v>
      </c>
      <c r="K299" s="19" t="s">
        <v>27</v>
      </c>
      <c r="L299" s="3" t="s">
        <v>249</v>
      </c>
      <c r="M299" s="3"/>
      <c r="N299" s="3"/>
      <c r="O299" s="3"/>
    </row>
    <row r="300" spans="2:15" ht="15.6" customHeight="1">
      <c r="B300" s="14"/>
      <c r="C300" s="14"/>
      <c r="D300" s="26" t="s">
        <v>273</v>
      </c>
      <c r="E300" s="11">
        <v>1.3</v>
      </c>
      <c r="F300" s="12"/>
      <c r="G300" s="12"/>
      <c r="H300" s="12">
        <v>2</v>
      </c>
      <c r="I300" s="13">
        <v>0.6</v>
      </c>
      <c r="J300" s="16">
        <v>2019</v>
      </c>
      <c r="K300" s="19" t="s">
        <v>144</v>
      </c>
      <c r="L300" s="3" t="s">
        <v>24</v>
      </c>
      <c r="M300" s="3" t="s">
        <v>21</v>
      </c>
      <c r="N300" s="3"/>
      <c r="O300" s="3"/>
    </row>
    <row r="301" spans="2:15" ht="15.6" customHeight="1">
      <c r="B301" s="14"/>
      <c r="C301" s="14"/>
      <c r="D301" s="26" t="s">
        <v>273</v>
      </c>
      <c r="E301" s="11">
        <v>1.53</v>
      </c>
      <c r="F301" s="12"/>
      <c r="G301" s="12"/>
      <c r="H301" s="12">
        <v>2.46</v>
      </c>
      <c r="I301" s="13">
        <v>0.81</v>
      </c>
      <c r="J301" s="16">
        <v>2015</v>
      </c>
      <c r="K301" s="19" t="s">
        <v>144</v>
      </c>
      <c r="L301" s="3" t="s">
        <v>24</v>
      </c>
      <c r="M301" s="3" t="s">
        <v>21</v>
      </c>
      <c r="N301" s="3"/>
      <c r="O301" s="3"/>
    </row>
    <row r="302" spans="2:15" ht="15.6" customHeight="1">
      <c r="B302" s="14"/>
      <c r="C302" s="14"/>
      <c r="D302" s="26" t="s">
        <v>273</v>
      </c>
      <c r="E302" s="11">
        <v>2.2999999999999998</v>
      </c>
      <c r="F302" s="12">
        <v>1.7</v>
      </c>
      <c r="G302" s="12">
        <v>2.9</v>
      </c>
      <c r="H302" s="12"/>
      <c r="I302" s="13"/>
      <c r="J302" s="16">
        <v>2007</v>
      </c>
      <c r="K302" s="19" t="s">
        <v>144</v>
      </c>
      <c r="L302" s="3" t="s">
        <v>24</v>
      </c>
      <c r="M302" s="3" t="s">
        <v>21</v>
      </c>
      <c r="N302" s="3"/>
      <c r="O302" s="3"/>
    </row>
    <row r="303" spans="2:15" ht="15.6" customHeight="1">
      <c r="B303" s="14"/>
      <c r="C303" s="14"/>
      <c r="D303" s="26" t="s">
        <v>274</v>
      </c>
      <c r="E303" s="11">
        <v>5.8</v>
      </c>
      <c r="F303" s="12"/>
      <c r="G303" s="12"/>
      <c r="H303" s="12">
        <v>7.4</v>
      </c>
      <c r="I303" s="13">
        <v>4.2</v>
      </c>
      <c r="J303" s="16">
        <v>2017</v>
      </c>
      <c r="K303" s="19" t="s">
        <v>144</v>
      </c>
      <c r="L303" s="3" t="s">
        <v>24</v>
      </c>
      <c r="M303" s="3" t="s">
        <v>21</v>
      </c>
      <c r="N303" s="3"/>
      <c r="O303" s="3"/>
    </row>
    <row r="304" spans="2:15" ht="15.6" customHeight="1">
      <c r="B304" s="14"/>
      <c r="C304" s="14"/>
      <c r="D304" s="26" t="s">
        <v>274</v>
      </c>
      <c r="E304" s="11">
        <v>6.6</v>
      </c>
      <c r="F304" s="12"/>
      <c r="G304" s="12"/>
      <c r="H304" s="12"/>
      <c r="I304" s="13"/>
      <c r="J304" s="16">
        <v>2012</v>
      </c>
      <c r="K304" s="19" t="s">
        <v>275</v>
      </c>
      <c r="L304" s="3" t="s">
        <v>111</v>
      </c>
      <c r="M304" s="3" t="s">
        <v>21</v>
      </c>
      <c r="N304" s="3"/>
      <c r="O304" s="3"/>
    </row>
    <row r="305" spans="2:15" ht="15.6" customHeight="1">
      <c r="B305" s="14"/>
      <c r="C305" s="14"/>
      <c r="D305" s="26" t="s">
        <v>274</v>
      </c>
      <c r="E305" s="11">
        <v>3.4</v>
      </c>
      <c r="F305" s="12">
        <v>1.67</v>
      </c>
      <c r="G305" s="12">
        <v>5.16</v>
      </c>
      <c r="H305" s="12"/>
      <c r="I305" s="13"/>
      <c r="J305" s="16">
        <v>2011</v>
      </c>
      <c r="K305" s="19" t="s">
        <v>27</v>
      </c>
      <c r="L305" s="3" t="s">
        <v>234</v>
      </c>
      <c r="M305" s="3" t="s">
        <v>44</v>
      </c>
      <c r="N305" s="3" t="s">
        <v>45</v>
      </c>
      <c r="O305" s="3"/>
    </row>
    <row r="306" spans="2:15" ht="15.6" customHeight="1">
      <c r="B306" s="14"/>
      <c r="C306" s="14"/>
      <c r="D306" s="26" t="s">
        <v>274</v>
      </c>
      <c r="E306" s="11">
        <v>3.37</v>
      </c>
      <c r="F306" s="12">
        <v>3.21</v>
      </c>
      <c r="G306" s="12">
        <v>3.53</v>
      </c>
      <c r="H306" s="12"/>
      <c r="I306" s="13"/>
      <c r="J306" s="16">
        <v>2007</v>
      </c>
      <c r="K306" s="19" t="s">
        <v>27</v>
      </c>
      <c r="L306" s="3" t="s">
        <v>241</v>
      </c>
      <c r="M306" s="3" t="s">
        <v>74</v>
      </c>
      <c r="N306" s="3" t="s">
        <v>75</v>
      </c>
      <c r="O306" s="3"/>
    </row>
    <row r="307" spans="2:15" ht="15.6" customHeight="1">
      <c r="B307" s="14"/>
      <c r="C307" s="14"/>
      <c r="D307" s="26" t="s">
        <v>276</v>
      </c>
      <c r="E307" s="11">
        <v>7.1</v>
      </c>
      <c r="F307" s="12"/>
      <c r="G307" s="12"/>
      <c r="H307" s="12">
        <v>9.9</v>
      </c>
      <c r="I307" s="13">
        <v>4.4000000000000004</v>
      </c>
      <c r="J307" s="16">
        <v>2019</v>
      </c>
      <c r="K307" s="19" t="s">
        <v>27</v>
      </c>
      <c r="L307" s="3" t="s">
        <v>24</v>
      </c>
      <c r="M307" s="3" t="s">
        <v>21</v>
      </c>
      <c r="N307" s="3"/>
      <c r="O307" s="3"/>
    </row>
    <row r="308" spans="2:15" ht="15.6" customHeight="1">
      <c r="B308" s="14"/>
      <c r="C308" s="14"/>
      <c r="D308" s="26" t="s">
        <v>276</v>
      </c>
      <c r="E308" s="11">
        <v>7.7</v>
      </c>
      <c r="F308" s="12"/>
      <c r="G308" s="12"/>
      <c r="H308" s="12">
        <v>11.2</v>
      </c>
      <c r="I308" s="13">
        <v>4.3</v>
      </c>
      <c r="J308" s="16">
        <v>2015</v>
      </c>
      <c r="K308" s="19" t="s">
        <v>27</v>
      </c>
      <c r="L308" s="3" t="s">
        <v>24</v>
      </c>
      <c r="M308" s="3" t="s">
        <v>21</v>
      </c>
      <c r="N308" s="3"/>
      <c r="O308" s="3" t="s">
        <v>277</v>
      </c>
    </row>
    <row r="309" spans="2:15" ht="15.6" customHeight="1">
      <c r="B309" s="14"/>
      <c r="C309" s="14"/>
      <c r="D309" s="26" t="s">
        <v>276</v>
      </c>
      <c r="E309" s="11">
        <v>6</v>
      </c>
      <c r="F309" s="12"/>
      <c r="G309" s="12"/>
      <c r="H309" s="12">
        <v>9.1</v>
      </c>
      <c r="I309" s="13">
        <v>2.9</v>
      </c>
      <c r="J309" s="16">
        <v>2011</v>
      </c>
      <c r="K309" s="19" t="s">
        <v>27</v>
      </c>
      <c r="L309" s="3" t="s">
        <v>24</v>
      </c>
      <c r="M309" s="3" t="s">
        <v>21</v>
      </c>
      <c r="N309" s="3"/>
      <c r="O309" s="3"/>
    </row>
    <row r="310" spans="2:15" ht="15.6" customHeight="1">
      <c r="B310" s="14"/>
      <c r="C310" s="14"/>
      <c r="D310" s="26" t="s">
        <v>276</v>
      </c>
      <c r="E310" s="11">
        <v>6.3</v>
      </c>
      <c r="F310" s="12"/>
      <c r="G310" s="12"/>
      <c r="H310" s="12"/>
      <c r="I310" s="13"/>
      <c r="J310" s="16">
        <v>2007</v>
      </c>
      <c r="K310" s="19" t="s">
        <v>27</v>
      </c>
      <c r="L310" s="3" t="s">
        <v>125</v>
      </c>
      <c r="M310" s="3" t="s">
        <v>51</v>
      </c>
      <c r="N310" s="3"/>
      <c r="O310" s="3"/>
    </row>
    <row r="311" spans="2:15" ht="15.6" customHeight="1">
      <c r="B311" s="14"/>
      <c r="C311" s="14"/>
      <c r="D311" s="26" t="s">
        <v>278</v>
      </c>
      <c r="E311" s="11">
        <v>10.8</v>
      </c>
      <c r="F311" s="12"/>
      <c r="G311" s="12"/>
      <c r="H311" s="12">
        <v>13.2</v>
      </c>
      <c r="I311" s="13">
        <v>8.3000000000000007</v>
      </c>
      <c r="J311" s="16">
        <v>2022</v>
      </c>
      <c r="K311" s="19" t="s">
        <v>144</v>
      </c>
      <c r="L311" s="3" t="s">
        <v>24</v>
      </c>
      <c r="M311" s="3" t="s">
        <v>21</v>
      </c>
      <c r="N311" s="3"/>
      <c r="O311" s="3"/>
    </row>
    <row r="312" spans="2:15" ht="15.6" customHeight="1">
      <c r="B312" s="14"/>
      <c r="C312" s="14"/>
      <c r="D312" s="26" t="s">
        <v>278</v>
      </c>
      <c r="E312" s="11">
        <v>10.210000000000001</v>
      </c>
      <c r="F312" s="12"/>
      <c r="G312" s="12"/>
      <c r="H312" s="12">
        <v>12.6</v>
      </c>
      <c r="I312" s="13">
        <v>7.83</v>
      </c>
      <c r="J312" s="16">
        <v>2017</v>
      </c>
      <c r="K312" s="19" t="s">
        <v>27</v>
      </c>
      <c r="L312" s="3" t="s">
        <v>24</v>
      </c>
      <c r="M312" s="3" t="s">
        <v>21</v>
      </c>
      <c r="N312" s="3"/>
      <c r="O312" s="3"/>
    </row>
    <row r="313" spans="2:15" ht="15.6" customHeight="1">
      <c r="B313" s="14"/>
      <c r="C313" s="14"/>
      <c r="D313" s="26" t="s">
        <v>278</v>
      </c>
      <c r="E313" s="11">
        <v>9.1999999999999993</v>
      </c>
      <c r="F313" s="12"/>
      <c r="G313" s="12"/>
      <c r="H313" s="12">
        <v>11.9</v>
      </c>
      <c r="I313" s="13">
        <v>6.6</v>
      </c>
      <c r="J313" s="16">
        <v>2013</v>
      </c>
      <c r="K313" s="19" t="s">
        <v>27</v>
      </c>
      <c r="L313" s="3" t="s">
        <v>24</v>
      </c>
      <c r="M313" s="3" t="s">
        <v>21</v>
      </c>
      <c r="N313" s="3"/>
      <c r="O313" s="3" t="s">
        <v>279</v>
      </c>
    </row>
    <row r="314" spans="2:15" ht="15.6" customHeight="1">
      <c r="B314" s="14"/>
      <c r="C314" s="14"/>
      <c r="D314" s="26" t="s">
        <v>278</v>
      </c>
      <c r="E314" s="11">
        <v>4</v>
      </c>
      <c r="F314" s="12"/>
      <c r="G314" s="12"/>
      <c r="H314" s="12">
        <v>5.19</v>
      </c>
      <c r="I314" s="13">
        <v>3</v>
      </c>
      <c r="J314" s="16">
        <v>2012</v>
      </c>
      <c r="K314" s="19" t="s">
        <v>27</v>
      </c>
      <c r="L314" s="3" t="s">
        <v>24</v>
      </c>
      <c r="M314" s="3" t="s">
        <v>21</v>
      </c>
      <c r="N314" s="3"/>
      <c r="O314" s="3"/>
    </row>
    <row r="315" spans="2:15" ht="15.6" customHeight="1">
      <c r="B315" s="14"/>
      <c r="C315" s="14"/>
      <c r="D315" s="26" t="s">
        <v>278</v>
      </c>
      <c r="E315" s="11">
        <v>14.6</v>
      </c>
      <c r="F315" s="12"/>
      <c r="G315" s="12"/>
      <c r="H315" s="12"/>
      <c r="I315" s="13"/>
      <c r="J315" s="16">
        <v>2008</v>
      </c>
      <c r="K315" s="19" t="s">
        <v>27</v>
      </c>
      <c r="L315" s="3" t="s">
        <v>36</v>
      </c>
      <c r="M315" s="3" t="s">
        <v>21</v>
      </c>
      <c r="N315" s="3"/>
      <c r="O315" s="3"/>
    </row>
    <row r="316" spans="2:15" ht="15.6" customHeight="1">
      <c r="B316" s="14"/>
      <c r="C316" s="14"/>
      <c r="D316" s="26" t="s">
        <v>278</v>
      </c>
      <c r="E316" s="11">
        <v>11.2</v>
      </c>
      <c r="F316" s="12"/>
      <c r="G316" s="12"/>
      <c r="H316" s="12"/>
      <c r="I316" s="13"/>
      <c r="J316" s="16">
        <v>2005</v>
      </c>
      <c r="K316" s="19" t="s">
        <v>19</v>
      </c>
      <c r="L316" s="3" t="s">
        <v>259</v>
      </c>
      <c r="M316" s="3" t="s">
        <v>51</v>
      </c>
      <c r="N316" s="3"/>
      <c r="O316" s="3"/>
    </row>
    <row r="317" spans="2:15" ht="15.6" customHeight="1">
      <c r="B317" s="14"/>
      <c r="C317" s="14"/>
      <c r="D317" s="26" t="s">
        <v>280</v>
      </c>
      <c r="E317" s="11">
        <v>3.9</v>
      </c>
      <c r="F317" s="12"/>
      <c r="G317" s="12"/>
      <c r="H317" s="12">
        <v>6.1</v>
      </c>
      <c r="I317" s="13">
        <v>1.8</v>
      </c>
      <c r="J317" s="16">
        <v>2020</v>
      </c>
      <c r="K317" s="19" t="s">
        <v>27</v>
      </c>
      <c r="L317" s="3" t="s">
        <v>24</v>
      </c>
      <c r="M317" s="3" t="s">
        <v>21</v>
      </c>
      <c r="N317" s="3"/>
      <c r="O317" s="3"/>
    </row>
    <row r="318" spans="2:15" ht="15.6" customHeight="1">
      <c r="B318" s="14"/>
      <c r="C318" s="14"/>
      <c r="D318" s="26" t="s">
        <v>280</v>
      </c>
      <c r="E318" s="11">
        <v>4.2</v>
      </c>
      <c r="F318" s="12"/>
      <c r="G318" s="12"/>
      <c r="H318" s="12">
        <v>6.9</v>
      </c>
      <c r="I318" s="13">
        <v>1.7</v>
      </c>
      <c r="J318" s="16">
        <v>2015</v>
      </c>
      <c r="K318" s="19" t="s">
        <v>27</v>
      </c>
      <c r="L318" s="3" t="s">
        <v>24</v>
      </c>
      <c r="M318" s="3" t="s">
        <v>21</v>
      </c>
      <c r="N318" s="3"/>
      <c r="O318" s="3"/>
    </row>
    <row r="319" spans="2:15" ht="15.6" customHeight="1">
      <c r="B319" s="14"/>
      <c r="C319" s="14"/>
      <c r="D319" s="26" t="s">
        <v>280</v>
      </c>
      <c r="E319" s="11">
        <v>4</v>
      </c>
      <c r="F319" s="12"/>
      <c r="G319" s="12"/>
      <c r="H319" s="12">
        <v>5.7</v>
      </c>
      <c r="I319" s="13">
        <v>2.4</v>
      </c>
      <c r="J319" s="16">
        <v>2011</v>
      </c>
      <c r="K319" s="19" t="s">
        <v>27</v>
      </c>
      <c r="L319" s="3" t="s">
        <v>24</v>
      </c>
      <c r="M319" s="3" t="s">
        <v>21</v>
      </c>
      <c r="N319" s="3"/>
      <c r="O319" s="3"/>
    </row>
    <row r="320" spans="2:15" ht="15.6" customHeight="1">
      <c r="B320" s="14"/>
      <c r="C320" s="14"/>
      <c r="D320" s="26" t="s">
        <v>280</v>
      </c>
      <c r="E320" s="11">
        <v>4.9000000000000004</v>
      </c>
      <c r="F320" s="12"/>
      <c r="G320" s="12"/>
      <c r="H320" s="12"/>
      <c r="I320" s="13"/>
      <c r="J320" s="16">
        <v>2007</v>
      </c>
      <c r="K320" s="19" t="s">
        <v>27</v>
      </c>
      <c r="L320" s="3" t="s">
        <v>38</v>
      </c>
      <c r="M320" s="3"/>
      <c r="N320" s="3"/>
      <c r="O320" s="3"/>
    </row>
    <row r="321" spans="2:15" ht="15.6" customHeight="1">
      <c r="B321" s="14"/>
      <c r="C321" s="14"/>
      <c r="D321" s="26" t="s">
        <v>281</v>
      </c>
      <c r="E321" s="11">
        <v>4.3</v>
      </c>
      <c r="F321" s="12"/>
      <c r="G321" s="12"/>
      <c r="H321" s="12">
        <v>6.7</v>
      </c>
      <c r="I321" s="13">
        <v>1.9</v>
      </c>
      <c r="J321" s="16">
        <v>2021</v>
      </c>
      <c r="K321" s="19" t="s">
        <v>27</v>
      </c>
      <c r="L321" s="3" t="s">
        <v>24</v>
      </c>
      <c r="M321" s="3" t="s">
        <v>21</v>
      </c>
      <c r="N321" s="3"/>
      <c r="O321" s="3"/>
    </row>
    <row r="322" spans="2:15" ht="15.6" customHeight="1">
      <c r="B322" s="14"/>
      <c r="C322" s="14"/>
      <c r="D322" s="26" t="s">
        <v>281</v>
      </c>
      <c r="E322" s="11">
        <v>2.7</v>
      </c>
      <c r="F322" s="12"/>
      <c r="G322" s="12"/>
      <c r="H322" s="12">
        <v>4.5999999999999996</v>
      </c>
      <c r="I322" s="13">
        <v>1</v>
      </c>
      <c r="J322" s="16">
        <v>2016</v>
      </c>
      <c r="K322" s="19" t="s">
        <v>27</v>
      </c>
      <c r="L322" s="3" t="s">
        <v>24</v>
      </c>
      <c r="M322" s="3" t="s">
        <v>21</v>
      </c>
      <c r="N322" s="3"/>
      <c r="O322" s="3"/>
    </row>
    <row r="323" spans="2:15" ht="15.6" customHeight="1">
      <c r="B323" s="14"/>
      <c r="C323" s="14"/>
      <c r="D323" s="26" t="s">
        <v>281</v>
      </c>
      <c r="E323" s="11">
        <v>2.2999999999999998</v>
      </c>
      <c r="F323" s="12"/>
      <c r="G323" s="12"/>
      <c r="H323" s="12">
        <v>3.6</v>
      </c>
      <c r="I323" s="13">
        <v>1</v>
      </c>
      <c r="J323" s="16">
        <v>2012</v>
      </c>
      <c r="K323" s="19" t="s">
        <v>27</v>
      </c>
      <c r="L323" s="3" t="s">
        <v>24</v>
      </c>
      <c r="M323" s="3" t="s">
        <v>21</v>
      </c>
      <c r="N323" s="3"/>
      <c r="O323" s="3"/>
    </row>
    <row r="324" spans="2:15" ht="15.6" customHeight="1">
      <c r="B324" s="14"/>
      <c r="C324" s="14"/>
      <c r="D324" s="26" t="s">
        <v>281</v>
      </c>
      <c r="E324" s="11">
        <v>5.6</v>
      </c>
      <c r="F324" s="12"/>
      <c r="G324" s="12"/>
      <c r="H324" s="12"/>
      <c r="I324" s="13"/>
      <c r="J324" s="16">
        <v>2008</v>
      </c>
      <c r="K324" s="19" t="s">
        <v>27</v>
      </c>
      <c r="L324" s="3" t="s">
        <v>24</v>
      </c>
      <c r="M324" s="3" t="s">
        <v>21</v>
      </c>
      <c r="N324" s="3"/>
      <c r="O324" s="3"/>
    </row>
    <row r="325" spans="2:15" ht="15.6" customHeight="1">
      <c r="B325" s="14"/>
      <c r="C325" s="14"/>
      <c r="D325" s="26" t="s">
        <v>281</v>
      </c>
      <c r="E325" s="11">
        <v>2.2000000000000002</v>
      </c>
      <c r="F325" s="12"/>
      <c r="G325" s="12"/>
      <c r="H325" s="12"/>
      <c r="I325" s="13"/>
      <c r="J325" s="16">
        <v>2004</v>
      </c>
      <c r="K325" s="19" t="s">
        <v>27</v>
      </c>
      <c r="L325" s="3" t="s">
        <v>38</v>
      </c>
      <c r="M325" s="3"/>
      <c r="N325" s="3"/>
      <c r="O325" s="3"/>
    </row>
    <row r="326" spans="2:15" ht="15.6" customHeight="1">
      <c r="B326" s="14"/>
      <c r="C326" s="14"/>
      <c r="D326" s="26" t="s">
        <v>282</v>
      </c>
      <c r="E326" s="11">
        <v>5.4</v>
      </c>
      <c r="F326" s="12"/>
      <c r="G326" s="12"/>
      <c r="H326" s="12">
        <v>7</v>
      </c>
      <c r="I326" s="13">
        <v>4</v>
      </c>
      <c r="J326" s="16">
        <v>2019</v>
      </c>
      <c r="K326" s="19" t="s">
        <v>27</v>
      </c>
      <c r="L326" s="3" t="s">
        <v>283</v>
      </c>
      <c r="M326" s="3" t="s">
        <v>21</v>
      </c>
      <c r="N326" s="3"/>
      <c r="O326" s="3"/>
    </row>
    <row r="327" spans="2:15" ht="15.6" customHeight="1">
      <c r="B327" s="14"/>
      <c r="C327" s="14"/>
      <c r="D327" s="26" t="s">
        <v>282</v>
      </c>
      <c r="E327" s="11">
        <v>4.8</v>
      </c>
      <c r="F327" s="12"/>
      <c r="G327" s="12"/>
      <c r="H327" s="12">
        <v>6.5</v>
      </c>
      <c r="I327" s="13">
        <v>3.5</v>
      </c>
      <c r="J327" s="16">
        <v>2014</v>
      </c>
      <c r="K327" s="19" t="s">
        <v>27</v>
      </c>
      <c r="L327" s="3" t="s">
        <v>283</v>
      </c>
      <c r="M327" s="3" t="s">
        <v>21</v>
      </c>
      <c r="N327" s="3"/>
      <c r="O327" s="3"/>
    </row>
    <row r="328" spans="2:15" ht="15.6" customHeight="1">
      <c r="B328" s="14"/>
      <c r="C328" s="14"/>
      <c r="D328" s="26" t="s">
        <v>284</v>
      </c>
      <c r="E328" s="11">
        <v>0.9</v>
      </c>
      <c r="F328" s="12"/>
      <c r="G328" s="12"/>
      <c r="H328" s="12"/>
      <c r="I328" s="13"/>
      <c r="J328" s="16">
        <v>2013</v>
      </c>
      <c r="K328" s="19" t="s">
        <v>27</v>
      </c>
      <c r="L328" s="3" t="s">
        <v>24</v>
      </c>
      <c r="M328" s="3" t="s">
        <v>21</v>
      </c>
      <c r="N328" s="3"/>
      <c r="O328" s="3"/>
    </row>
    <row r="329" spans="2:15" ht="15.6" customHeight="1">
      <c r="B329" s="14"/>
      <c r="C329" s="14"/>
      <c r="D329" s="26" t="s">
        <v>284</v>
      </c>
      <c r="E329" s="11">
        <v>3.1</v>
      </c>
      <c r="F329" s="12">
        <v>1.39</v>
      </c>
      <c r="G329" s="12">
        <v>4.82</v>
      </c>
      <c r="H329" s="12"/>
      <c r="I329" s="13"/>
      <c r="J329" s="16">
        <v>2011</v>
      </c>
      <c r="K329" s="19" t="s">
        <v>27</v>
      </c>
      <c r="L329" s="3" t="s">
        <v>234</v>
      </c>
      <c r="M329" s="3" t="s">
        <v>44</v>
      </c>
      <c r="N329" s="3" t="s">
        <v>45</v>
      </c>
      <c r="O329" s="3"/>
    </row>
    <row r="330" spans="2:15" ht="15.6" customHeight="1">
      <c r="B330" s="14"/>
      <c r="C330" s="14"/>
      <c r="D330" s="26" t="s">
        <v>284</v>
      </c>
      <c r="E330" s="11">
        <v>4.51</v>
      </c>
      <c r="F330" s="12">
        <v>4.42</v>
      </c>
      <c r="G330" s="12">
        <v>4.5999999999999996</v>
      </c>
      <c r="H330" s="12"/>
      <c r="I330" s="13"/>
      <c r="J330" s="16">
        <v>2007</v>
      </c>
      <c r="K330" s="19" t="s">
        <v>27</v>
      </c>
      <c r="L330" s="3" t="s">
        <v>241</v>
      </c>
      <c r="M330" s="3" t="s">
        <v>74</v>
      </c>
      <c r="N330" s="3" t="s">
        <v>75</v>
      </c>
      <c r="O330" s="3"/>
    </row>
    <row r="331" spans="2:15" ht="15.6" customHeight="1">
      <c r="B331" s="14"/>
      <c r="C331" s="14"/>
      <c r="D331" s="26" t="s">
        <v>285</v>
      </c>
      <c r="E331" s="11">
        <v>10.47</v>
      </c>
      <c r="F331" s="12"/>
      <c r="G331" s="12"/>
      <c r="H331" s="12"/>
      <c r="I331" s="13"/>
      <c r="J331" s="16">
        <v>2017</v>
      </c>
      <c r="K331" s="19" t="s">
        <v>144</v>
      </c>
      <c r="L331" s="3" t="s">
        <v>238</v>
      </c>
      <c r="M331" s="3" t="s">
        <v>44</v>
      </c>
      <c r="N331" s="3" t="s">
        <v>45</v>
      </c>
      <c r="O331" s="3"/>
    </row>
    <row r="332" spans="2:15" ht="15.6" customHeight="1">
      <c r="B332" s="14"/>
      <c r="C332" s="14"/>
      <c r="D332" s="26" t="s">
        <v>286</v>
      </c>
      <c r="E332" s="11">
        <v>9.9</v>
      </c>
      <c r="F332" s="12"/>
      <c r="G332" s="12"/>
      <c r="H332" s="12">
        <v>13.7</v>
      </c>
      <c r="I332" s="13">
        <v>6.1</v>
      </c>
      <c r="J332" s="16">
        <v>2023</v>
      </c>
      <c r="K332" s="19" t="s">
        <v>27</v>
      </c>
      <c r="L332" s="3" t="s">
        <v>38</v>
      </c>
      <c r="M332" s="3" t="s">
        <v>51</v>
      </c>
      <c r="N332" s="3"/>
      <c r="O332" s="3"/>
    </row>
    <row r="333" spans="2:15" ht="15.6" customHeight="1">
      <c r="B333" s="14"/>
      <c r="C333" s="14"/>
      <c r="D333" s="26" t="s">
        <v>286</v>
      </c>
      <c r="E333" s="11">
        <v>10.199999999999999</v>
      </c>
      <c r="F333" s="12"/>
      <c r="G333" s="12"/>
      <c r="H333" s="12">
        <v>13.7</v>
      </c>
      <c r="I333" s="13">
        <v>6.6</v>
      </c>
      <c r="J333" s="16">
        <v>2022</v>
      </c>
      <c r="K333" s="19" t="s">
        <v>27</v>
      </c>
      <c r="L333" s="3" t="s">
        <v>24</v>
      </c>
      <c r="M333" s="3" t="s">
        <v>21</v>
      </c>
      <c r="N333" s="3"/>
      <c r="O333" s="3"/>
    </row>
    <row r="334" spans="2:15" ht="15.6" customHeight="1">
      <c r="B334" s="14"/>
      <c r="C334" s="14"/>
      <c r="D334" s="26" t="s">
        <v>286</v>
      </c>
      <c r="E334" s="11">
        <v>10.4</v>
      </c>
      <c r="F334" s="12"/>
      <c r="G334" s="12"/>
      <c r="H334" s="12">
        <v>13.5</v>
      </c>
      <c r="I334" s="13">
        <v>7.2</v>
      </c>
      <c r="J334" s="16">
        <v>2021</v>
      </c>
      <c r="K334" s="19" t="s">
        <v>27</v>
      </c>
      <c r="L334" s="3" t="s">
        <v>24</v>
      </c>
      <c r="M334" s="3" t="s">
        <v>21</v>
      </c>
      <c r="N334" s="3"/>
      <c r="O334" s="3"/>
    </row>
    <row r="335" spans="2:15" ht="15.6" customHeight="1">
      <c r="B335" s="14"/>
      <c r="C335" s="14"/>
      <c r="D335" s="26" t="s">
        <v>286</v>
      </c>
      <c r="E335" s="11">
        <v>10.1</v>
      </c>
      <c r="F335" s="12"/>
      <c r="G335" s="12"/>
      <c r="H335" s="12">
        <v>12.9</v>
      </c>
      <c r="I335" s="13">
        <v>7.3</v>
      </c>
      <c r="J335" s="16">
        <v>2020</v>
      </c>
      <c r="K335" s="19" t="s">
        <v>27</v>
      </c>
      <c r="L335" s="3" t="s">
        <v>24</v>
      </c>
      <c r="M335" s="3" t="s">
        <v>21</v>
      </c>
      <c r="N335" s="3"/>
      <c r="O335" s="3"/>
    </row>
    <row r="336" spans="2:15" ht="15.6" customHeight="1">
      <c r="B336" s="14"/>
      <c r="C336" s="14"/>
      <c r="D336" s="26" t="s">
        <v>286</v>
      </c>
      <c r="E336" s="11">
        <v>9.3000000000000007</v>
      </c>
      <c r="F336" s="12"/>
      <c r="G336" s="12"/>
      <c r="H336" s="12">
        <v>12.1</v>
      </c>
      <c r="I336" s="13">
        <v>6.4</v>
      </c>
      <c r="J336" s="16">
        <v>2019</v>
      </c>
      <c r="K336" s="19" t="s">
        <v>27</v>
      </c>
      <c r="L336" s="3" t="s">
        <v>249</v>
      </c>
      <c r="M336" s="3" t="s">
        <v>21</v>
      </c>
      <c r="N336" s="3"/>
      <c r="O336" s="3"/>
    </row>
    <row r="337" spans="2:15" ht="15.6" customHeight="1">
      <c r="B337" s="14"/>
      <c r="C337" s="14"/>
      <c r="D337" s="26" t="s">
        <v>286</v>
      </c>
      <c r="E337" s="11">
        <v>9.6</v>
      </c>
      <c r="F337" s="12"/>
      <c r="G337" s="12"/>
      <c r="H337" s="12">
        <v>13.9</v>
      </c>
      <c r="I337" s="13">
        <v>6.3</v>
      </c>
      <c r="J337" s="16">
        <v>2018</v>
      </c>
      <c r="K337" s="19" t="s">
        <v>27</v>
      </c>
      <c r="L337" s="3" t="s">
        <v>249</v>
      </c>
      <c r="M337" s="3" t="s">
        <v>21</v>
      </c>
      <c r="N337" s="3"/>
      <c r="O337" s="3"/>
    </row>
    <row r="338" spans="2:15" ht="15.6" customHeight="1">
      <c r="B338" s="14"/>
      <c r="C338" s="14"/>
      <c r="D338" s="26" t="s">
        <v>286</v>
      </c>
      <c r="E338" s="11">
        <v>9.1999999999999993</v>
      </c>
      <c r="F338" s="12">
        <v>8.5</v>
      </c>
      <c r="G338" s="12">
        <v>9.9</v>
      </c>
      <c r="H338" s="12">
        <v>12.3</v>
      </c>
      <c r="I338" s="13">
        <v>6.2</v>
      </c>
      <c r="J338" s="16">
        <v>2017</v>
      </c>
      <c r="K338" s="19" t="s">
        <v>27</v>
      </c>
      <c r="L338" s="3" t="s">
        <v>249</v>
      </c>
      <c r="M338" s="3" t="s">
        <v>21</v>
      </c>
      <c r="N338" s="3"/>
      <c r="O338" s="3"/>
    </row>
    <row r="339" spans="2:15" ht="15.6" customHeight="1">
      <c r="B339" s="14"/>
      <c r="C339" s="14"/>
      <c r="D339" s="26" t="s">
        <v>286</v>
      </c>
      <c r="E339" s="11">
        <v>8.4</v>
      </c>
      <c r="F339" s="12"/>
      <c r="G339" s="12"/>
      <c r="H339" s="12">
        <v>11</v>
      </c>
      <c r="I339" s="13">
        <v>5.7</v>
      </c>
      <c r="J339" s="16">
        <v>2016</v>
      </c>
      <c r="K339" s="19" t="s">
        <v>27</v>
      </c>
      <c r="L339" s="3" t="s">
        <v>249</v>
      </c>
      <c r="M339" s="3" t="s">
        <v>21</v>
      </c>
      <c r="N339" s="3"/>
      <c r="O339" s="3"/>
    </row>
    <row r="340" spans="2:15" ht="15.6" customHeight="1">
      <c r="B340" s="14"/>
      <c r="C340" s="14"/>
      <c r="D340" s="26" t="s">
        <v>286</v>
      </c>
      <c r="E340" s="11">
        <v>8.6999999999999993</v>
      </c>
      <c r="F340" s="12"/>
      <c r="G340" s="12"/>
      <c r="H340" s="12">
        <v>11.6</v>
      </c>
      <c r="I340" s="13">
        <v>5.7</v>
      </c>
      <c r="J340" s="16">
        <v>2015</v>
      </c>
      <c r="K340" s="19" t="s">
        <v>27</v>
      </c>
      <c r="L340" s="3" t="s">
        <v>249</v>
      </c>
      <c r="M340" s="3" t="s">
        <v>21</v>
      </c>
      <c r="N340" s="3"/>
      <c r="O340" s="3"/>
    </row>
    <row r="341" spans="2:15" ht="15.6" customHeight="1">
      <c r="B341" s="14"/>
      <c r="C341" s="14"/>
      <c r="D341" s="26" t="s">
        <v>286</v>
      </c>
      <c r="E341" s="11">
        <v>8</v>
      </c>
      <c r="F341" s="12"/>
      <c r="G341" s="12"/>
      <c r="H341" s="12">
        <v>10.5</v>
      </c>
      <c r="I341" s="13">
        <v>5.4</v>
      </c>
      <c r="J341" s="16">
        <v>2014</v>
      </c>
      <c r="K341" s="19" t="s">
        <v>27</v>
      </c>
      <c r="L341" s="3" t="s">
        <v>24</v>
      </c>
      <c r="M341" s="3" t="s">
        <v>21</v>
      </c>
      <c r="N341" s="3"/>
      <c r="O341" s="3"/>
    </row>
    <row r="342" spans="2:15" ht="15.6" customHeight="1">
      <c r="B342" s="14"/>
      <c r="C342" s="14"/>
      <c r="D342" s="26" t="s">
        <v>286</v>
      </c>
      <c r="E342" s="11">
        <v>7</v>
      </c>
      <c r="F342" s="12"/>
      <c r="G342" s="12"/>
      <c r="H342" s="12"/>
      <c r="I342" s="13"/>
      <c r="J342" s="16">
        <v>2009</v>
      </c>
      <c r="K342" s="19" t="s">
        <v>27</v>
      </c>
      <c r="L342" s="3" t="s">
        <v>24</v>
      </c>
      <c r="M342" s="3"/>
      <c r="N342" s="3"/>
      <c r="O342" s="3"/>
    </row>
    <row r="343" spans="2:15" ht="15.6" customHeight="1">
      <c r="B343" s="14"/>
      <c r="C343" s="14"/>
      <c r="D343" s="26" t="s">
        <v>286</v>
      </c>
      <c r="E343" s="11">
        <v>5.4</v>
      </c>
      <c r="F343" s="12"/>
      <c r="G343" s="12"/>
      <c r="H343" s="12"/>
      <c r="I343" s="13"/>
      <c r="J343" s="16">
        <v>2005</v>
      </c>
      <c r="K343" s="19" t="s">
        <v>27</v>
      </c>
      <c r="L343" s="3" t="s">
        <v>38</v>
      </c>
      <c r="M343" s="3"/>
      <c r="N343" s="3"/>
      <c r="O343" s="3"/>
    </row>
    <row r="344" spans="2:15" ht="15.6" customHeight="1">
      <c r="B344" s="14"/>
      <c r="C344" s="14"/>
      <c r="D344" s="26" t="s">
        <v>287</v>
      </c>
      <c r="E344" s="11">
        <v>5.4</v>
      </c>
      <c r="F344" s="12"/>
      <c r="G344" s="12"/>
      <c r="H344" s="12">
        <v>6.8</v>
      </c>
      <c r="I344" s="13">
        <v>3.9</v>
      </c>
      <c r="J344" s="16">
        <v>2023</v>
      </c>
      <c r="K344" s="19" t="s">
        <v>265</v>
      </c>
      <c r="L344" s="3" t="s">
        <v>38</v>
      </c>
      <c r="M344" s="3" t="s">
        <v>51</v>
      </c>
      <c r="N344" s="3"/>
      <c r="O344" s="3"/>
    </row>
    <row r="345" spans="2:15" ht="15.6" customHeight="1">
      <c r="B345" s="14"/>
      <c r="C345" s="14"/>
      <c r="D345" s="26" t="s">
        <v>287</v>
      </c>
      <c r="E345" s="11">
        <v>4.4000000000000004</v>
      </c>
      <c r="F345" s="12"/>
      <c r="G345" s="12"/>
      <c r="H345" s="12">
        <v>6.7</v>
      </c>
      <c r="I345" s="13">
        <v>1.9</v>
      </c>
      <c r="J345" s="16">
        <v>2021</v>
      </c>
      <c r="K345" s="19" t="s">
        <v>265</v>
      </c>
      <c r="L345" s="3" t="s">
        <v>24</v>
      </c>
      <c r="M345" s="3" t="s">
        <v>21</v>
      </c>
      <c r="N345" s="3"/>
      <c r="O345" s="3"/>
    </row>
    <row r="346" spans="2:15" ht="15.6" customHeight="1">
      <c r="B346" s="14"/>
      <c r="C346" s="14"/>
      <c r="D346" s="26" t="s">
        <v>287</v>
      </c>
      <c r="E346" s="11">
        <v>4.3</v>
      </c>
      <c r="F346" s="12"/>
      <c r="G346" s="12"/>
      <c r="H346" s="12">
        <v>5.8</v>
      </c>
      <c r="I346" s="13">
        <v>2.8</v>
      </c>
      <c r="J346" s="16">
        <v>2020</v>
      </c>
      <c r="K346" s="19" t="s">
        <v>265</v>
      </c>
      <c r="L346" s="3" t="s">
        <v>24</v>
      </c>
      <c r="M346" s="3" t="s">
        <v>21</v>
      </c>
      <c r="N346" s="3"/>
      <c r="O346" s="3"/>
    </row>
    <row r="347" spans="2:15" ht="15.6" customHeight="1">
      <c r="B347" s="14"/>
      <c r="C347" s="14"/>
      <c r="D347" s="26" t="s">
        <v>287</v>
      </c>
      <c r="E347" s="11">
        <v>5.0999999999999996</v>
      </c>
      <c r="F347" s="12"/>
      <c r="G347" s="12"/>
      <c r="H347" s="12">
        <v>7.1</v>
      </c>
      <c r="I347" s="13">
        <v>3</v>
      </c>
      <c r="J347" s="16">
        <v>2019</v>
      </c>
      <c r="K347" s="19" t="s">
        <v>265</v>
      </c>
      <c r="L347" s="3" t="s">
        <v>24</v>
      </c>
      <c r="M347" s="3" t="s">
        <v>21</v>
      </c>
      <c r="N347" s="3"/>
      <c r="O347" s="3"/>
    </row>
    <row r="348" spans="2:15" ht="15.6" customHeight="1">
      <c r="B348" s="14"/>
      <c r="C348" s="14"/>
      <c r="D348" s="26" t="s">
        <v>287</v>
      </c>
      <c r="E348" s="11">
        <v>5.4</v>
      </c>
      <c r="F348" s="12"/>
      <c r="G348" s="12"/>
      <c r="H348" s="12">
        <v>7</v>
      </c>
      <c r="I348" s="13">
        <v>3.7</v>
      </c>
      <c r="J348" s="16">
        <v>2018</v>
      </c>
      <c r="K348" s="19" t="s">
        <v>265</v>
      </c>
      <c r="L348" s="3" t="s">
        <v>24</v>
      </c>
      <c r="M348" s="3" t="s">
        <v>21</v>
      </c>
      <c r="N348" s="3"/>
      <c r="O348" s="3" t="s">
        <v>288</v>
      </c>
    </row>
    <row r="349" spans="2:15" ht="15.6" customHeight="1">
      <c r="B349" s="14"/>
      <c r="C349" s="14"/>
      <c r="D349" s="26" t="s">
        <v>287</v>
      </c>
      <c r="E349" s="11">
        <v>5.3</v>
      </c>
      <c r="F349" s="12"/>
      <c r="G349" s="12"/>
      <c r="H349" s="12">
        <v>7</v>
      </c>
      <c r="I349" s="13">
        <v>3.4</v>
      </c>
      <c r="J349" s="16">
        <v>2017</v>
      </c>
      <c r="K349" s="19" t="s">
        <v>265</v>
      </c>
      <c r="L349" s="3" t="s">
        <v>24</v>
      </c>
      <c r="M349" s="3" t="s">
        <v>21</v>
      </c>
      <c r="N349" s="3"/>
      <c r="O349" s="3" t="s">
        <v>289</v>
      </c>
    </row>
    <row r="350" spans="2:15" ht="15.6" customHeight="1">
      <c r="B350" s="14"/>
      <c r="C350" s="14"/>
      <c r="D350" s="26" t="s">
        <v>287</v>
      </c>
      <c r="E350" s="11">
        <v>3.9</v>
      </c>
      <c r="F350" s="12"/>
      <c r="G350" s="12"/>
      <c r="H350" s="12">
        <v>5.0999999999999996</v>
      </c>
      <c r="I350" s="13">
        <v>2.6</v>
      </c>
      <c r="J350" s="16">
        <v>2016</v>
      </c>
      <c r="K350" s="19" t="s">
        <v>265</v>
      </c>
      <c r="L350" s="3" t="s">
        <v>24</v>
      </c>
      <c r="M350" s="3" t="s">
        <v>21</v>
      </c>
      <c r="N350" s="3"/>
      <c r="O350" s="3"/>
    </row>
    <row r="351" spans="2:15" ht="15.6" customHeight="1">
      <c r="B351" s="14"/>
      <c r="C351" s="14"/>
      <c r="D351" s="26" t="s">
        <v>287</v>
      </c>
      <c r="E351" s="11">
        <v>4.2</v>
      </c>
      <c r="F351" s="12"/>
      <c r="G351" s="12"/>
      <c r="H351" s="12">
        <v>5.5</v>
      </c>
      <c r="I351" s="13">
        <v>2.9</v>
      </c>
      <c r="J351" s="16">
        <v>2015</v>
      </c>
      <c r="K351" s="19" t="s">
        <v>265</v>
      </c>
      <c r="L351" s="3" t="s">
        <v>24</v>
      </c>
      <c r="M351" s="3" t="s">
        <v>21</v>
      </c>
      <c r="N351" s="3"/>
      <c r="O351" s="3"/>
    </row>
    <row r="352" spans="2:15" ht="15.6" customHeight="1">
      <c r="B352" s="14"/>
      <c r="C352" s="14"/>
      <c r="D352" s="26" t="s">
        <v>287</v>
      </c>
      <c r="E352" s="11">
        <v>4.2</v>
      </c>
      <c r="F352" s="12"/>
      <c r="G352" s="12"/>
      <c r="H352" s="12">
        <v>6</v>
      </c>
      <c r="I352" s="13">
        <v>2.2999999999999998</v>
      </c>
      <c r="J352" s="16">
        <v>2014</v>
      </c>
      <c r="K352" s="19" t="s">
        <v>265</v>
      </c>
      <c r="L352" s="3" t="s">
        <v>24</v>
      </c>
      <c r="M352" s="3" t="s">
        <v>21</v>
      </c>
      <c r="N352" s="3"/>
      <c r="O352" s="3"/>
    </row>
    <row r="353" spans="2:15" ht="15.6" customHeight="1">
      <c r="B353" s="14"/>
      <c r="C353" s="14"/>
      <c r="D353" s="26" t="s">
        <v>287</v>
      </c>
      <c r="E353" s="11">
        <v>5.0999999999999996</v>
      </c>
      <c r="F353" s="12"/>
      <c r="G353" s="12"/>
      <c r="H353" s="12">
        <v>7.2</v>
      </c>
      <c r="I353" s="13">
        <v>2.8</v>
      </c>
      <c r="J353" s="16">
        <v>2013</v>
      </c>
      <c r="K353" s="19" t="s">
        <v>265</v>
      </c>
      <c r="L353" s="3" t="s">
        <v>24</v>
      </c>
      <c r="M353" s="3" t="s">
        <v>21</v>
      </c>
      <c r="N353" s="3"/>
      <c r="O353" s="3"/>
    </row>
    <row r="354" spans="2:15" ht="15.6" customHeight="1">
      <c r="B354" s="14"/>
      <c r="C354" s="14"/>
      <c r="D354" s="26" t="s">
        <v>287</v>
      </c>
      <c r="E354" s="11">
        <v>3.8</v>
      </c>
      <c r="F354" s="12"/>
      <c r="G354" s="12"/>
      <c r="H354" s="12"/>
      <c r="I354" s="13"/>
      <c r="J354" s="16">
        <v>2009</v>
      </c>
      <c r="K354" s="19" t="s">
        <v>27</v>
      </c>
      <c r="L354" s="3" t="s">
        <v>24</v>
      </c>
      <c r="M354" s="3" t="s">
        <v>21</v>
      </c>
      <c r="N354" s="3"/>
      <c r="O354" s="3"/>
    </row>
    <row r="355" spans="2:15" ht="15.6" customHeight="1">
      <c r="B355" s="14"/>
      <c r="C355" s="14"/>
      <c r="D355" s="26" t="s">
        <v>287</v>
      </c>
      <c r="E355" s="11">
        <v>4.5999999999999996</v>
      </c>
      <c r="F355" s="12"/>
      <c r="G355" s="12"/>
      <c r="H355" s="12"/>
      <c r="I355" s="13"/>
      <c r="J355" s="16">
        <v>2004</v>
      </c>
      <c r="K355" s="19" t="s">
        <v>27</v>
      </c>
      <c r="L355" s="3" t="s">
        <v>38</v>
      </c>
      <c r="M355" s="3"/>
      <c r="N355" s="3"/>
      <c r="O355" s="3"/>
    </row>
    <row r="356" spans="2:15" ht="15.6" customHeight="1">
      <c r="B356" s="14"/>
      <c r="C356" s="14"/>
      <c r="D356" s="26" t="s">
        <v>290</v>
      </c>
      <c r="E356" s="11">
        <v>3.8</v>
      </c>
      <c r="F356" s="12"/>
      <c r="G356" s="12"/>
      <c r="H356" s="12">
        <v>5</v>
      </c>
      <c r="I356" s="13">
        <v>2.6</v>
      </c>
      <c r="J356" s="16">
        <v>2019</v>
      </c>
      <c r="K356" s="19" t="s">
        <v>27</v>
      </c>
      <c r="L356" s="3" t="s">
        <v>24</v>
      </c>
      <c r="M356" s="3" t="s">
        <v>21</v>
      </c>
      <c r="N356" s="3"/>
      <c r="O356" s="3" t="s">
        <v>291</v>
      </c>
    </row>
    <row r="357" spans="2:15" ht="15.6" customHeight="1">
      <c r="B357" s="14"/>
      <c r="C357" s="14"/>
      <c r="D357" s="26" t="s">
        <v>290</v>
      </c>
      <c r="E357" s="11">
        <v>2.4</v>
      </c>
      <c r="F357" s="12"/>
      <c r="G357" s="12"/>
      <c r="H357" s="12">
        <v>3.2</v>
      </c>
      <c r="I357" s="13">
        <v>1.7</v>
      </c>
      <c r="J357" s="16">
        <v>2016</v>
      </c>
      <c r="K357" s="19" t="s">
        <v>27</v>
      </c>
      <c r="L357" s="3" t="s">
        <v>24</v>
      </c>
      <c r="M357" s="3" t="s">
        <v>21</v>
      </c>
      <c r="N357" s="3"/>
      <c r="O357" s="3"/>
    </row>
    <row r="358" spans="2:15" ht="15.6" customHeight="1">
      <c r="B358" s="14"/>
      <c r="C358" s="14"/>
      <c r="D358" s="26" t="s">
        <v>290</v>
      </c>
      <c r="E358" s="11">
        <v>4.5999999999999996</v>
      </c>
      <c r="F358" s="12"/>
      <c r="G358" s="12"/>
      <c r="H358" s="12">
        <v>7.8</v>
      </c>
      <c r="I358" s="13">
        <v>1.7</v>
      </c>
      <c r="J358" s="16">
        <v>2014</v>
      </c>
      <c r="K358" s="19" t="s">
        <v>27</v>
      </c>
      <c r="L358" s="3" t="s">
        <v>24</v>
      </c>
      <c r="M358" s="3" t="s">
        <v>21</v>
      </c>
      <c r="N358" s="3"/>
      <c r="O358" s="3" t="s">
        <v>292</v>
      </c>
    </row>
    <row r="359" spans="2:15" ht="15.6" customHeight="1">
      <c r="B359" s="14"/>
      <c r="C359" s="14"/>
      <c r="D359" s="26" t="s">
        <v>290</v>
      </c>
      <c r="E359" s="11">
        <v>3.8</v>
      </c>
      <c r="F359" s="12"/>
      <c r="G359" s="12"/>
      <c r="H359" s="12">
        <v>6</v>
      </c>
      <c r="I359" s="13">
        <v>1.7</v>
      </c>
      <c r="J359" s="16">
        <v>2012</v>
      </c>
      <c r="K359" s="19" t="s">
        <v>27</v>
      </c>
      <c r="L359" s="3" t="s">
        <v>24</v>
      </c>
      <c r="M359" s="3" t="s">
        <v>21</v>
      </c>
      <c r="N359" s="3"/>
      <c r="O359" s="3"/>
    </row>
    <row r="360" spans="2:15" ht="15.6" customHeight="1">
      <c r="B360" s="14"/>
      <c r="C360" s="14"/>
      <c r="D360" s="26" t="s">
        <v>290</v>
      </c>
      <c r="E360" s="11">
        <v>9.6</v>
      </c>
      <c r="F360" s="12"/>
      <c r="G360" s="12"/>
      <c r="H360" s="12"/>
      <c r="I360" s="13"/>
      <c r="J360" s="16">
        <v>2010</v>
      </c>
      <c r="K360" s="19" t="s">
        <v>27</v>
      </c>
      <c r="L360" s="3" t="s">
        <v>24</v>
      </c>
      <c r="M360" s="3" t="s">
        <v>21</v>
      </c>
      <c r="N360" s="3"/>
      <c r="O360" s="3"/>
    </row>
    <row r="361" spans="2:15" ht="15.6" customHeight="1">
      <c r="B361" s="14"/>
      <c r="C361" s="14"/>
      <c r="D361" s="26" t="s">
        <v>290</v>
      </c>
      <c r="E361" s="11">
        <v>2.7</v>
      </c>
      <c r="F361" s="12"/>
      <c r="G361" s="12"/>
      <c r="H361" s="12"/>
      <c r="I361" s="13"/>
      <c r="J361" s="16">
        <v>2006</v>
      </c>
      <c r="K361" s="19" t="s">
        <v>27</v>
      </c>
      <c r="L361" s="3" t="s">
        <v>38</v>
      </c>
      <c r="M361" s="3" t="s">
        <v>51</v>
      </c>
      <c r="N361" s="3"/>
      <c r="O361" s="3"/>
    </row>
    <row r="362" spans="2:15" ht="15.6" customHeight="1">
      <c r="B362" s="14"/>
      <c r="C362" s="14"/>
      <c r="D362" s="26" t="s">
        <v>293</v>
      </c>
      <c r="E362" s="11">
        <v>2.8</v>
      </c>
      <c r="F362" s="12"/>
      <c r="G362" s="12"/>
      <c r="H362" s="12">
        <v>4.5</v>
      </c>
      <c r="I362" s="13">
        <v>1.2</v>
      </c>
      <c r="J362" s="16">
        <v>2022</v>
      </c>
      <c r="K362" s="19" t="s">
        <v>27</v>
      </c>
      <c r="L362" s="3" t="s">
        <v>24</v>
      </c>
      <c r="M362" s="3" t="s">
        <v>21</v>
      </c>
      <c r="N362" s="3"/>
      <c r="O362" s="3" t="s">
        <v>294</v>
      </c>
    </row>
    <row r="363" spans="2:15" ht="15.6" customHeight="1">
      <c r="B363" s="14"/>
      <c r="C363" s="14"/>
      <c r="D363" s="26" t="s">
        <v>293</v>
      </c>
      <c r="E363" s="11">
        <v>5.0999999999999996</v>
      </c>
      <c r="F363" s="12"/>
      <c r="G363" s="12"/>
      <c r="H363" s="12">
        <v>7.3</v>
      </c>
      <c r="I363" s="13">
        <v>3.1</v>
      </c>
      <c r="J363" s="16">
        <v>2017</v>
      </c>
      <c r="K363" s="19" t="s">
        <v>27</v>
      </c>
      <c r="L363" s="3" t="s">
        <v>24</v>
      </c>
      <c r="M363" s="3" t="s">
        <v>21</v>
      </c>
      <c r="N363" s="3"/>
      <c r="O363" s="3" t="s">
        <v>295</v>
      </c>
    </row>
    <row r="364" spans="2:15" ht="15.6" customHeight="1">
      <c r="B364" s="14"/>
      <c r="C364" s="14"/>
      <c r="D364" s="26" t="s">
        <v>293</v>
      </c>
      <c r="E364" s="11">
        <v>2.7</v>
      </c>
      <c r="F364" s="12"/>
      <c r="G364" s="12"/>
      <c r="H364" s="12">
        <v>4.0999999999999996</v>
      </c>
      <c r="I364" s="13">
        <v>1.3</v>
      </c>
      <c r="J364" s="16">
        <v>2012</v>
      </c>
      <c r="K364" s="19" t="s">
        <v>27</v>
      </c>
      <c r="L364" s="3" t="s">
        <v>24</v>
      </c>
      <c r="M364" s="3" t="s">
        <v>21</v>
      </c>
      <c r="N364" s="3"/>
      <c r="O364" s="3"/>
    </row>
    <row r="365" spans="2:15" ht="15.6" customHeight="1">
      <c r="B365" s="14"/>
      <c r="C365" s="14"/>
      <c r="D365" s="26" t="s">
        <v>293</v>
      </c>
      <c r="E365" s="11">
        <v>3.6</v>
      </c>
      <c r="F365" s="12"/>
      <c r="G365" s="12"/>
      <c r="H365" s="12"/>
      <c r="I365" s="13"/>
      <c r="J365" s="16">
        <v>2007</v>
      </c>
      <c r="K365" s="19" t="s">
        <v>27</v>
      </c>
      <c r="L365" s="3" t="s">
        <v>24</v>
      </c>
      <c r="M365" s="3" t="s">
        <v>21</v>
      </c>
      <c r="N365" s="3"/>
      <c r="O365" s="3"/>
    </row>
    <row r="366" spans="2:15" ht="15.6" customHeight="1">
      <c r="B366" s="14"/>
      <c r="C366" s="14"/>
      <c r="D366" s="26" t="s">
        <v>296</v>
      </c>
      <c r="E366" s="11">
        <v>5.4</v>
      </c>
      <c r="F366" s="12"/>
      <c r="G366" s="12"/>
      <c r="H366" s="12">
        <v>8.3000000000000007</v>
      </c>
      <c r="I366" s="13">
        <v>2.2999999999999998</v>
      </c>
      <c r="J366" s="16">
        <v>2023</v>
      </c>
      <c r="K366" s="19" t="s">
        <v>27</v>
      </c>
      <c r="L366" s="3" t="s">
        <v>24</v>
      </c>
      <c r="M366" s="3" t="s">
        <v>21</v>
      </c>
      <c r="N366" s="3"/>
      <c r="O366" s="3"/>
    </row>
    <row r="367" spans="2:15" ht="15.6" customHeight="1">
      <c r="B367" s="14"/>
      <c r="C367" s="14"/>
      <c r="D367" s="26" t="s">
        <v>296</v>
      </c>
      <c r="E367" s="11">
        <v>3.8</v>
      </c>
      <c r="F367" s="12"/>
      <c r="G367" s="12"/>
      <c r="H367" s="12">
        <v>5.9</v>
      </c>
      <c r="I367" s="13">
        <v>1.7</v>
      </c>
      <c r="J367" s="16">
        <v>2019</v>
      </c>
      <c r="K367" s="19" t="s">
        <v>27</v>
      </c>
      <c r="L367" s="3" t="s">
        <v>24</v>
      </c>
      <c r="M367" s="3" t="s">
        <v>21</v>
      </c>
      <c r="N367" s="3"/>
      <c r="O367" s="3"/>
    </row>
    <row r="368" spans="2:15" ht="15.6" customHeight="1">
      <c r="B368" s="14"/>
      <c r="C368" s="14"/>
      <c r="D368" s="26" t="s">
        <v>296</v>
      </c>
      <c r="E368" s="11">
        <v>4.3</v>
      </c>
      <c r="F368" s="12"/>
      <c r="G368" s="12"/>
      <c r="H368" s="12">
        <v>7</v>
      </c>
      <c r="I368" s="13">
        <v>1.7</v>
      </c>
      <c r="J368" s="16">
        <v>2015</v>
      </c>
      <c r="K368" s="19" t="s">
        <v>27</v>
      </c>
      <c r="L368" s="3" t="s">
        <v>24</v>
      </c>
      <c r="M368" s="3" t="s">
        <v>21</v>
      </c>
      <c r="N368" s="3"/>
      <c r="O368" s="3"/>
    </row>
    <row r="369" spans="2:15" ht="15.6" customHeight="1">
      <c r="B369" s="14"/>
      <c r="C369" s="14"/>
      <c r="D369" s="26" t="s">
        <v>296</v>
      </c>
      <c r="E369" s="11">
        <v>3.63</v>
      </c>
      <c r="F369" s="12"/>
      <c r="G369" s="12"/>
      <c r="H369" s="12"/>
      <c r="I369" s="13"/>
      <c r="J369" s="16">
        <v>2010</v>
      </c>
      <c r="K369" s="19" t="s">
        <v>27</v>
      </c>
      <c r="L369" s="3" t="s">
        <v>249</v>
      </c>
      <c r="M369" s="3" t="s">
        <v>21</v>
      </c>
      <c r="N369" s="3"/>
      <c r="O369" s="3"/>
    </row>
    <row r="370" spans="2:15" ht="15.6" customHeight="1">
      <c r="B370" s="14"/>
      <c r="C370" s="14"/>
      <c r="D370" s="26" t="s">
        <v>296</v>
      </c>
      <c r="E370" s="11">
        <v>6.9</v>
      </c>
      <c r="F370" s="12"/>
      <c r="G370" s="12"/>
      <c r="H370" s="12"/>
      <c r="I370" s="13"/>
      <c r="J370" s="16">
        <v>2006</v>
      </c>
      <c r="K370" s="19" t="s">
        <v>27</v>
      </c>
      <c r="L370" s="3" t="s">
        <v>24</v>
      </c>
      <c r="M370" s="3" t="s">
        <v>21</v>
      </c>
      <c r="N370" s="3"/>
      <c r="O370" s="3"/>
    </row>
    <row r="371" spans="2:15" ht="15.6" customHeight="1">
      <c r="B371" s="14"/>
      <c r="C371" s="14"/>
      <c r="D371" s="26" t="s">
        <v>297</v>
      </c>
      <c r="E371" s="11">
        <v>5.4</v>
      </c>
      <c r="F371" s="12"/>
      <c r="G371" s="12"/>
      <c r="H371" s="12">
        <v>7.1</v>
      </c>
      <c r="I371" s="13">
        <v>3.6</v>
      </c>
      <c r="J371" s="16">
        <v>2023</v>
      </c>
      <c r="K371" s="19" t="s">
        <v>27</v>
      </c>
      <c r="L371" s="3" t="s">
        <v>38</v>
      </c>
      <c r="M371" s="3" t="s">
        <v>51</v>
      </c>
      <c r="N371" s="3"/>
      <c r="O371" s="3"/>
    </row>
    <row r="372" spans="2:15" ht="15.6" customHeight="1">
      <c r="B372" s="14"/>
      <c r="C372" s="14"/>
      <c r="D372" s="26" t="s">
        <v>297</v>
      </c>
      <c r="E372" s="11">
        <v>5.9</v>
      </c>
      <c r="F372" s="12">
        <v>5.4</v>
      </c>
      <c r="G372" s="12">
        <v>6.4</v>
      </c>
      <c r="H372" s="12">
        <v>7.8</v>
      </c>
      <c r="I372" s="13">
        <v>3.8</v>
      </c>
      <c r="J372" s="16">
        <v>2018</v>
      </c>
      <c r="K372" s="19" t="s">
        <v>27</v>
      </c>
      <c r="L372" s="3" t="s">
        <v>249</v>
      </c>
      <c r="M372" s="3" t="s">
        <v>21</v>
      </c>
      <c r="N372" s="3" t="s">
        <v>298</v>
      </c>
      <c r="O372" s="3"/>
    </row>
    <row r="373" spans="2:15" ht="15.6" customHeight="1">
      <c r="B373" s="14"/>
      <c r="C373" s="14"/>
      <c r="D373" s="26" t="s">
        <v>297</v>
      </c>
      <c r="E373" s="11">
        <v>4.4000000000000004</v>
      </c>
      <c r="F373" s="12"/>
      <c r="G373" s="12"/>
      <c r="H373" s="12">
        <v>5.9</v>
      </c>
      <c r="I373" s="13">
        <v>2.8</v>
      </c>
      <c r="J373" s="16">
        <v>2012</v>
      </c>
      <c r="K373" s="19" t="s">
        <v>27</v>
      </c>
      <c r="L373" s="3" t="s">
        <v>24</v>
      </c>
      <c r="M373" s="3" t="s">
        <v>21</v>
      </c>
      <c r="N373" s="3"/>
      <c r="O373" s="3"/>
    </row>
    <row r="374" spans="2:15" ht="15.6" customHeight="1">
      <c r="B374" s="14"/>
      <c r="C374" s="14"/>
      <c r="D374" s="26" t="s">
        <v>297</v>
      </c>
      <c r="E374" s="11">
        <v>3.1</v>
      </c>
      <c r="F374" s="12"/>
      <c r="G374" s="12"/>
      <c r="H374" s="12"/>
      <c r="I374" s="13"/>
      <c r="J374" s="16">
        <v>2007</v>
      </c>
      <c r="K374" s="19" t="s">
        <v>27</v>
      </c>
      <c r="L374" s="3" t="s">
        <v>249</v>
      </c>
      <c r="M374" s="3" t="s">
        <v>21</v>
      </c>
      <c r="N374" s="3" t="s">
        <v>22</v>
      </c>
      <c r="O374" s="3"/>
    </row>
    <row r="375" spans="2:15" ht="15.6" customHeight="1">
      <c r="B375" s="14"/>
      <c r="C375" s="14"/>
      <c r="D375" s="26" t="s">
        <v>299</v>
      </c>
      <c r="E375" s="11">
        <v>10.6</v>
      </c>
      <c r="F375" s="12"/>
      <c r="G375" s="12"/>
      <c r="H375" s="12">
        <v>14.4</v>
      </c>
      <c r="I375" s="13">
        <v>6.8</v>
      </c>
      <c r="J375" s="16">
        <v>2022</v>
      </c>
      <c r="K375" s="19" t="s">
        <v>27</v>
      </c>
      <c r="L375" s="3" t="s">
        <v>24</v>
      </c>
      <c r="M375" s="3" t="s">
        <v>21</v>
      </c>
      <c r="N375" s="3"/>
      <c r="O375" s="3" t="s">
        <v>300</v>
      </c>
    </row>
    <row r="376" spans="2:15" ht="15.6" customHeight="1">
      <c r="B376" s="14"/>
      <c r="C376" s="14"/>
      <c r="D376" s="26" t="s">
        <v>299</v>
      </c>
      <c r="E376" s="11">
        <v>10.5</v>
      </c>
      <c r="F376" s="12"/>
      <c r="G376" s="12"/>
      <c r="H376" s="12">
        <v>14.6</v>
      </c>
      <c r="I376" s="13">
        <v>6.3</v>
      </c>
      <c r="J376" s="16">
        <v>2020</v>
      </c>
      <c r="K376" s="19" t="s">
        <v>27</v>
      </c>
      <c r="L376" s="3" t="s">
        <v>24</v>
      </c>
      <c r="M376" s="3" t="s">
        <v>21</v>
      </c>
      <c r="N376" s="3"/>
      <c r="O376" s="3" t="s">
        <v>301</v>
      </c>
    </row>
    <row r="377" spans="2:15" ht="15.6" customHeight="1">
      <c r="B377" s="14"/>
      <c r="C377" s="14"/>
      <c r="D377" s="26" t="s">
        <v>299</v>
      </c>
      <c r="E377" s="11">
        <v>11</v>
      </c>
      <c r="F377" s="12">
        <v>10.6</v>
      </c>
      <c r="G377" s="12">
        <v>11.4</v>
      </c>
      <c r="H377" s="12">
        <v>15.4</v>
      </c>
      <c r="I377" s="13">
        <v>6.6</v>
      </c>
      <c r="J377" s="16">
        <v>2017</v>
      </c>
      <c r="K377" s="19" t="s">
        <v>27</v>
      </c>
      <c r="L377" s="3" t="s">
        <v>249</v>
      </c>
      <c r="M377" s="3" t="s">
        <v>21</v>
      </c>
      <c r="N377" s="3"/>
      <c r="O377" s="3"/>
    </row>
    <row r="378" spans="2:15" ht="15.6" customHeight="1">
      <c r="B378" s="14"/>
      <c r="C378" s="14"/>
      <c r="D378" s="26" t="s">
        <v>299</v>
      </c>
      <c r="E378" s="11">
        <v>9.5</v>
      </c>
      <c r="F378" s="12"/>
      <c r="G378" s="12"/>
      <c r="H378" s="12">
        <v>13.3</v>
      </c>
      <c r="I378" s="13">
        <v>5.6</v>
      </c>
      <c r="J378" s="16">
        <v>2015</v>
      </c>
      <c r="K378" s="19" t="s">
        <v>27</v>
      </c>
      <c r="L378" s="3" t="s">
        <v>24</v>
      </c>
      <c r="M378" s="3" t="s">
        <v>21</v>
      </c>
      <c r="N378" s="3"/>
      <c r="O378" s="3"/>
    </row>
    <row r="379" spans="2:15" ht="15.6" customHeight="1">
      <c r="B379" s="14"/>
      <c r="C379" s="14"/>
      <c r="D379" s="26" t="s">
        <v>299</v>
      </c>
      <c r="E379" s="11">
        <v>9.1999999999999993</v>
      </c>
      <c r="F379" s="12"/>
      <c r="G379" s="12"/>
      <c r="H379" s="12">
        <v>12.9</v>
      </c>
      <c r="I379" s="13">
        <v>5.4</v>
      </c>
      <c r="J379" s="16">
        <v>2013</v>
      </c>
      <c r="K379" s="19" t="s">
        <v>27</v>
      </c>
      <c r="L379" s="3" t="s">
        <v>24</v>
      </c>
      <c r="M379" s="3" t="s">
        <v>21</v>
      </c>
      <c r="N379" s="3"/>
      <c r="O379" s="3"/>
    </row>
    <row r="380" spans="2:15" ht="15.6" customHeight="1">
      <c r="B380" s="14"/>
      <c r="C380" s="14"/>
      <c r="D380" s="26" t="s">
        <v>299</v>
      </c>
      <c r="E380" s="11">
        <v>9.6</v>
      </c>
      <c r="F380" s="12"/>
      <c r="G380" s="12"/>
      <c r="H380" s="12">
        <v>13.6</v>
      </c>
      <c r="I380" s="13">
        <v>5.5</v>
      </c>
      <c r="J380" s="16">
        <v>2011</v>
      </c>
      <c r="K380" s="19" t="s">
        <v>27</v>
      </c>
      <c r="L380" s="3" t="s">
        <v>24</v>
      </c>
      <c r="M380" s="3" t="s">
        <v>21</v>
      </c>
      <c r="N380" s="3"/>
      <c r="O380" s="3"/>
    </row>
    <row r="381" spans="2:15" ht="15.6" customHeight="1">
      <c r="B381" s="14"/>
      <c r="C381" s="14"/>
      <c r="D381" s="26" t="s">
        <v>299</v>
      </c>
      <c r="E381" s="11">
        <v>10.6</v>
      </c>
      <c r="F381" s="12"/>
      <c r="G381" s="12"/>
      <c r="H381" s="12">
        <v>14.8</v>
      </c>
      <c r="I381" s="13">
        <v>6.2</v>
      </c>
      <c r="J381" s="16">
        <v>2009</v>
      </c>
      <c r="K381" s="19" t="s">
        <v>27</v>
      </c>
      <c r="L381" s="3" t="s">
        <v>38</v>
      </c>
      <c r="M381" s="3" t="s">
        <v>51</v>
      </c>
      <c r="N381" s="3"/>
      <c r="O381" s="3"/>
    </row>
    <row r="382" spans="2:15" ht="15.6" customHeight="1">
      <c r="B382" s="14"/>
      <c r="C382" s="14"/>
      <c r="D382" s="26" t="s">
        <v>302</v>
      </c>
      <c r="E382" s="11">
        <v>3.2</v>
      </c>
      <c r="F382" s="12"/>
      <c r="G382" s="12"/>
      <c r="H382" s="12">
        <v>4.0999999999999996</v>
      </c>
      <c r="I382" s="13">
        <v>2.2999999999999998</v>
      </c>
      <c r="J382" s="16">
        <v>2022</v>
      </c>
      <c r="K382" s="19" t="s">
        <v>265</v>
      </c>
      <c r="L382" s="3" t="s">
        <v>24</v>
      </c>
      <c r="M382" s="3" t="s">
        <v>21</v>
      </c>
      <c r="N382" s="3"/>
      <c r="O382" s="3"/>
    </row>
    <row r="383" spans="2:15" ht="15.6" customHeight="1">
      <c r="B383" s="14"/>
      <c r="C383" s="14"/>
      <c r="D383" s="26" t="s">
        <v>302</v>
      </c>
      <c r="E383" s="11">
        <v>4</v>
      </c>
      <c r="F383" s="12"/>
      <c r="G383" s="12"/>
      <c r="H383" s="12">
        <v>5</v>
      </c>
      <c r="I383" s="13">
        <v>2.9</v>
      </c>
      <c r="J383" s="16">
        <v>2021</v>
      </c>
      <c r="K383" s="19" t="s">
        <v>265</v>
      </c>
      <c r="L383" s="3" t="s">
        <v>38</v>
      </c>
      <c r="M383" s="3" t="s">
        <v>51</v>
      </c>
      <c r="N383" s="3"/>
      <c r="O383" s="3"/>
    </row>
    <row r="384" spans="2:15" ht="15.6" customHeight="1">
      <c r="B384" s="14"/>
      <c r="C384" s="14"/>
      <c r="D384" s="26" t="s">
        <v>302</v>
      </c>
      <c r="E384" s="11">
        <v>3.8</v>
      </c>
      <c r="F384" s="12"/>
      <c r="G384" s="12"/>
      <c r="H384" s="12">
        <v>5</v>
      </c>
      <c r="I384" s="13">
        <v>2.5</v>
      </c>
      <c r="J384" s="16">
        <v>2020</v>
      </c>
      <c r="K384" s="19" t="s">
        <v>265</v>
      </c>
      <c r="L384" s="3" t="s">
        <v>24</v>
      </c>
      <c r="M384" s="3" t="s">
        <v>21</v>
      </c>
      <c r="N384" s="3"/>
      <c r="O384" s="3"/>
    </row>
    <row r="385" spans="2:15" ht="15.6" customHeight="1">
      <c r="B385" s="14"/>
      <c r="C385" s="14"/>
      <c r="D385" s="26" t="s">
        <v>302</v>
      </c>
      <c r="E385" s="11">
        <v>3.9</v>
      </c>
      <c r="F385" s="12"/>
      <c r="G385" s="12"/>
      <c r="H385" s="12">
        <v>5.2</v>
      </c>
      <c r="I385" s="13">
        <v>2.4</v>
      </c>
      <c r="J385" s="16">
        <v>2018</v>
      </c>
      <c r="K385" s="19" t="s">
        <v>265</v>
      </c>
      <c r="L385" s="3" t="s">
        <v>24</v>
      </c>
      <c r="M385" s="3" t="s">
        <v>21</v>
      </c>
      <c r="N385" s="3"/>
      <c r="O385" s="3"/>
    </row>
    <row r="386" spans="2:15" ht="15.6" customHeight="1">
      <c r="B386" s="14"/>
      <c r="C386" s="14"/>
      <c r="D386" s="26" t="s">
        <v>302</v>
      </c>
      <c r="E386" s="11">
        <v>3.4</v>
      </c>
      <c r="F386" s="12"/>
      <c r="G386" s="12"/>
      <c r="H386" s="12">
        <v>4.0999999999999996</v>
      </c>
      <c r="I386" s="13">
        <v>2.6</v>
      </c>
      <c r="J386" s="16">
        <v>2016</v>
      </c>
      <c r="K386" s="19" t="s">
        <v>265</v>
      </c>
      <c r="L386" s="3" t="s">
        <v>24</v>
      </c>
      <c r="M386" s="3" t="s">
        <v>21</v>
      </c>
      <c r="N386" s="3"/>
      <c r="O386" s="3"/>
    </row>
    <row r="387" spans="2:15" ht="15.6" customHeight="1">
      <c r="B387" s="14"/>
      <c r="C387" s="14"/>
      <c r="D387" s="26" t="s">
        <v>302</v>
      </c>
      <c r="E387" s="11">
        <v>3.2</v>
      </c>
      <c r="F387" s="12"/>
      <c r="G387" s="12"/>
      <c r="H387" s="12">
        <v>4.0999999999999996</v>
      </c>
      <c r="I387" s="13">
        <v>2.2999999999999998</v>
      </c>
      <c r="J387" s="16">
        <v>2015</v>
      </c>
      <c r="K387" s="19" t="s">
        <v>265</v>
      </c>
      <c r="L387" s="3" t="s">
        <v>24</v>
      </c>
      <c r="M387" s="3" t="s">
        <v>21</v>
      </c>
      <c r="N387" s="3"/>
      <c r="O387" s="3"/>
    </row>
    <row r="388" spans="2:15" ht="15.6" customHeight="1">
      <c r="B388" s="14"/>
      <c r="C388" s="14"/>
      <c r="D388" s="26" t="s">
        <v>302</v>
      </c>
      <c r="E388" s="11">
        <v>2.88</v>
      </c>
      <c r="F388" s="12"/>
      <c r="G388" s="12"/>
      <c r="H388" s="12">
        <v>4.0999999999999996</v>
      </c>
      <c r="I388" s="13">
        <v>1.63</v>
      </c>
      <c r="J388" s="16">
        <v>2014</v>
      </c>
      <c r="K388" s="19" t="s">
        <v>27</v>
      </c>
      <c r="L388" s="3" t="s">
        <v>24</v>
      </c>
      <c r="M388" s="3" t="s">
        <v>21</v>
      </c>
      <c r="N388" s="3"/>
      <c r="O388" s="3"/>
    </row>
    <row r="389" spans="2:15" ht="15.6" customHeight="1">
      <c r="B389" s="14"/>
      <c r="C389" s="14"/>
      <c r="D389" s="26" t="s">
        <v>302</v>
      </c>
      <c r="E389" s="11">
        <v>3.16</v>
      </c>
      <c r="F389" s="12"/>
      <c r="G389" s="12"/>
      <c r="H389" s="12">
        <v>4.3499999999999996</v>
      </c>
      <c r="I389" s="13">
        <v>1.86</v>
      </c>
      <c r="J389" s="16">
        <v>2013</v>
      </c>
      <c r="K389" s="19" t="s">
        <v>303</v>
      </c>
      <c r="L389" s="3" t="s">
        <v>24</v>
      </c>
      <c r="M389" s="3" t="s">
        <v>21</v>
      </c>
      <c r="N389" s="3"/>
      <c r="O389" s="3"/>
    </row>
    <row r="390" spans="2:15" ht="15.6" customHeight="1">
      <c r="B390" s="14"/>
      <c r="C390" s="14"/>
      <c r="D390" s="26" t="s">
        <v>302</v>
      </c>
      <c r="E390" s="11">
        <v>3</v>
      </c>
      <c r="F390" s="12"/>
      <c r="G390" s="12"/>
      <c r="H390" s="12"/>
      <c r="I390" s="13"/>
      <c r="J390" s="16">
        <v>2012</v>
      </c>
      <c r="K390" s="19" t="s">
        <v>265</v>
      </c>
      <c r="L390" s="3" t="s">
        <v>24</v>
      </c>
      <c r="M390" s="3" t="s">
        <v>21</v>
      </c>
      <c r="N390" s="3"/>
      <c r="O390" s="3"/>
    </row>
    <row r="391" spans="2:15" ht="15.6" customHeight="1">
      <c r="B391" s="14"/>
      <c r="C391" s="14"/>
      <c r="D391" s="26" t="s">
        <v>302</v>
      </c>
      <c r="E391" s="11">
        <v>2.61</v>
      </c>
      <c r="F391" s="12"/>
      <c r="G391" s="12"/>
      <c r="H391" s="12"/>
      <c r="I391" s="13"/>
      <c r="J391" s="16">
        <v>2011</v>
      </c>
      <c r="K391" s="19" t="s">
        <v>265</v>
      </c>
      <c r="L391" s="3" t="s">
        <v>24</v>
      </c>
      <c r="M391" s="3" t="s">
        <v>21</v>
      </c>
      <c r="N391" s="3"/>
      <c r="O391" s="3"/>
    </row>
    <row r="392" spans="2:15" ht="15.6" customHeight="1">
      <c r="B392" s="14"/>
      <c r="C392" s="14"/>
      <c r="D392" s="26" t="s">
        <v>302</v>
      </c>
      <c r="E392" s="11">
        <v>2.8</v>
      </c>
      <c r="F392" s="12"/>
      <c r="G392" s="12"/>
      <c r="H392" s="12"/>
      <c r="I392" s="13"/>
      <c r="J392" s="16">
        <v>2010</v>
      </c>
      <c r="K392" s="19" t="s">
        <v>265</v>
      </c>
      <c r="L392" s="3" t="s">
        <v>38</v>
      </c>
      <c r="M392" s="3" t="s">
        <v>51</v>
      </c>
      <c r="N392" s="3"/>
      <c r="O392" s="3"/>
    </row>
    <row r="393" spans="2:15" ht="15.6" customHeight="1">
      <c r="B393" s="14"/>
      <c r="C393" s="14"/>
      <c r="D393" s="26" t="s">
        <v>304</v>
      </c>
      <c r="E393" s="11">
        <v>7.6</v>
      </c>
      <c r="F393" s="12"/>
      <c r="G393" s="12"/>
      <c r="H393" s="12">
        <v>9.8000000000000007</v>
      </c>
      <c r="I393" s="13">
        <v>5.4</v>
      </c>
      <c r="J393" s="16">
        <v>2022</v>
      </c>
      <c r="K393" s="19" t="s">
        <v>27</v>
      </c>
      <c r="L393" s="3" t="s">
        <v>38</v>
      </c>
      <c r="M393" s="3" t="s">
        <v>51</v>
      </c>
      <c r="N393" s="3"/>
      <c r="O393" s="3"/>
    </row>
    <row r="394" spans="2:15" ht="15.6" customHeight="1">
      <c r="B394" s="14"/>
      <c r="C394" s="14"/>
      <c r="D394" s="26" t="s">
        <v>304</v>
      </c>
      <c r="E394" s="11">
        <v>7.7</v>
      </c>
      <c r="F394" s="12"/>
      <c r="G394" s="12"/>
      <c r="H394" s="12">
        <v>10.3</v>
      </c>
      <c r="I394" s="13">
        <v>5.0999999999999996</v>
      </c>
      <c r="J394" s="16">
        <v>2017</v>
      </c>
      <c r="K394" s="19" t="s">
        <v>27</v>
      </c>
      <c r="L394" s="3" t="s">
        <v>24</v>
      </c>
      <c r="M394" s="3" t="s">
        <v>21</v>
      </c>
      <c r="N394" s="3"/>
      <c r="O394" s="3"/>
    </row>
    <row r="395" spans="2:15" ht="15.6" customHeight="1">
      <c r="B395" s="14"/>
      <c r="C395" s="14"/>
      <c r="D395" s="26" t="s">
        <v>304</v>
      </c>
      <c r="E395" s="11">
        <v>9.09</v>
      </c>
      <c r="F395" s="12"/>
      <c r="G395" s="12"/>
      <c r="H395" s="12"/>
      <c r="I395" s="13"/>
      <c r="J395" s="16">
        <v>2016</v>
      </c>
      <c r="K395" s="19" t="s">
        <v>27</v>
      </c>
      <c r="L395" s="3" t="s">
        <v>36</v>
      </c>
      <c r="M395" s="3" t="s">
        <v>21</v>
      </c>
      <c r="N395" s="3" t="s">
        <v>37</v>
      </c>
      <c r="O395" s="3"/>
    </row>
    <row r="396" spans="2:15" ht="15.6" customHeight="1">
      <c r="B396" s="14"/>
      <c r="C396" s="14"/>
      <c r="D396" s="26" t="s">
        <v>304</v>
      </c>
      <c r="E396" s="11">
        <v>8.09</v>
      </c>
      <c r="F396" s="12"/>
      <c r="G396" s="12"/>
      <c r="H396" s="12"/>
      <c r="I396" s="13"/>
      <c r="J396" s="16">
        <v>2015</v>
      </c>
      <c r="K396" s="19" t="s">
        <v>27</v>
      </c>
      <c r="L396" s="3" t="s">
        <v>24</v>
      </c>
      <c r="M396" s="3" t="s">
        <v>21</v>
      </c>
      <c r="N396" s="3"/>
      <c r="O396" s="3"/>
    </row>
    <row r="397" spans="2:15" ht="15.6" customHeight="1">
      <c r="B397" s="14"/>
      <c r="C397" s="14"/>
      <c r="D397" s="26" t="s">
        <v>304</v>
      </c>
      <c r="E397" s="11">
        <v>6.7</v>
      </c>
      <c r="F397" s="12"/>
      <c r="G397" s="12"/>
      <c r="H397" s="12">
        <v>9.3000000000000007</v>
      </c>
      <c r="I397" s="13">
        <v>4.2</v>
      </c>
      <c r="J397" s="16">
        <v>2014</v>
      </c>
      <c r="K397" s="19" t="s">
        <v>27</v>
      </c>
      <c r="L397" s="3" t="s">
        <v>24</v>
      </c>
      <c r="M397" s="3" t="s">
        <v>21</v>
      </c>
      <c r="N397" s="3"/>
      <c r="O397" s="3"/>
    </row>
    <row r="398" spans="2:15" ht="15.6" customHeight="1">
      <c r="B398" s="14"/>
      <c r="C398" s="14"/>
      <c r="D398" s="26" t="s">
        <v>304</v>
      </c>
      <c r="E398" s="11">
        <v>5.7</v>
      </c>
      <c r="F398" s="12"/>
      <c r="G398" s="12"/>
      <c r="H398" s="12">
        <v>7.8</v>
      </c>
      <c r="I398" s="13">
        <v>3.7</v>
      </c>
      <c r="J398" s="16">
        <v>2013</v>
      </c>
      <c r="K398" s="19" t="s">
        <v>27</v>
      </c>
      <c r="L398" s="3" t="s">
        <v>24</v>
      </c>
      <c r="M398" s="3" t="s">
        <v>21</v>
      </c>
      <c r="N398" s="3"/>
      <c r="O398" s="3"/>
    </row>
    <row r="399" spans="2:15" ht="15.6" customHeight="1">
      <c r="B399" s="14"/>
      <c r="C399" s="14"/>
      <c r="D399" s="26" t="s">
        <v>304</v>
      </c>
      <c r="E399" s="11">
        <v>6.3</v>
      </c>
      <c r="F399" s="12"/>
      <c r="G399" s="12"/>
      <c r="H399" s="12"/>
      <c r="I399" s="13"/>
      <c r="J399" s="16">
        <v>2012</v>
      </c>
      <c r="K399" s="19" t="s">
        <v>50</v>
      </c>
      <c r="L399" s="3" t="s">
        <v>24</v>
      </c>
      <c r="M399" s="3" t="s">
        <v>21</v>
      </c>
      <c r="N399" s="3"/>
      <c r="O399" s="3"/>
    </row>
    <row r="400" spans="2:15" ht="15.6" customHeight="1">
      <c r="B400" s="14"/>
      <c r="C400" s="14"/>
      <c r="D400" s="26" t="s">
        <v>304</v>
      </c>
      <c r="E400" s="11">
        <v>5.0999999999999996</v>
      </c>
      <c r="F400" s="12"/>
      <c r="G400" s="12"/>
      <c r="H400" s="12"/>
      <c r="I400" s="13"/>
      <c r="J400" s="16">
        <v>2011</v>
      </c>
      <c r="K400" s="19" t="s">
        <v>27</v>
      </c>
      <c r="L400" s="3" t="s">
        <v>24</v>
      </c>
      <c r="M400" s="3" t="s">
        <v>21</v>
      </c>
      <c r="N400" s="3"/>
      <c r="O400" s="3"/>
    </row>
    <row r="401" spans="2:15" ht="15.6" customHeight="1">
      <c r="B401" s="14"/>
      <c r="C401" s="14"/>
      <c r="D401" s="26" t="s">
        <v>304</v>
      </c>
      <c r="E401" s="11">
        <v>3.4</v>
      </c>
      <c r="F401" s="12"/>
      <c r="G401" s="12"/>
      <c r="H401" s="12"/>
      <c r="I401" s="13"/>
      <c r="J401" s="16">
        <v>2008</v>
      </c>
      <c r="K401" s="19" t="s">
        <v>27</v>
      </c>
      <c r="L401" s="3" t="s">
        <v>38</v>
      </c>
      <c r="M401" s="3" t="s">
        <v>51</v>
      </c>
      <c r="N401" s="3"/>
      <c r="O401" s="3"/>
    </row>
    <row r="402" spans="2:15" ht="15.6" customHeight="1">
      <c r="B402" s="14"/>
      <c r="C402" s="14"/>
      <c r="D402" s="26" t="s">
        <v>305</v>
      </c>
      <c r="E402" s="11">
        <v>6.8403084451150109</v>
      </c>
      <c r="F402" s="12"/>
      <c r="G402" s="12"/>
      <c r="H402" s="12">
        <v>8.403998734624583</v>
      </c>
      <c r="I402" s="13">
        <v>5.2903019017423096</v>
      </c>
      <c r="J402" s="16">
        <v>2023</v>
      </c>
      <c r="K402" s="19" t="s">
        <v>306</v>
      </c>
      <c r="L402" s="3" t="s">
        <v>36</v>
      </c>
      <c r="M402" s="3" t="s">
        <v>21</v>
      </c>
      <c r="N402" s="3"/>
      <c r="O402" s="3" t="s">
        <v>307</v>
      </c>
    </row>
    <row r="403" spans="2:15" ht="15.6" customHeight="1">
      <c r="B403" s="14"/>
      <c r="C403" s="14"/>
      <c r="D403" s="26" t="s">
        <v>305</v>
      </c>
      <c r="E403" s="11">
        <v>7.57</v>
      </c>
      <c r="F403" s="12"/>
      <c r="G403" s="12"/>
      <c r="H403" s="12">
        <v>9.2100000000000009</v>
      </c>
      <c r="I403" s="13">
        <v>5.97</v>
      </c>
      <c r="J403" s="16">
        <v>2022</v>
      </c>
      <c r="K403" s="19" t="s">
        <v>306</v>
      </c>
      <c r="L403" s="3" t="s">
        <v>36</v>
      </c>
      <c r="M403" s="3" t="s">
        <v>21</v>
      </c>
      <c r="N403" s="3"/>
      <c r="O403" s="3" t="s">
        <v>308</v>
      </c>
    </row>
    <row r="404" spans="2:15" ht="15.6" customHeight="1">
      <c r="B404" s="14"/>
      <c r="C404" s="14"/>
      <c r="D404" s="26" t="s">
        <v>305</v>
      </c>
      <c r="E404" s="11">
        <v>7.4015531600755899</v>
      </c>
      <c r="F404" s="12"/>
      <c r="G404" s="12"/>
      <c r="H404" s="12">
        <v>9.5915587166446006</v>
      </c>
      <c r="I404" s="13">
        <v>5.2486916917095696</v>
      </c>
      <c r="J404" s="16">
        <v>2021</v>
      </c>
      <c r="K404" s="19" t="s">
        <v>306</v>
      </c>
      <c r="L404" s="3" t="s">
        <v>36</v>
      </c>
      <c r="M404" s="3" t="s">
        <v>21</v>
      </c>
      <c r="N404" s="3"/>
      <c r="O404" s="3" t="s">
        <v>309</v>
      </c>
    </row>
    <row r="405" spans="2:15" ht="15.6" customHeight="1">
      <c r="B405" s="14"/>
      <c r="C405" s="14"/>
      <c r="D405" s="26" t="s">
        <v>305</v>
      </c>
      <c r="E405" s="11">
        <v>7.15</v>
      </c>
      <c r="F405" s="12"/>
      <c r="G405" s="12"/>
      <c r="H405" s="12">
        <v>9.07</v>
      </c>
      <c r="I405" s="13">
        <v>5.26</v>
      </c>
      <c r="J405" s="16">
        <v>2019</v>
      </c>
      <c r="K405" s="19" t="s">
        <v>265</v>
      </c>
      <c r="L405" s="3" t="s">
        <v>24</v>
      </c>
      <c r="M405" s="3" t="s">
        <v>21</v>
      </c>
      <c r="N405" s="3"/>
      <c r="O405" s="3" t="s">
        <v>310</v>
      </c>
    </row>
    <row r="406" spans="2:15" ht="15.6" customHeight="1">
      <c r="B406" s="14"/>
      <c r="C406" s="14"/>
      <c r="D406" s="26" t="s">
        <v>305</v>
      </c>
      <c r="E406" s="11">
        <v>7.6</v>
      </c>
      <c r="F406" s="12"/>
      <c r="G406" s="12"/>
      <c r="H406" s="12">
        <v>10.28</v>
      </c>
      <c r="I406" s="13">
        <v>5</v>
      </c>
      <c r="J406" s="16">
        <v>2018</v>
      </c>
      <c r="K406" s="19" t="s">
        <v>306</v>
      </c>
      <c r="L406" s="3" t="s">
        <v>36</v>
      </c>
      <c r="M406" s="3" t="s">
        <v>21</v>
      </c>
      <c r="N406" s="3"/>
      <c r="O406" s="3" t="s">
        <v>311</v>
      </c>
    </row>
    <row r="407" spans="2:15" ht="15.6" customHeight="1">
      <c r="B407" s="14"/>
      <c r="C407" s="14"/>
      <c r="D407" s="26" t="s">
        <v>305</v>
      </c>
      <c r="E407" s="11">
        <v>7.18</v>
      </c>
      <c r="F407" s="12"/>
      <c r="G407" s="12"/>
      <c r="H407" s="12">
        <v>9.5500000000000007</v>
      </c>
      <c r="I407" s="13">
        <v>4.82</v>
      </c>
      <c r="J407" s="16">
        <v>2017</v>
      </c>
      <c r="K407" s="19" t="s">
        <v>306</v>
      </c>
      <c r="L407" s="3" t="s">
        <v>36</v>
      </c>
      <c r="M407" s="3" t="s">
        <v>21</v>
      </c>
      <c r="N407" s="3"/>
      <c r="O407" s="3" t="s">
        <v>312</v>
      </c>
    </row>
    <row r="408" spans="2:15" ht="15.6" customHeight="1">
      <c r="B408" s="14"/>
      <c r="C408" s="14"/>
      <c r="D408" s="26" t="s">
        <v>305</v>
      </c>
      <c r="E408" s="11">
        <v>6.6</v>
      </c>
      <c r="F408" s="12"/>
      <c r="G408" s="12"/>
      <c r="H408" s="12">
        <v>8.99</v>
      </c>
      <c r="I408" s="13">
        <v>4.2300000000000004</v>
      </c>
      <c r="J408" s="16">
        <v>2016</v>
      </c>
      <c r="K408" s="19" t="s">
        <v>306</v>
      </c>
      <c r="L408" s="3" t="s">
        <v>36</v>
      </c>
      <c r="M408" s="3" t="s">
        <v>21</v>
      </c>
      <c r="N408" s="3"/>
      <c r="O408" s="3" t="s">
        <v>313</v>
      </c>
    </row>
    <row r="409" spans="2:15" ht="15.6" customHeight="1">
      <c r="B409" s="14"/>
      <c r="C409" s="14"/>
      <c r="D409" s="26" t="s">
        <v>305</v>
      </c>
      <c r="E409" s="11">
        <v>6.47</v>
      </c>
      <c r="F409" s="12"/>
      <c r="G409" s="12"/>
      <c r="H409" s="12">
        <v>9.14</v>
      </c>
      <c r="I409" s="13">
        <v>3.85</v>
      </c>
      <c r="J409" s="16">
        <v>2015</v>
      </c>
      <c r="K409" s="19" t="s">
        <v>306</v>
      </c>
      <c r="L409" s="3" t="s">
        <v>36</v>
      </c>
      <c r="M409" s="3" t="s">
        <v>21</v>
      </c>
      <c r="N409" s="3"/>
      <c r="O409" s="3" t="s">
        <v>314</v>
      </c>
    </row>
    <row r="410" spans="2:15" ht="15.6" customHeight="1">
      <c r="B410" s="14"/>
      <c r="C410" s="14"/>
      <c r="D410" s="26" t="s">
        <v>305</v>
      </c>
      <c r="E410" s="11">
        <v>6.69</v>
      </c>
      <c r="F410" s="12"/>
      <c r="G410" s="12"/>
      <c r="H410" s="12">
        <v>9.43</v>
      </c>
      <c r="I410" s="13">
        <v>4.0199999999999996</v>
      </c>
      <c r="J410" s="16">
        <v>2014</v>
      </c>
      <c r="K410" s="19" t="s">
        <v>306</v>
      </c>
      <c r="L410" s="3" t="s">
        <v>36</v>
      </c>
      <c r="M410" s="3" t="s">
        <v>21</v>
      </c>
      <c r="N410" s="3"/>
      <c r="O410" s="3" t="s">
        <v>315</v>
      </c>
    </row>
    <row r="411" spans="2:15" ht="15.6" customHeight="1">
      <c r="B411" s="14"/>
      <c r="C411" s="14"/>
      <c r="D411" s="26" t="s">
        <v>305</v>
      </c>
      <c r="E411" s="11">
        <v>6.59</v>
      </c>
      <c r="F411" s="12"/>
      <c r="G411" s="12"/>
      <c r="H411" s="12">
        <v>9.11</v>
      </c>
      <c r="I411" s="13">
        <v>4.0999999999999996</v>
      </c>
      <c r="J411" s="16">
        <v>2013</v>
      </c>
      <c r="K411" s="19" t="s">
        <v>306</v>
      </c>
      <c r="L411" s="3" t="s">
        <v>36</v>
      </c>
      <c r="M411" s="3" t="s">
        <v>21</v>
      </c>
      <c r="N411" s="3"/>
      <c r="O411" s="3" t="s">
        <v>316</v>
      </c>
    </row>
    <row r="412" spans="2:15" ht="15.6" customHeight="1">
      <c r="B412" s="14"/>
      <c r="C412" s="14"/>
      <c r="D412" s="26" t="s">
        <v>305</v>
      </c>
      <c r="E412" s="11">
        <v>6.29</v>
      </c>
      <c r="F412" s="12"/>
      <c r="G412" s="12"/>
      <c r="H412" s="12">
        <v>8.51</v>
      </c>
      <c r="I412" s="13">
        <v>4.08</v>
      </c>
      <c r="J412" s="16">
        <v>2012</v>
      </c>
      <c r="K412" s="19" t="s">
        <v>306</v>
      </c>
      <c r="L412" s="3" t="s">
        <v>36</v>
      </c>
      <c r="M412" s="3" t="s">
        <v>21</v>
      </c>
      <c r="N412" s="3"/>
      <c r="O412" s="3" t="s">
        <v>317</v>
      </c>
    </row>
    <row r="413" spans="2:15" ht="15.6" customHeight="1">
      <c r="B413" s="14"/>
      <c r="C413" s="14"/>
      <c r="D413" s="26" t="s">
        <v>305</v>
      </c>
      <c r="E413" s="11">
        <v>6.8</v>
      </c>
      <c r="F413" s="12"/>
      <c r="G413" s="12"/>
      <c r="H413" s="12">
        <v>9.5299999999999994</v>
      </c>
      <c r="I413" s="13">
        <v>4.0999999999999996</v>
      </c>
      <c r="J413" s="16">
        <v>2011</v>
      </c>
      <c r="K413" s="19" t="s">
        <v>306</v>
      </c>
      <c r="L413" s="3" t="s">
        <v>36</v>
      </c>
      <c r="M413" s="3" t="s">
        <v>21</v>
      </c>
      <c r="N413" s="3"/>
      <c r="O413" s="3" t="s">
        <v>318</v>
      </c>
    </row>
    <row r="414" spans="2:15" ht="15.6" customHeight="1">
      <c r="B414" s="14"/>
      <c r="C414" s="14"/>
      <c r="D414" s="26" t="s">
        <v>305</v>
      </c>
      <c r="E414" s="11">
        <v>6.7</v>
      </c>
      <c r="F414" s="12"/>
      <c r="G414" s="12"/>
      <c r="H414" s="12">
        <v>9.15</v>
      </c>
      <c r="I414" s="13">
        <v>4.29</v>
      </c>
      <c r="J414" s="16">
        <v>2010</v>
      </c>
      <c r="K414" s="19" t="s">
        <v>306</v>
      </c>
      <c r="L414" s="3" t="s">
        <v>125</v>
      </c>
      <c r="M414" s="3" t="s">
        <v>51</v>
      </c>
      <c r="N414" s="3"/>
      <c r="O414" s="3" t="s">
        <v>319</v>
      </c>
    </row>
    <row r="415" spans="2:15" ht="15.6" customHeight="1">
      <c r="B415" s="14"/>
      <c r="C415" s="14"/>
      <c r="D415" s="26" t="s">
        <v>320</v>
      </c>
      <c r="E415" s="11">
        <v>4.5999999999999996</v>
      </c>
      <c r="F415" s="12"/>
      <c r="G415" s="12"/>
      <c r="H415" s="12"/>
      <c r="I415" s="13"/>
      <c r="J415" s="16">
        <v>2014</v>
      </c>
      <c r="K415" s="19" t="s">
        <v>27</v>
      </c>
      <c r="L415" s="3" t="s">
        <v>36</v>
      </c>
      <c r="M415" s="3" t="s">
        <v>21</v>
      </c>
      <c r="N415" s="3"/>
      <c r="O415" s="3" t="s">
        <v>321</v>
      </c>
    </row>
    <row r="416" spans="2:15" ht="15.6" customHeight="1">
      <c r="B416" s="14"/>
      <c r="C416" s="14"/>
      <c r="D416" s="26" t="s">
        <v>320</v>
      </c>
      <c r="E416" s="11">
        <v>5.0999999999999996</v>
      </c>
      <c r="F416" s="12"/>
      <c r="G416" s="12"/>
      <c r="H416" s="12"/>
      <c r="I416" s="13"/>
      <c r="J416" s="16">
        <v>2011</v>
      </c>
      <c r="K416" s="19" t="s">
        <v>27</v>
      </c>
      <c r="L416" s="3" t="s">
        <v>36</v>
      </c>
      <c r="M416" s="3" t="s">
        <v>21</v>
      </c>
      <c r="N416" s="3"/>
      <c r="O416" s="3" t="s">
        <v>322</v>
      </c>
    </row>
    <row r="417" spans="2:15" ht="15.6" customHeight="1">
      <c r="B417" s="14"/>
      <c r="C417" s="14"/>
      <c r="D417" s="26" t="s">
        <v>320</v>
      </c>
      <c r="E417" s="11">
        <v>7.2</v>
      </c>
      <c r="F417" s="12"/>
      <c r="G417" s="12"/>
      <c r="H417" s="12"/>
      <c r="I417" s="13"/>
      <c r="J417" s="16">
        <v>2006</v>
      </c>
      <c r="K417" s="19" t="s">
        <v>27</v>
      </c>
      <c r="L417" s="3" t="s">
        <v>125</v>
      </c>
      <c r="M417" s="3" t="s">
        <v>51</v>
      </c>
      <c r="N417" s="3"/>
      <c r="O417" s="3"/>
    </row>
    <row r="418" spans="2:15" ht="15.6" customHeight="1">
      <c r="B418" s="14"/>
      <c r="C418" s="14"/>
      <c r="D418" s="26" t="s">
        <v>323</v>
      </c>
      <c r="E418" s="11"/>
      <c r="F418" s="12"/>
      <c r="G418" s="12"/>
      <c r="H418" s="12"/>
      <c r="I418" s="13"/>
      <c r="J418" s="16">
        <v>2021</v>
      </c>
      <c r="K418" s="19" t="s">
        <v>119</v>
      </c>
      <c r="L418" s="3" t="s">
        <v>324</v>
      </c>
      <c r="M418" s="3" t="s">
        <v>51</v>
      </c>
      <c r="N418" s="3"/>
      <c r="O418" s="3"/>
    </row>
    <row r="419" spans="2:15" ht="15.6" customHeight="1">
      <c r="B419" s="14"/>
      <c r="C419" s="14"/>
      <c r="D419" s="26" t="s">
        <v>323</v>
      </c>
      <c r="E419" s="11">
        <v>6.29</v>
      </c>
      <c r="F419" s="12"/>
      <c r="G419" s="12"/>
      <c r="H419" s="12">
        <v>9</v>
      </c>
      <c r="I419" s="13">
        <v>3.68</v>
      </c>
      <c r="J419" s="16">
        <v>2014</v>
      </c>
      <c r="K419" s="19" t="s">
        <v>265</v>
      </c>
      <c r="L419" s="3" t="s">
        <v>36</v>
      </c>
      <c r="M419" s="3" t="s">
        <v>21</v>
      </c>
      <c r="N419" s="3"/>
      <c r="O419" s="3" t="s">
        <v>321</v>
      </c>
    </row>
    <row r="420" spans="2:15" ht="15.6" customHeight="1">
      <c r="B420" s="14"/>
      <c r="C420" s="14"/>
      <c r="D420" s="26" t="s">
        <v>323</v>
      </c>
      <c r="E420" s="11">
        <v>6.5</v>
      </c>
      <c r="F420" s="12"/>
      <c r="G420" s="12"/>
      <c r="H420" s="12">
        <v>9.5</v>
      </c>
      <c r="I420" s="13">
        <v>3.6</v>
      </c>
      <c r="J420" s="16">
        <v>2013</v>
      </c>
      <c r="K420" s="19" t="s">
        <v>265</v>
      </c>
      <c r="L420" s="3" t="s">
        <v>36</v>
      </c>
      <c r="M420" s="3" t="s">
        <v>21</v>
      </c>
      <c r="N420" s="3"/>
      <c r="O420" s="3" t="s">
        <v>325</v>
      </c>
    </row>
    <row r="421" spans="2:15" ht="15.6" customHeight="1">
      <c r="B421" s="14"/>
      <c r="C421" s="14"/>
      <c r="D421" s="26" t="s">
        <v>323</v>
      </c>
      <c r="E421" s="11">
        <v>7</v>
      </c>
      <c r="F421" s="12"/>
      <c r="G421" s="12"/>
      <c r="H421" s="12"/>
      <c r="I421" s="13"/>
      <c r="J421" s="16">
        <v>2011</v>
      </c>
      <c r="K421" s="19" t="s">
        <v>265</v>
      </c>
      <c r="L421" s="3" t="s">
        <v>36</v>
      </c>
      <c r="M421" s="3" t="s">
        <v>21</v>
      </c>
      <c r="N421" s="3"/>
      <c r="O421" s="3" t="s">
        <v>322</v>
      </c>
    </row>
    <row r="422" spans="2:15" ht="15.6" customHeight="1">
      <c r="B422" s="14"/>
      <c r="C422" s="14"/>
      <c r="D422" s="26" t="s">
        <v>323</v>
      </c>
      <c r="E422" s="11">
        <v>7.6</v>
      </c>
      <c r="F422" s="12"/>
      <c r="G422" s="12"/>
      <c r="H422" s="12"/>
      <c r="I422" s="13"/>
      <c r="J422" s="16">
        <v>2010</v>
      </c>
      <c r="K422" s="19" t="s">
        <v>265</v>
      </c>
      <c r="L422" s="3" t="s">
        <v>125</v>
      </c>
      <c r="M422" s="3" t="s">
        <v>51</v>
      </c>
      <c r="N422" s="3"/>
      <c r="O422" s="3" t="s">
        <v>326</v>
      </c>
    </row>
    <row r="423" spans="2:15" ht="15.6" customHeight="1">
      <c r="B423" s="14" t="s">
        <v>327</v>
      </c>
      <c r="C423" s="14" t="s">
        <v>328</v>
      </c>
      <c r="D423" s="26" t="s">
        <v>329</v>
      </c>
      <c r="E423" s="11">
        <v>11.5</v>
      </c>
      <c r="F423" s="12">
        <f>E423-0.7</f>
        <v>10.8</v>
      </c>
      <c r="G423" s="12">
        <f>E423+0.7</f>
        <v>12.2</v>
      </c>
      <c r="H423" s="12">
        <v>13.1</v>
      </c>
      <c r="I423" s="13">
        <v>9.8000000000000007</v>
      </c>
      <c r="J423" s="16" t="s">
        <v>330</v>
      </c>
      <c r="K423" s="19" t="s">
        <v>226</v>
      </c>
      <c r="L423" s="3" t="s">
        <v>125</v>
      </c>
      <c r="M423" s="3" t="s">
        <v>21</v>
      </c>
      <c r="N423" s="3"/>
      <c r="O423" s="3"/>
    </row>
    <row r="424" spans="2:15" ht="15.6" customHeight="1">
      <c r="B424" s="14"/>
      <c r="C424" s="14"/>
      <c r="D424" s="26" t="s">
        <v>329</v>
      </c>
      <c r="E424" s="11">
        <v>11.6</v>
      </c>
      <c r="F424" s="12"/>
      <c r="G424" s="12"/>
      <c r="H424" s="12">
        <v>14.7</v>
      </c>
      <c r="I424" s="13">
        <v>8.6</v>
      </c>
      <c r="J424" s="16">
        <v>2019</v>
      </c>
      <c r="K424" s="19" t="s">
        <v>226</v>
      </c>
      <c r="L424" s="3" t="s">
        <v>24</v>
      </c>
      <c r="M424" s="3" t="s">
        <v>21</v>
      </c>
      <c r="N424" s="3"/>
      <c r="O424" s="3"/>
    </row>
    <row r="425" spans="2:15" ht="15.6" customHeight="1">
      <c r="B425" s="14"/>
      <c r="C425" s="14"/>
      <c r="D425" s="26" t="s">
        <v>329</v>
      </c>
      <c r="E425" s="11">
        <v>10.4</v>
      </c>
      <c r="F425" s="12"/>
      <c r="G425" s="12"/>
      <c r="H425" s="12">
        <v>13.1</v>
      </c>
      <c r="I425" s="13">
        <v>7.9</v>
      </c>
      <c r="J425" s="16">
        <v>2016</v>
      </c>
      <c r="K425" s="19" t="s">
        <v>226</v>
      </c>
      <c r="L425" s="3" t="s">
        <v>24</v>
      </c>
      <c r="M425" s="3" t="s">
        <v>21</v>
      </c>
      <c r="N425" s="3"/>
      <c r="O425" s="3"/>
    </row>
    <row r="426" spans="2:15" ht="15.6" customHeight="1">
      <c r="B426" s="14"/>
      <c r="C426" s="14"/>
      <c r="D426" s="26" t="s">
        <v>329</v>
      </c>
      <c r="E426" s="11">
        <v>10.199999999999999</v>
      </c>
      <c r="F426" s="12"/>
      <c r="G426" s="12"/>
      <c r="H426" s="12">
        <v>12.8</v>
      </c>
      <c r="I426" s="13">
        <v>7.6</v>
      </c>
      <c r="J426" s="16">
        <v>2013</v>
      </c>
      <c r="K426" s="19" t="s">
        <v>226</v>
      </c>
      <c r="L426" s="3" t="s">
        <v>24</v>
      </c>
      <c r="M426" s="3" t="s">
        <v>21</v>
      </c>
      <c r="N426" s="3"/>
      <c r="O426" s="3"/>
    </row>
    <row r="427" spans="2:15" ht="15.6" customHeight="1">
      <c r="B427" s="14"/>
      <c r="C427" s="14"/>
      <c r="D427" s="26" t="s">
        <v>329</v>
      </c>
      <c r="E427" s="11">
        <v>10.3</v>
      </c>
      <c r="F427" s="12"/>
      <c r="G427" s="12"/>
      <c r="H427" s="12"/>
      <c r="I427" s="13"/>
      <c r="J427" s="16">
        <v>2010</v>
      </c>
      <c r="K427" s="19" t="s">
        <v>226</v>
      </c>
      <c r="L427" s="3" t="s">
        <v>24</v>
      </c>
      <c r="M427" s="3" t="s">
        <v>21</v>
      </c>
      <c r="N427" s="3"/>
      <c r="O427" s="3"/>
    </row>
    <row r="428" spans="2:15" ht="15.6" customHeight="1">
      <c r="B428" s="14"/>
      <c r="C428" s="14"/>
      <c r="D428" s="26" t="s">
        <v>329</v>
      </c>
      <c r="E428" s="11">
        <v>10.6</v>
      </c>
      <c r="F428" s="12"/>
      <c r="G428" s="12"/>
      <c r="H428" s="12"/>
      <c r="I428" s="13"/>
      <c r="J428" s="16">
        <v>2007</v>
      </c>
      <c r="K428" s="19" t="s">
        <v>27</v>
      </c>
      <c r="L428" s="3" t="s">
        <v>125</v>
      </c>
      <c r="M428" s="3" t="s">
        <v>51</v>
      </c>
      <c r="N428" s="3"/>
      <c r="O428" s="3"/>
    </row>
    <row r="429" spans="2:15" ht="15.6" customHeight="1">
      <c r="B429" s="14"/>
      <c r="C429" s="14"/>
      <c r="D429" s="26" t="s">
        <v>331</v>
      </c>
      <c r="E429" s="11">
        <v>15.6</v>
      </c>
      <c r="F429" s="12">
        <v>14.6</v>
      </c>
      <c r="G429" s="12">
        <v>16.600000000000001</v>
      </c>
      <c r="H429" s="12">
        <v>20</v>
      </c>
      <c r="I429" s="13">
        <v>11.1</v>
      </c>
      <c r="J429" s="16" t="s">
        <v>332</v>
      </c>
      <c r="K429" s="19" t="s">
        <v>50</v>
      </c>
      <c r="L429" s="3" t="s">
        <v>36</v>
      </c>
      <c r="M429" s="3" t="s">
        <v>51</v>
      </c>
      <c r="N429" s="3"/>
      <c r="O429" s="3"/>
    </row>
    <row r="430" spans="2:15" ht="15.6" customHeight="1">
      <c r="B430" s="14"/>
      <c r="C430" s="14"/>
      <c r="D430" s="26" t="s">
        <v>331</v>
      </c>
      <c r="E430" s="11">
        <v>14.2</v>
      </c>
      <c r="F430" s="12"/>
      <c r="G430" s="12"/>
      <c r="H430" s="12">
        <v>16.7</v>
      </c>
      <c r="I430" s="13">
        <v>11.4</v>
      </c>
      <c r="J430" s="16" t="s">
        <v>330</v>
      </c>
      <c r="K430" s="19" t="s">
        <v>50</v>
      </c>
      <c r="L430" s="3" t="s">
        <v>38</v>
      </c>
      <c r="M430" s="3" t="s">
        <v>51</v>
      </c>
      <c r="N430" s="3"/>
      <c r="O430" s="3"/>
    </row>
    <row r="431" spans="2:15" ht="15.6" customHeight="1">
      <c r="B431" s="14"/>
      <c r="C431" s="14"/>
      <c r="D431" s="26" t="s">
        <v>331</v>
      </c>
      <c r="E431" s="11">
        <v>14.7</v>
      </c>
      <c r="F431" s="12"/>
      <c r="G431" s="12"/>
      <c r="H431" s="12"/>
      <c r="I431" s="13"/>
      <c r="J431" s="16">
        <v>2022</v>
      </c>
      <c r="K431" s="19" t="s">
        <v>27</v>
      </c>
      <c r="L431" s="3" t="s">
        <v>24</v>
      </c>
      <c r="M431" s="3" t="s">
        <v>21</v>
      </c>
      <c r="N431" s="3"/>
      <c r="O431" s="3" t="s">
        <v>333</v>
      </c>
    </row>
    <row r="432" spans="2:15" ht="15.6" customHeight="1">
      <c r="B432" s="14"/>
      <c r="C432" s="14"/>
      <c r="D432" s="26" t="s">
        <v>331</v>
      </c>
      <c r="E432" s="11">
        <v>15.3</v>
      </c>
      <c r="F432" s="12"/>
      <c r="G432" s="12"/>
      <c r="H432" s="12"/>
      <c r="I432" s="13"/>
      <c r="J432" s="16">
        <v>2021</v>
      </c>
      <c r="K432" s="19" t="s">
        <v>27</v>
      </c>
      <c r="L432" s="3" t="s">
        <v>24</v>
      </c>
      <c r="M432" s="3" t="s">
        <v>21</v>
      </c>
      <c r="N432" s="3"/>
      <c r="O432" s="3" t="s">
        <v>334</v>
      </c>
    </row>
    <row r="433" spans="2:15" ht="15.6" customHeight="1">
      <c r="B433" s="14"/>
      <c r="C433" s="14"/>
      <c r="D433" s="26" t="s">
        <v>331</v>
      </c>
      <c r="E433" s="11">
        <v>15</v>
      </c>
      <c r="F433" s="12"/>
      <c r="G433" s="12"/>
      <c r="H433" s="12">
        <v>19</v>
      </c>
      <c r="I433" s="13">
        <v>11</v>
      </c>
      <c r="J433" s="16">
        <v>2020</v>
      </c>
      <c r="K433" s="19" t="s">
        <v>195</v>
      </c>
      <c r="L433" s="3" t="s">
        <v>24</v>
      </c>
      <c r="M433" s="3" t="s">
        <v>21</v>
      </c>
      <c r="N433" s="3"/>
      <c r="O433" s="3" t="s">
        <v>335</v>
      </c>
    </row>
    <row r="434" spans="2:15" ht="15.6" customHeight="1">
      <c r="B434" s="14"/>
      <c r="C434" s="14"/>
      <c r="D434" s="26" t="s">
        <v>331</v>
      </c>
      <c r="E434" s="11">
        <v>15</v>
      </c>
      <c r="F434" s="12"/>
      <c r="G434" s="12"/>
      <c r="H434" s="12">
        <v>19.899999999999999</v>
      </c>
      <c r="I434" s="13">
        <v>10.3</v>
      </c>
      <c r="J434" s="16">
        <v>2019</v>
      </c>
      <c r="K434" s="19" t="s">
        <v>50</v>
      </c>
      <c r="L434" s="3" t="s">
        <v>24</v>
      </c>
      <c r="M434" s="3" t="s">
        <v>21</v>
      </c>
      <c r="N434" s="3"/>
      <c r="O434" s="3" t="s">
        <v>336</v>
      </c>
    </row>
    <row r="435" spans="2:15" ht="15.6" customHeight="1">
      <c r="B435" s="14"/>
      <c r="C435" s="14"/>
      <c r="D435" s="26" t="s">
        <v>331</v>
      </c>
      <c r="E435" s="11">
        <v>11.9</v>
      </c>
      <c r="F435" s="12"/>
      <c r="G435" s="12"/>
      <c r="H435" s="12">
        <v>15.7</v>
      </c>
      <c r="I435" s="13">
        <v>8.4</v>
      </c>
      <c r="J435" s="16">
        <v>2018</v>
      </c>
      <c r="K435" s="19" t="s">
        <v>50</v>
      </c>
      <c r="L435" s="3" t="s">
        <v>36</v>
      </c>
      <c r="M435" s="3" t="s">
        <v>21</v>
      </c>
      <c r="N435" s="3"/>
      <c r="O435" s="3" t="s">
        <v>337</v>
      </c>
    </row>
    <row r="436" spans="2:15" ht="15.6" customHeight="1">
      <c r="B436" s="14"/>
      <c r="C436" s="14"/>
      <c r="D436" s="26" t="s">
        <v>331</v>
      </c>
      <c r="E436" s="11">
        <v>14.03</v>
      </c>
      <c r="F436" s="12"/>
      <c r="G436" s="12"/>
      <c r="H436" s="12">
        <v>18.55</v>
      </c>
      <c r="I436" s="13">
        <v>9.61</v>
      </c>
      <c r="J436" s="16">
        <v>2017</v>
      </c>
      <c r="K436" s="19" t="s">
        <v>27</v>
      </c>
      <c r="L436" s="3" t="s">
        <v>36</v>
      </c>
      <c r="M436" s="3" t="s">
        <v>21</v>
      </c>
      <c r="N436" s="3" t="s">
        <v>37</v>
      </c>
      <c r="O436" s="3" t="s">
        <v>338</v>
      </c>
    </row>
    <row r="437" spans="2:15" ht="15.6" customHeight="1">
      <c r="B437" s="14"/>
      <c r="C437" s="14"/>
      <c r="D437" s="26" t="s">
        <v>331</v>
      </c>
      <c r="E437" s="11">
        <v>13.73</v>
      </c>
      <c r="F437" s="12"/>
      <c r="G437" s="12"/>
      <c r="H437" s="12">
        <v>17.899999999999999</v>
      </c>
      <c r="I437" s="13">
        <v>9.66</v>
      </c>
      <c r="J437" s="16">
        <v>2016</v>
      </c>
      <c r="K437" s="19" t="s">
        <v>27</v>
      </c>
      <c r="L437" s="3" t="s">
        <v>36</v>
      </c>
      <c r="M437" s="3" t="s">
        <v>21</v>
      </c>
      <c r="N437" s="3" t="s">
        <v>37</v>
      </c>
      <c r="O437" s="3" t="s">
        <v>339</v>
      </c>
    </row>
    <row r="438" spans="2:15" ht="15.6" customHeight="1">
      <c r="B438" s="14"/>
      <c r="C438" s="14"/>
      <c r="D438" s="26" t="s">
        <v>331</v>
      </c>
      <c r="E438" s="11">
        <v>11</v>
      </c>
      <c r="F438" s="12">
        <v>10.3</v>
      </c>
      <c r="G438" s="12">
        <v>11.7</v>
      </c>
      <c r="H438" s="12">
        <v>14.3</v>
      </c>
      <c r="I438" s="13">
        <v>7.9</v>
      </c>
      <c r="J438" s="16">
        <v>2013</v>
      </c>
      <c r="K438" s="19" t="s">
        <v>50</v>
      </c>
      <c r="L438" s="3" t="s">
        <v>36</v>
      </c>
      <c r="M438" s="3" t="s">
        <v>21</v>
      </c>
      <c r="N438" s="3"/>
      <c r="O438" s="3" t="s">
        <v>340</v>
      </c>
    </row>
    <row r="439" spans="2:15" ht="15.6" customHeight="1">
      <c r="B439" s="14"/>
      <c r="C439" s="14"/>
      <c r="D439" s="26" t="s">
        <v>331</v>
      </c>
      <c r="E439" s="11">
        <v>14.6</v>
      </c>
      <c r="F439" s="12">
        <v>13.4</v>
      </c>
      <c r="G439" s="12">
        <v>15.7</v>
      </c>
      <c r="H439" s="12">
        <v>18.2</v>
      </c>
      <c r="I439" s="13">
        <v>11.3</v>
      </c>
      <c r="J439" s="16">
        <v>2008</v>
      </c>
      <c r="K439" s="19" t="s">
        <v>265</v>
      </c>
      <c r="L439" s="3" t="s">
        <v>36</v>
      </c>
      <c r="M439" s="3" t="s">
        <v>21</v>
      </c>
      <c r="N439" s="3"/>
      <c r="O439" s="3" t="s">
        <v>341</v>
      </c>
    </row>
    <row r="440" spans="2:15" ht="15.6" customHeight="1">
      <c r="B440" s="14"/>
      <c r="C440" s="14"/>
      <c r="D440" s="26" t="s">
        <v>331</v>
      </c>
      <c r="E440" s="11">
        <v>14.6</v>
      </c>
      <c r="F440" s="12"/>
      <c r="G440" s="12"/>
      <c r="H440" s="12"/>
      <c r="I440" s="13"/>
      <c r="J440" s="16">
        <v>2007</v>
      </c>
      <c r="K440" s="19" t="s">
        <v>265</v>
      </c>
      <c r="L440" s="3" t="s">
        <v>36</v>
      </c>
      <c r="M440" s="3" t="s">
        <v>21</v>
      </c>
      <c r="N440" s="3"/>
      <c r="O440" s="3"/>
    </row>
    <row r="441" spans="2:15" ht="15.6" customHeight="1">
      <c r="B441" s="14"/>
      <c r="C441" s="14"/>
      <c r="D441" s="26" t="s">
        <v>331</v>
      </c>
      <c r="E441" s="11">
        <v>13.25</v>
      </c>
      <c r="F441" s="12"/>
      <c r="G441" s="12"/>
      <c r="H441" s="12"/>
      <c r="I441" s="13"/>
      <c r="J441" s="16">
        <v>2006</v>
      </c>
      <c r="K441" s="19" t="s">
        <v>27</v>
      </c>
      <c r="L441" s="3" t="s">
        <v>38</v>
      </c>
      <c r="M441" s="3" t="s">
        <v>51</v>
      </c>
      <c r="N441" s="3" t="s">
        <v>342</v>
      </c>
      <c r="O441" s="3"/>
    </row>
    <row r="442" spans="2:15" ht="15.6" customHeight="1">
      <c r="B442" s="14"/>
      <c r="C442" s="14" t="s">
        <v>343</v>
      </c>
      <c r="D442" s="26" t="s">
        <v>344</v>
      </c>
      <c r="E442" s="11">
        <v>5.08</v>
      </c>
      <c r="F442" s="12">
        <v>3.04</v>
      </c>
      <c r="G442" s="12">
        <v>7.12</v>
      </c>
      <c r="H442" s="12"/>
      <c r="I442" s="13"/>
      <c r="J442" s="16">
        <v>2004</v>
      </c>
      <c r="K442" s="19" t="s">
        <v>27</v>
      </c>
      <c r="L442" s="3" t="s">
        <v>36</v>
      </c>
      <c r="M442" s="3" t="s">
        <v>44</v>
      </c>
      <c r="N442" s="3" t="s">
        <v>33</v>
      </c>
      <c r="O442" s="3"/>
    </row>
    <row r="443" spans="2:15" ht="172.5" customHeight="1">
      <c r="B443" s="80" t="s">
        <v>345</v>
      </c>
      <c r="C443" s="81"/>
      <c r="D443" s="81"/>
      <c r="E443" s="81"/>
      <c r="F443" s="81"/>
      <c r="G443" s="81"/>
      <c r="H443" s="81"/>
      <c r="I443" s="81"/>
      <c r="J443" s="81"/>
      <c r="K443" s="81"/>
      <c r="L443" s="81"/>
      <c r="M443" s="81"/>
      <c r="N443" s="81"/>
      <c r="O443" s="81"/>
    </row>
    <row r="444" spans="2:15">
      <c r="B444" t="s">
        <v>346</v>
      </c>
    </row>
  </sheetData>
  <mergeCells count="3">
    <mergeCell ref="B1:O1"/>
    <mergeCell ref="B2:O2"/>
    <mergeCell ref="B443:O443"/>
  </mergeCells>
  <conditionalFormatting sqref="D4:D442">
    <cfRule type="expression" dxfId="16" priority="1">
      <formula>#REF!=-1</formula>
    </cfRule>
  </conditionalFormatting>
  <pageMargins left="0.7" right="0.7" top="0.75" bottom="0.75" header="0.3" footer="0.3"/>
  <pageSetup paperSize="9" scale="30" orientation="portrait" r:id="rId1"/>
  <ignoredErrors>
    <ignoredError sqref="K37 K41 K49 K46" twoDigitTextYear="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1:O4203"/>
  <sheetViews>
    <sheetView zoomScale="90" zoomScaleNormal="90" zoomScaleSheetLayoutView="50" workbookViewId="0">
      <pane ySplit="3" topLeftCell="A4" activePane="bottomLeft" state="frozen"/>
      <selection activeCell="H40" sqref="H40"/>
      <selection pane="bottomLeft"/>
    </sheetView>
  </sheetViews>
  <sheetFormatPr defaultColWidth="8.875" defaultRowHeight="15.75"/>
  <cols>
    <col min="1" max="1" width="7.875" customWidth="1"/>
    <col min="2" max="2" width="16.125" customWidth="1"/>
    <col min="3" max="3" width="40.125" customWidth="1"/>
    <col min="4" max="4" width="38.875" customWidth="1"/>
    <col min="5" max="9" width="11.625" customWidth="1"/>
    <col min="10" max="11" width="11.625" style="18" customWidth="1"/>
    <col min="12" max="12" width="49.375" customWidth="1"/>
    <col min="13" max="13" width="12.125" customWidth="1"/>
    <col min="14" max="14" width="16.625" customWidth="1"/>
    <col min="15" max="15" width="71.125" style="2" customWidth="1"/>
  </cols>
  <sheetData>
    <row r="1" spans="2:15" s="10" customFormat="1" ht="43.5" customHeight="1">
      <c r="B1" s="82" t="s">
        <v>347</v>
      </c>
      <c r="C1" s="77"/>
      <c r="D1" s="77"/>
      <c r="E1" s="77"/>
      <c r="F1" s="77"/>
      <c r="G1" s="77"/>
      <c r="H1" s="77"/>
      <c r="I1" s="77"/>
      <c r="J1" s="77"/>
      <c r="K1" s="77"/>
      <c r="L1" s="77"/>
      <c r="M1" s="77"/>
      <c r="N1" s="77"/>
      <c r="O1" s="77"/>
    </row>
    <row r="2" spans="2:15" s="10" customFormat="1" ht="23.1" customHeight="1">
      <c r="B2" s="76" t="s">
        <v>1</v>
      </c>
      <c r="C2" s="77"/>
      <c r="D2" s="77"/>
      <c r="E2" s="77"/>
      <c r="F2" s="77"/>
      <c r="G2" s="77"/>
      <c r="H2" s="77"/>
      <c r="I2" s="77"/>
      <c r="J2" s="77"/>
      <c r="K2" s="77"/>
      <c r="L2" s="77"/>
      <c r="M2" s="77"/>
      <c r="N2" s="77"/>
      <c r="O2" s="77"/>
    </row>
    <row r="3" spans="2:15" s="10" customFormat="1" ht="45.6" customHeight="1">
      <c r="B3" s="5" t="s">
        <v>2</v>
      </c>
      <c r="C3" s="5" t="s">
        <v>3</v>
      </c>
      <c r="D3" s="5" t="s">
        <v>4</v>
      </c>
      <c r="E3" s="6" t="s">
        <v>5</v>
      </c>
      <c r="F3" s="6" t="s">
        <v>6</v>
      </c>
      <c r="G3" s="6" t="s">
        <v>7</v>
      </c>
      <c r="H3" s="7" t="s">
        <v>8</v>
      </c>
      <c r="I3" s="8" t="s">
        <v>9</v>
      </c>
      <c r="J3" s="5" t="s">
        <v>10</v>
      </c>
      <c r="K3" s="5" t="s">
        <v>11</v>
      </c>
      <c r="L3" s="5" t="s">
        <v>12</v>
      </c>
      <c r="M3" s="9" t="s">
        <v>13</v>
      </c>
      <c r="N3" s="6" t="s">
        <v>14</v>
      </c>
      <c r="O3" s="5" t="s">
        <v>15</v>
      </c>
    </row>
    <row r="4" spans="2:15">
      <c r="B4" s="14" t="s">
        <v>16</v>
      </c>
      <c r="C4" s="14" t="s">
        <v>17</v>
      </c>
      <c r="D4" s="24" t="s">
        <v>18</v>
      </c>
      <c r="E4" s="11">
        <v>0.1</v>
      </c>
      <c r="F4" s="12"/>
      <c r="G4" s="12"/>
      <c r="H4" s="12">
        <v>0.2</v>
      </c>
      <c r="I4" s="13">
        <v>0</v>
      </c>
      <c r="J4" s="17">
        <v>2016</v>
      </c>
      <c r="K4" s="20" t="s">
        <v>27</v>
      </c>
      <c r="L4" s="4" t="s">
        <v>24</v>
      </c>
      <c r="M4" s="4" t="s">
        <v>21</v>
      </c>
      <c r="N4" s="4"/>
      <c r="O4" s="4" t="s">
        <v>348</v>
      </c>
    </row>
    <row r="5" spans="2:15">
      <c r="B5" s="14"/>
      <c r="C5" s="14"/>
      <c r="D5" s="24" t="s">
        <v>18</v>
      </c>
      <c r="E5" s="11">
        <v>0.3</v>
      </c>
      <c r="F5" s="12">
        <v>0.2</v>
      </c>
      <c r="G5" s="12">
        <v>0.4</v>
      </c>
      <c r="H5" s="12"/>
      <c r="I5" s="13"/>
      <c r="J5" s="17">
        <v>2007</v>
      </c>
      <c r="K5" s="20" t="s">
        <v>19</v>
      </c>
      <c r="L5" s="4" t="s">
        <v>36</v>
      </c>
      <c r="M5" s="4" t="s">
        <v>21</v>
      </c>
      <c r="N5" s="4" t="s">
        <v>26</v>
      </c>
      <c r="O5" s="4"/>
    </row>
    <row r="6" spans="2:15">
      <c r="B6" s="14"/>
      <c r="C6" s="14" t="s">
        <v>39</v>
      </c>
      <c r="D6" s="24" t="s">
        <v>40</v>
      </c>
      <c r="E6" s="11">
        <v>0.01</v>
      </c>
      <c r="F6" s="12"/>
      <c r="G6" s="12"/>
      <c r="H6" s="12">
        <v>0.02</v>
      </c>
      <c r="I6" s="13"/>
      <c r="J6" s="17">
        <v>2010</v>
      </c>
      <c r="K6" s="20" t="s">
        <v>41</v>
      </c>
      <c r="L6" s="4" t="s">
        <v>24</v>
      </c>
      <c r="M6" s="4" t="s">
        <v>21</v>
      </c>
      <c r="N6" s="4"/>
      <c r="O6" s="4"/>
    </row>
    <row r="7" spans="2:15">
      <c r="B7" s="14"/>
      <c r="C7" s="14"/>
      <c r="D7" s="24" t="s">
        <v>42</v>
      </c>
      <c r="E7" s="11">
        <v>0.35</v>
      </c>
      <c r="F7" s="12"/>
      <c r="G7" s="12"/>
      <c r="H7" s="12"/>
      <c r="I7" s="13"/>
      <c r="J7" s="17">
        <v>2016</v>
      </c>
      <c r="K7" s="20" t="s">
        <v>27</v>
      </c>
      <c r="L7" s="4" t="s">
        <v>349</v>
      </c>
      <c r="M7" s="4" t="s">
        <v>44</v>
      </c>
      <c r="N7" s="4" t="s">
        <v>45</v>
      </c>
      <c r="O7" s="4"/>
    </row>
    <row r="8" spans="2:15">
      <c r="B8" s="14"/>
      <c r="C8" s="14"/>
      <c r="D8" s="24" t="s">
        <v>42</v>
      </c>
      <c r="E8" s="11">
        <v>0.02</v>
      </c>
      <c r="F8" s="12"/>
      <c r="G8" s="12"/>
      <c r="H8" s="12"/>
      <c r="I8" s="13"/>
      <c r="J8" s="17">
        <v>2006</v>
      </c>
      <c r="K8" s="20" t="s">
        <v>27</v>
      </c>
      <c r="L8" s="4" t="s">
        <v>350</v>
      </c>
      <c r="M8" s="4" t="s">
        <v>47</v>
      </c>
      <c r="N8" s="4" t="s">
        <v>48</v>
      </c>
      <c r="O8" s="4"/>
    </row>
    <row r="9" spans="2:15">
      <c r="B9" s="14"/>
      <c r="C9" s="14"/>
      <c r="D9" s="24" t="s">
        <v>49</v>
      </c>
      <c r="E9" s="11">
        <v>0.43</v>
      </c>
      <c r="F9" s="12">
        <v>0.33</v>
      </c>
      <c r="G9" s="12">
        <v>0.52</v>
      </c>
      <c r="H9" s="12"/>
      <c r="I9" s="13"/>
      <c r="J9" s="17">
        <v>2017</v>
      </c>
      <c r="K9" s="20" t="s">
        <v>27</v>
      </c>
      <c r="L9" s="4" t="s">
        <v>349</v>
      </c>
      <c r="M9" s="4" t="s">
        <v>44</v>
      </c>
      <c r="N9" s="4" t="s">
        <v>45</v>
      </c>
      <c r="O9" s="4" t="s">
        <v>351</v>
      </c>
    </row>
    <row r="10" spans="2:15">
      <c r="B10" s="14"/>
      <c r="C10" s="14"/>
      <c r="D10" s="24" t="s">
        <v>49</v>
      </c>
      <c r="E10" s="11">
        <v>0.05</v>
      </c>
      <c r="F10" s="12"/>
      <c r="G10" s="12"/>
      <c r="H10" s="12"/>
      <c r="I10" s="13"/>
      <c r="J10" s="17">
        <v>2005</v>
      </c>
      <c r="K10" s="20" t="s">
        <v>50</v>
      </c>
      <c r="L10" s="4" t="s">
        <v>24</v>
      </c>
      <c r="M10" s="4" t="s">
        <v>352</v>
      </c>
      <c r="N10" s="4"/>
      <c r="O10" s="4"/>
    </row>
    <row r="11" spans="2:15">
      <c r="B11" s="14"/>
      <c r="C11" s="14"/>
      <c r="D11" s="24" t="s">
        <v>49</v>
      </c>
      <c r="E11" s="11">
        <v>0.05</v>
      </c>
      <c r="F11" s="12"/>
      <c r="G11" s="12"/>
      <c r="H11" s="12"/>
      <c r="I11" s="13"/>
      <c r="J11" s="17">
        <v>2004</v>
      </c>
      <c r="K11" s="20" t="s">
        <v>27</v>
      </c>
      <c r="L11" s="4" t="s">
        <v>24</v>
      </c>
      <c r="M11" s="4"/>
      <c r="N11" s="4"/>
      <c r="O11" s="4"/>
    </row>
    <row r="12" spans="2:15">
      <c r="B12" s="14"/>
      <c r="C12" s="14"/>
      <c r="D12" s="24" t="s">
        <v>52</v>
      </c>
      <c r="E12" s="11">
        <v>0.1</v>
      </c>
      <c r="F12" s="12"/>
      <c r="G12" s="12"/>
      <c r="H12" s="12"/>
      <c r="I12" s="13"/>
      <c r="J12" s="17">
        <v>2017</v>
      </c>
      <c r="K12" s="20" t="s">
        <v>27</v>
      </c>
      <c r="L12" s="4" t="s">
        <v>349</v>
      </c>
      <c r="M12" s="4" t="s">
        <v>44</v>
      </c>
      <c r="N12" s="4" t="s">
        <v>45</v>
      </c>
      <c r="O12" s="4"/>
    </row>
    <row r="13" spans="2:15">
      <c r="B13" s="14"/>
      <c r="C13" s="14" t="s">
        <v>53</v>
      </c>
      <c r="D13" s="24" t="s">
        <v>54</v>
      </c>
      <c r="E13" s="11">
        <v>1.02</v>
      </c>
      <c r="F13" s="12">
        <v>0.28999999999999998</v>
      </c>
      <c r="G13" s="12">
        <v>1.1000000000000001</v>
      </c>
      <c r="H13" s="12"/>
      <c r="I13" s="13"/>
      <c r="J13" s="17">
        <v>2011</v>
      </c>
      <c r="K13" s="20" t="s">
        <v>27</v>
      </c>
      <c r="L13" s="4" t="s">
        <v>24</v>
      </c>
      <c r="M13" s="4" t="s">
        <v>44</v>
      </c>
      <c r="N13" s="4" t="s">
        <v>33</v>
      </c>
      <c r="O13" s="4"/>
    </row>
    <row r="14" spans="2:15">
      <c r="B14" s="14"/>
      <c r="C14" s="14"/>
      <c r="D14" s="24" t="s">
        <v>54</v>
      </c>
      <c r="E14" s="11">
        <v>0.78</v>
      </c>
      <c r="F14" s="12">
        <v>0.64</v>
      </c>
      <c r="G14" s="12">
        <v>1.17</v>
      </c>
      <c r="H14" s="12"/>
      <c r="I14" s="13"/>
      <c r="J14" s="17">
        <v>2008</v>
      </c>
      <c r="K14" s="20" t="s">
        <v>27</v>
      </c>
      <c r="L14" s="4" t="s">
        <v>38</v>
      </c>
      <c r="M14" s="4" t="s">
        <v>51</v>
      </c>
      <c r="N14" s="4" t="s">
        <v>56</v>
      </c>
      <c r="O14" s="4"/>
    </row>
    <row r="15" spans="2:15">
      <c r="B15" s="14"/>
      <c r="C15" s="14" t="s">
        <v>59</v>
      </c>
      <c r="D15" s="24" t="s">
        <v>62</v>
      </c>
      <c r="E15" s="11">
        <v>0.2</v>
      </c>
      <c r="F15" s="12"/>
      <c r="G15" s="12"/>
      <c r="H15" s="12"/>
      <c r="I15" s="13"/>
      <c r="J15" s="17">
        <v>2012</v>
      </c>
      <c r="K15" s="20" t="s">
        <v>27</v>
      </c>
      <c r="L15" s="4" t="s">
        <v>353</v>
      </c>
      <c r="M15" s="4" t="s">
        <v>21</v>
      </c>
      <c r="N15" s="4"/>
      <c r="O15" s="4"/>
    </row>
    <row r="16" spans="2:15">
      <c r="B16" s="14"/>
      <c r="C16" s="14"/>
      <c r="D16" s="24" t="s">
        <v>62</v>
      </c>
      <c r="E16" s="11">
        <v>0.23</v>
      </c>
      <c r="F16" s="12"/>
      <c r="G16" s="12"/>
      <c r="H16" s="12"/>
      <c r="I16" s="13"/>
      <c r="J16" s="17">
        <v>2004</v>
      </c>
      <c r="K16" s="20" t="s">
        <v>27</v>
      </c>
      <c r="L16" s="4" t="s">
        <v>61</v>
      </c>
      <c r="M16" s="4"/>
      <c r="N16" s="4" t="s">
        <v>33</v>
      </c>
      <c r="O16" s="4"/>
    </row>
    <row r="17" spans="2:15">
      <c r="B17" s="14"/>
      <c r="C17" s="14"/>
      <c r="D17" s="24" t="s">
        <v>64</v>
      </c>
      <c r="E17" s="11">
        <v>0.59</v>
      </c>
      <c r="F17" s="12">
        <v>0.49</v>
      </c>
      <c r="G17" s="12">
        <v>0.78</v>
      </c>
      <c r="H17" s="12"/>
      <c r="I17" s="13"/>
      <c r="J17" s="17">
        <v>2017</v>
      </c>
      <c r="K17" s="20" t="s">
        <v>27</v>
      </c>
      <c r="L17" s="4" t="s">
        <v>97</v>
      </c>
      <c r="M17" s="4" t="s">
        <v>44</v>
      </c>
      <c r="N17" s="4" t="s">
        <v>45</v>
      </c>
      <c r="O17" s="4" t="s">
        <v>351</v>
      </c>
    </row>
    <row r="18" spans="2:15">
      <c r="B18" s="14"/>
      <c r="C18" s="14"/>
      <c r="D18" s="24" t="s">
        <v>71</v>
      </c>
      <c r="E18" s="11">
        <v>0.09</v>
      </c>
      <c r="F18" s="12">
        <v>0</v>
      </c>
      <c r="G18" s="12">
        <v>0.24</v>
      </c>
      <c r="H18" s="12"/>
      <c r="I18" s="13"/>
      <c r="J18" s="17">
        <v>2017</v>
      </c>
      <c r="K18" s="20" t="s">
        <v>27</v>
      </c>
      <c r="L18" s="4" t="s">
        <v>354</v>
      </c>
      <c r="M18" s="4" t="s">
        <v>70</v>
      </c>
      <c r="N18" s="4"/>
      <c r="O18" s="4"/>
    </row>
    <row r="19" spans="2:15">
      <c r="B19" s="14"/>
      <c r="C19" s="14"/>
      <c r="D19" s="24" t="s">
        <v>71</v>
      </c>
      <c r="E19" s="11">
        <v>0.7</v>
      </c>
      <c r="F19" s="12">
        <v>0.28000000000000003</v>
      </c>
      <c r="G19" s="12">
        <v>1.1100000000000001</v>
      </c>
      <c r="H19" s="12"/>
      <c r="I19" s="13"/>
      <c r="J19" s="17">
        <v>2008</v>
      </c>
      <c r="K19" s="20" t="s">
        <v>27</v>
      </c>
      <c r="L19" s="4" t="s">
        <v>24</v>
      </c>
      <c r="M19" s="4" t="s">
        <v>21</v>
      </c>
      <c r="N19" s="4" t="s">
        <v>67</v>
      </c>
      <c r="O19" s="4"/>
    </row>
    <row r="20" spans="2:15">
      <c r="B20" s="14" t="s">
        <v>76</v>
      </c>
      <c r="C20" s="14" t="s">
        <v>77</v>
      </c>
      <c r="D20" s="24" t="s">
        <v>78</v>
      </c>
      <c r="E20" s="11">
        <v>0.05</v>
      </c>
      <c r="F20" s="12">
        <v>0.02</v>
      </c>
      <c r="G20" s="12">
        <v>0.1</v>
      </c>
      <c r="H20" s="12">
        <v>0.1</v>
      </c>
      <c r="I20" s="13">
        <v>0</v>
      </c>
      <c r="J20" s="17">
        <v>2017</v>
      </c>
      <c r="K20" s="20" t="s">
        <v>79</v>
      </c>
      <c r="L20" s="4" t="s">
        <v>36</v>
      </c>
      <c r="M20" s="4" t="s">
        <v>21</v>
      </c>
      <c r="N20" s="4"/>
      <c r="O20" s="4"/>
    </row>
    <row r="21" spans="2:15">
      <c r="B21" s="14"/>
      <c r="C21" s="14"/>
      <c r="D21" s="24" t="s">
        <v>80</v>
      </c>
      <c r="E21" s="11">
        <v>0.4</v>
      </c>
      <c r="F21" s="12"/>
      <c r="G21" s="12"/>
      <c r="H21" s="12"/>
      <c r="I21" s="13"/>
      <c r="J21" s="17">
        <v>2006</v>
      </c>
      <c r="K21" s="20" t="s">
        <v>27</v>
      </c>
      <c r="L21" s="4" t="s">
        <v>81</v>
      </c>
      <c r="M21" s="4" t="s">
        <v>21</v>
      </c>
      <c r="N21" s="4"/>
      <c r="O21" s="4"/>
    </row>
    <row r="22" spans="2:15">
      <c r="B22" s="14"/>
      <c r="C22" s="14"/>
      <c r="D22" s="24" t="s">
        <v>82</v>
      </c>
      <c r="E22" s="11">
        <v>0.32</v>
      </c>
      <c r="F22" s="12">
        <v>0.28000000000000003</v>
      </c>
      <c r="G22" s="12">
        <v>0.35</v>
      </c>
      <c r="H22" s="12"/>
      <c r="I22" s="13"/>
      <c r="J22" s="17">
        <v>2010</v>
      </c>
      <c r="K22" s="20" t="s">
        <v>79</v>
      </c>
      <c r="L22" s="4" t="s">
        <v>81</v>
      </c>
      <c r="M22" s="4" t="s">
        <v>21</v>
      </c>
      <c r="N22" s="4"/>
      <c r="O22" s="4"/>
    </row>
    <row r="23" spans="2:15">
      <c r="B23" s="14"/>
      <c r="C23" s="14"/>
      <c r="D23" s="24" t="s">
        <v>82</v>
      </c>
      <c r="E23" s="11">
        <v>0.3</v>
      </c>
      <c r="F23" s="12">
        <v>0.13</v>
      </c>
      <c r="G23" s="12">
        <v>0.56999999999999995</v>
      </c>
      <c r="H23" s="12"/>
      <c r="I23" s="13"/>
      <c r="J23" s="17">
        <v>2008</v>
      </c>
      <c r="K23" s="20" t="s">
        <v>27</v>
      </c>
      <c r="L23" s="4" t="s">
        <v>24</v>
      </c>
      <c r="M23" s="4" t="s">
        <v>44</v>
      </c>
      <c r="N23" s="4" t="s">
        <v>33</v>
      </c>
      <c r="O23" s="4"/>
    </row>
    <row r="24" spans="2:15">
      <c r="B24" s="14"/>
      <c r="C24" s="14"/>
      <c r="D24" s="24" t="s">
        <v>83</v>
      </c>
      <c r="E24" s="11">
        <v>0.2</v>
      </c>
      <c r="F24" s="12"/>
      <c r="G24" s="12"/>
      <c r="H24" s="12">
        <v>0.3</v>
      </c>
      <c r="I24" s="13">
        <v>0.1</v>
      </c>
      <c r="J24" s="17">
        <v>2018</v>
      </c>
      <c r="K24" s="20" t="s">
        <v>27</v>
      </c>
      <c r="L24" s="4" t="s">
        <v>24</v>
      </c>
      <c r="M24" s="4" t="s">
        <v>21</v>
      </c>
      <c r="N24" s="4"/>
      <c r="O24" s="4"/>
    </row>
    <row r="25" spans="2:15">
      <c r="B25" s="14"/>
      <c r="C25" s="14"/>
      <c r="D25" s="24" t="s">
        <v>83</v>
      </c>
      <c r="E25" s="11">
        <v>0.88</v>
      </c>
      <c r="F25" s="12">
        <v>0.34</v>
      </c>
      <c r="G25" s="12">
        <v>1.42</v>
      </c>
      <c r="H25" s="12"/>
      <c r="I25" s="13"/>
      <c r="J25" s="17">
        <v>2010</v>
      </c>
      <c r="K25" s="20" t="s">
        <v>27</v>
      </c>
      <c r="L25" s="4" t="s">
        <v>61</v>
      </c>
      <c r="M25" s="4" t="s">
        <v>44</v>
      </c>
      <c r="N25" s="4" t="s">
        <v>33</v>
      </c>
      <c r="O25" s="4"/>
    </row>
    <row r="26" spans="2:15">
      <c r="B26" s="14"/>
      <c r="C26" s="14"/>
      <c r="D26" s="24" t="s">
        <v>83</v>
      </c>
      <c r="E26" s="11">
        <v>0.9</v>
      </c>
      <c r="F26" s="12"/>
      <c r="G26" s="12"/>
      <c r="H26" s="12"/>
      <c r="I26" s="13"/>
      <c r="J26" s="17">
        <v>2005</v>
      </c>
      <c r="K26" s="20" t="s">
        <v>27</v>
      </c>
      <c r="L26" s="4" t="s">
        <v>61</v>
      </c>
      <c r="M26" s="4"/>
      <c r="N26" s="4"/>
      <c r="O26" s="4"/>
    </row>
    <row r="27" spans="2:15">
      <c r="B27" s="14"/>
      <c r="C27" s="14"/>
      <c r="D27" s="24" t="s">
        <v>84</v>
      </c>
      <c r="E27" s="11">
        <v>0.98</v>
      </c>
      <c r="F27" s="12">
        <v>0.39</v>
      </c>
      <c r="G27" s="12">
        <v>1.56</v>
      </c>
      <c r="H27" s="12"/>
      <c r="I27" s="13"/>
      <c r="J27" s="17">
        <v>2010</v>
      </c>
      <c r="K27" s="20" t="s">
        <v>27</v>
      </c>
      <c r="L27" s="4" t="s">
        <v>61</v>
      </c>
      <c r="M27" s="4" t="s">
        <v>44</v>
      </c>
      <c r="N27" s="4" t="s">
        <v>33</v>
      </c>
      <c r="O27" s="4"/>
    </row>
    <row r="28" spans="2:15">
      <c r="B28" s="14"/>
      <c r="C28" s="14"/>
      <c r="D28" s="24" t="s">
        <v>84</v>
      </c>
      <c r="E28" s="11">
        <v>1.1000000000000001</v>
      </c>
      <c r="F28" s="12"/>
      <c r="G28" s="12"/>
      <c r="H28" s="12"/>
      <c r="I28" s="13"/>
      <c r="J28" s="17">
        <v>2006</v>
      </c>
      <c r="K28" s="20" t="s">
        <v>27</v>
      </c>
      <c r="L28" s="4" t="s">
        <v>61</v>
      </c>
      <c r="M28" s="4" t="s">
        <v>44</v>
      </c>
      <c r="N28" s="4" t="s">
        <v>48</v>
      </c>
      <c r="O28" s="4"/>
    </row>
    <row r="29" spans="2:15">
      <c r="B29" s="14"/>
      <c r="C29" s="14"/>
      <c r="D29" s="24" t="s">
        <v>88</v>
      </c>
      <c r="E29" s="11">
        <v>0.83</v>
      </c>
      <c r="F29" s="12">
        <v>0.34</v>
      </c>
      <c r="G29" s="12">
        <v>1.39</v>
      </c>
      <c r="H29" s="12"/>
      <c r="I29" s="13"/>
      <c r="J29" s="17">
        <v>2005</v>
      </c>
      <c r="K29" s="20" t="s">
        <v>27</v>
      </c>
      <c r="L29" s="4" t="s">
        <v>36</v>
      </c>
      <c r="M29" s="4" t="s">
        <v>44</v>
      </c>
      <c r="N29" s="4" t="s">
        <v>33</v>
      </c>
      <c r="O29" s="4"/>
    </row>
    <row r="30" spans="2:15">
      <c r="B30" s="14"/>
      <c r="C30" s="14"/>
      <c r="D30" s="24" t="s">
        <v>89</v>
      </c>
      <c r="E30" s="11">
        <v>0.6</v>
      </c>
      <c r="F30" s="12">
        <v>0.19</v>
      </c>
      <c r="G30" s="12">
        <v>1.02</v>
      </c>
      <c r="H30" s="12"/>
      <c r="I30" s="13"/>
      <c r="J30" s="17">
        <v>2010</v>
      </c>
      <c r="K30" s="20" t="s">
        <v>27</v>
      </c>
      <c r="L30" s="4" t="s">
        <v>61</v>
      </c>
      <c r="M30" s="4" t="s">
        <v>44</v>
      </c>
      <c r="N30" s="4" t="s">
        <v>33</v>
      </c>
      <c r="O30" s="4"/>
    </row>
    <row r="31" spans="2:15">
      <c r="B31" s="14"/>
      <c r="C31" s="14"/>
      <c r="D31" s="24" t="s">
        <v>89</v>
      </c>
      <c r="E31" s="11">
        <v>1</v>
      </c>
      <c r="F31" s="12"/>
      <c r="G31" s="12"/>
      <c r="H31" s="12"/>
      <c r="I31" s="13"/>
      <c r="J31" s="17">
        <v>2002</v>
      </c>
      <c r="K31" s="20" t="s">
        <v>27</v>
      </c>
      <c r="L31" s="4" t="s">
        <v>61</v>
      </c>
      <c r="M31" s="4"/>
      <c r="N31" s="4"/>
      <c r="O31" s="4"/>
    </row>
    <row r="32" spans="2:15">
      <c r="B32" s="14"/>
      <c r="C32" s="14"/>
      <c r="D32" s="24" t="s">
        <v>90</v>
      </c>
      <c r="E32" s="11">
        <v>0.48</v>
      </c>
      <c r="F32" s="12">
        <v>0.11</v>
      </c>
      <c r="G32" s="12">
        <v>0.84</v>
      </c>
      <c r="H32" s="12"/>
      <c r="I32" s="13"/>
      <c r="J32" s="17">
        <v>2010</v>
      </c>
      <c r="K32" s="20" t="s">
        <v>27</v>
      </c>
      <c r="L32" s="4" t="s">
        <v>61</v>
      </c>
      <c r="M32" s="4" t="s">
        <v>44</v>
      </c>
      <c r="N32" s="4" t="s">
        <v>33</v>
      </c>
      <c r="O32" s="4"/>
    </row>
    <row r="33" spans="2:15">
      <c r="B33" s="14"/>
      <c r="C33" s="14" t="s">
        <v>91</v>
      </c>
      <c r="D33" s="24" t="s">
        <v>92</v>
      </c>
      <c r="E33" s="11">
        <v>0.85</v>
      </c>
      <c r="F33" s="12"/>
      <c r="G33" s="12"/>
      <c r="H33" s="12"/>
      <c r="I33" s="13"/>
      <c r="J33" s="17">
        <v>2005</v>
      </c>
      <c r="K33" s="20" t="s">
        <v>79</v>
      </c>
      <c r="L33" s="4" t="s">
        <v>61</v>
      </c>
      <c r="M33" s="4" t="s">
        <v>21</v>
      </c>
      <c r="N33" s="4"/>
      <c r="O33" s="4"/>
    </row>
    <row r="34" spans="2:15">
      <c r="B34" s="14"/>
      <c r="C34" s="14"/>
      <c r="D34" s="24" t="s">
        <v>93</v>
      </c>
      <c r="E34" s="11">
        <v>1.23</v>
      </c>
      <c r="F34" s="12"/>
      <c r="G34" s="12"/>
      <c r="H34" s="12">
        <v>1.95</v>
      </c>
      <c r="I34" s="13">
        <v>0.49</v>
      </c>
      <c r="J34" s="17">
        <v>2015</v>
      </c>
      <c r="K34" s="20" t="s">
        <v>94</v>
      </c>
      <c r="L34" s="4" t="s">
        <v>24</v>
      </c>
      <c r="M34" s="4" t="s">
        <v>21</v>
      </c>
      <c r="N34" s="4"/>
      <c r="O34" s="4" t="s">
        <v>351</v>
      </c>
    </row>
    <row r="35" spans="2:15">
      <c r="B35" s="14"/>
      <c r="C35" s="14"/>
      <c r="D35" s="24" t="s">
        <v>93</v>
      </c>
      <c r="E35" s="11">
        <v>1.33</v>
      </c>
      <c r="F35" s="12"/>
      <c r="G35" s="12"/>
      <c r="H35" s="12">
        <v>2.16</v>
      </c>
      <c r="I35" s="13">
        <v>0.5</v>
      </c>
      <c r="J35" s="17">
        <v>2015</v>
      </c>
      <c r="K35" s="20" t="s">
        <v>27</v>
      </c>
      <c r="L35" s="4" t="s">
        <v>24</v>
      </c>
      <c r="M35" s="4" t="s">
        <v>21</v>
      </c>
      <c r="N35" s="4"/>
      <c r="O35" s="4" t="s">
        <v>351</v>
      </c>
    </row>
    <row r="36" spans="2:15">
      <c r="B36" s="14"/>
      <c r="C36" s="14"/>
      <c r="D36" s="24" t="s">
        <v>93</v>
      </c>
      <c r="E36" s="11">
        <v>1.06</v>
      </c>
      <c r="F36" s="12"/>
      <c r="G36" s="12"/>
      <c r="H36" s="12">
        <v>1.73</v>
      </c>
      <c r="I36" s="13">
        <v>0.38</v>
      </c>
      <c r="J36" s="17">
        <v>2010</v>
      </c>
      <c r="K36" s="20" t="s">
        <v>27</v>
      </c>
      <c r="L36" s="4" t="s">
        <v>24</v>
      </c>
      <c r="M36" s="4" t="s">
        <v>21</v>
      </c>
      <c r="N36" s="4"/>
      <c r="O36" s="4" t="s">
        <v>351</v>
      </c>
    </row>
    <row r="37" spans="2:15">
      <c r="B37" s="14"/>
      <c r="C37" s="14"/>
      <c r="D37" s="24" t="s">
        <v>93</v>
      </c>
      <c r="E37" s="11">
        <v>0.34</v>
      </c>
      <c r="F37" s="12">
        <v>0.23</v>
      </c>
      <c r="G37" s="12">
        <v>0.38</v>
      </c>
      <c r="H37" s="12">
        <v>0.62</v>
      </c>
      <c r="I37" s="13">
        <v>0.04</v>
      </c>
      <c r="J37" s="17">
        <v>2006</v>
      </c>
      <c r="K37" s="20" t="s">
        <v>94</v>
      </c>
      <c r="L37" s="4" t="s">
        <v>38</v>
      </c>
      <c r="M37" s="4" t="s">
        <v>51</v>
      </c>
      <c r="N37" s="4"/>
      <c r="O37" s="4" t="s">
        <v>351</v>
      </c>
    </row>
    <row r="38" spans="2:15">
      <c r="B38" s="14"/>
      <c r="C38" s="14"/>
      <c r="D38" s="24" t="s">
        <v>95</v>
      </c>
      <c r="E38" s="11">
        <v>0.37</v>
      </c>
      <c r="F38" s="12">
        <v>0.27</v>
      </c>
      <c r="G38" s="12">
        <v>0.47</v>
      </c>
      <c r="H38" s="12">
        <v>0.73</v>
      </c>
      <c r="I38" s="13">
        <v>0.11</v>
      </c>
      <c r="J38" s="17">
        <v>2014</v>
      </c>
      <c r="K38" s="20" t="s">
        <v>79</v>
      </c>
      <c r="L38" s="4" t="s">
        <v>355</v>
      </c>
      <c r="M38" s="4" t="s">
        <v>21</v>
      </c>
      <c r="N38" s="4"/>
      <c r="O38" s="4" t="s">
        <v>356</v>
      </c>
    </row>
    <row r="39" spans="2:15">
      <c r="B39" s="14"/>
      <c r="C39" s="14"/>
      <c r="D39" s="24" t="s">
        <v>95</v>
      </c>
      <c r="E39" s="11">
        <v>0.41</v>
      </c>
      <c r="F39" s="12"/>
      <c r="G39" s="12"/>
      <c r="H39" s="12"/>
      <c r="I39" s="13"/>
      <c r="J39" s="17">
        <v>2005</v>
      </c>
      <c r="K39" s="20" t="s">
        <v>79</v>
      </c>
      <c r="L39" s="4" t="s">
        <v>24</v>
      </c>
      <c r="M39" s="4" t="s">
        <v>21</v>
      </c>
      <c r="N39" s="4"/>
      <c r="O39" s="4"/>
    </row>
    <row r="40" spans="2:15">
      <c r="B40" s="14"/>
      <c r="C40" s="14"/>
      <c r="D40" s="24" t="s">
        <v>96</v>
      </c>
      <c r="E40" s="11">
        <v>1.2470000000000001</v>
      </c>
      <c r="F40" s="12">
        <v>0.39500000000000002</v>
      </c>
      <c r="G40" s="12">
        <v>2.1</v>
      </c>
      <c r="H40" s="12"/>
      <c r="I40" s="13"/>
      <c r="J40" s="17">
        <v>2014</v>
      </c>
      <c r="K40" s="20" t="s">
        <v>27</v>
      </c>
      <c r="L40" s="4" t="s">
        <v>97</v>
      </c>
      <c r="M40" s="4" t="s">
        <v>44</v>
      </c>
      <c r="N40" s="4" t="s">
        <v>45</v>
      </c>
      <c r="O40" s="4" t="s">
        <v>356</v>
      </c>
    </row>
    <row r="41" spans="2:15">
      <c r="B41" s="14"/>
      <c r="C41" s="14"/>
      <c r="D41" s="24" t="s">
        <v>96</v>
      </c>
      <c r="E41" s="11">
        <v>0.21</v>
      </c>
      <c r="F41" s="12"/>
      <c r="G41" s="12"/>
      <c r="H41" s="12"/>
      <c r="I41" s="13"/>
      <c r="J41" s="17">
        <v>2005</v>
      </c>
      <c r="K41" s="20" t="s">
        <v>27</v>
      </c>
      <c r="L41" s="4" t="s">
        <v>24</v>
      </c>
      <c r="M41" s="4" t="s">
        <v>21</v>
      </c>
      <c r="N41" s="4"/>
      <c r="O41" s="4"/>
    </row>
    <row r="42" spans="2:15">
      <c r="B42" s="14"/>
      <c r="C42" s="14"/>
      <c r="D42" s="24" t="s">
        <v>99</v>
      </c>
      <c r="E42" s="11">
        <v>0.87</v>
      </c>
      <c r="F42" s="12"/>
      <c r="G42" s="12"/>
      <c r="H42" s="12"/>
      <c r="I42" s="13"/>
      <c r="J42" s="17">
        <v>2005</v>
      </c>
      <c r="K42" s="20" t="s">
        <v>357</v>
      </c>
      <c r="L42" s="4" t="s">
        <v>24</v>
      </c>
      <c r="M42" s="4"/>
      <c r="N42" s="4"/>
      <c r="O42" s="4"/>
    </row>
    <row r="43" spans="2:15">
      <c r="B43" s="14"/>
      <c r="C43" s="14"/>
      <c r="D43" s="24" t="s">
        <v>100</v>
      </c>
      <c r="E43" s="11">
        <v>0.69</v>
      </c>
      <c r="F43" s="12">
        <v>0.52</v>
      </c>
      <c r="G43" s="12">
        <v>0.86</v>
      </c>
      <c r="H43" s="12"/>
      <c r="I43" s="13"/>
      <c r="J43" s="17">
        <v>2006</v>
      </c>
      <c r="K43" s="20" t="s">
        <v>79</v>
      </c>
      <c r="L43" s="4" t="s">
        <v>61</v>
      </c>
      <c r="M43" s="4" t="s">
        <v>21</v>
      </c>
      <c r="N43" s="4" t="s">
        <v>101</v>
      </c>
      <c r="O43" s="4"/>
    </row>
    <row r="44" spans="2:15">
      <c r="B44" s="14"/>
      <c r="C44" s="14"/>
      <c r="D44" s="24" t="s">
        <v>102</v>
      </c>
      <c r="E44" s="11">
        <v>0.1</v>
      </c>
      <c r="F44" s="12"/>
      <c r="G44" s="12"/>
      <c r="H44" s="12"/>
      <c r="I44" s="13"/>
      <c r="J44" s="17">
        <v>2015</v>
      </c>
      <c r="K44" s="20" t="s">
        <v>79</v>
      </c>
      <c r="L44" s="4" t="s">
        <v>109</v>
      </c>
      <c r="M44" s="4" t="s">
        <v>21</v>
      </c>
      <c r="N44" s="4"/>
      <c r="O44" s="4" t="s">
        <v>358</v>
      </c>
    </row>
    <row r="45" spans="2:15">
      <c r="B45" s="14"/>
      <c r="C45" s="14"/>
      <c r="D45" s="24" t="s">
        <v>102</v>
      </c>
      <c r="E45" s="11">
        <v>1.2</v>
      </c>
      <c r="F45" s="12"/>
      <c r="G45" s="12"/>
      <c r="H45" s="12"/>
      <c r="I45" s="13"/>
      <c r="J45" s="17">
        <v>2003</v>
      </c>
      <c r="K45" s="20" t="s">
        <v>79</v>
      </c>
      <c r="L45" s="4" t="s">
        <v>36</v>
      </c>
      <c r="M45" s="4" t="s">
        <v>21</v>
      </c>
      <c r="N45" s="4"/>
      <c r="O45" s="4"/>
    </row>
    <row r="46" spans="2:15">
      <c r="B46" s="14"/>
      <c r="C46" s="14" t="s">
        <v>104</v>
      </c>
      <c r="D46" s="24" t="s">
        <v>105</v>
      </c>
      <c r="E46" s="11">
        <v>1.3</v>
      </c>
      <c r="F46" s="12">
        <v>1</v>
      </c>
      <c r="G46" s="12">
        <v>1.6</v>
      </c>
      <c r="H46" s="12"/>
      <c r="I46" s="13"/>
      <c r="J46" s="17">
        <v>2009</v>
      </c>
      <c r="K46" s="20" t="s">
        <v>106</v>
      </c>
      <c r="L46" s="4" t="s">
        <v>36</v>
      </c>
      <c r="M46" s="4" t="s">
        <v>21</v>
      </c>
      <c r="N46" s="4"/>
      <c r="O46" s="4"/>
    </row>
    <row r="47" spans="2:15">
      <c r="B47" s="14"/>
      <c r="C47" s="14"/>
      <c r="D47" s="24" t="s">
        <v>107</v>
      </c>
      <c r="E47" s="11">
        <v>2.725884712</v>
      </c>
      <c r="F47" s="12">
        <v>2.5274554920000001</v>
      </c>
      <c r="G47" s="12">
        <v>2.9394227129999999</v>
      </c>
      <c r="H47" s="12">
        <v>3.2946749280000001</v>
      </c>
      <c r="I47" s="13">
        <v>2.1713835979999998</v>
      </c>
      <c r="J47" s="17">
        <v>2023</v>
      </c>
      <c r="K47" s="20" t="s">
        <v>50</v>
      </c>
      <c r="L47" s="4" t="s">
        <v>36</v>
      </c>
      <c r="M47" s="4" t="s">
        <v>21</v>
      </c>
      <c r="N47" s="4"/>
      <c r="O47" s="4"/>
    </row>
    <row r="48" spans="2:15">
      <c r="B48" s="14"/>
      <c r="C48" s="14"/>
      <c r="D48" s="24" t="s">
        <v>107</v>
      </c>
      <c r="E48" s="11">
        <v>2</v>
      </c>
      <c r="F48" s="12">
        <v>1.4</v>
      </c>
      <c r="G48" s="12">
        <v>2.5</v>
      </c>
      <c r="H48" s="12">
        <v>2.4</v>
      </c>
      <c r="I48" s="13">
        <v>1.5</v>
      </c>
      <c r="J48" s="17">
        <v>2019</v>
      </c>
      <c r="K48" s="20" t="s">
        <v>50</v>
      </c>
      <c r="L48" s="4" t="s">
        <v>109</v>
      </c>
      <c r="M48" s="4" t="s">
        <v>21</v>
      </c>
      <c r="N48" s="4"/>
      <c r="O48" s="4"/>
    </row>
    <row r="49" spans="2:15">
      <c r="B49" s="14"/>
      <c r="C49" s="14"/>
      <c r="D49" s="24" t="s">
        <v>107</v>
      </c>
      <c r="E49" s="11">
        <v>2.5</v>
      </c>
      <c r="F49" s="12"/>
      <c r="G49" s="12"/>
      <c r="H49" s="12">
        <v>3.7</v>
      </c>
      <c r="I49" s="13">
        <v>1.3</v>
      </c>
      <c r="J49" s="17">
        <v>2017</v>
      </c>
      <c r="K49" s="20" t="s">
        <v>50</v>
      </c>
      <c r="L49" s="4" t="s">
        <v>24</v>
      </c>
      <c r="M49" s="4" t="s">
        <v>21</v>
      </c>
      <c r="N49" s="4"/>
      <c r="O49" s="4"/>
    </row>
    <row r="50" spans="2:15">
      <c r="B50" s="14"/>
      <c r="C50" s="14"/>
      <c r="D50" s="24" t="s">
        <v>107</v>
      </c>
      <c r="E50" s="11">
        <v>1.47</v>
      </c>
      <c r="F50" s="12"/>
      <c r="G50" s="12"/>
      <c r="H50" s="12">
        <v>1.83</v>
      </c>
      <c r="I50" s="13">
        <v>1.1200000000000001</v>
      </c>
      <c r="J50" s="17">
        <v>2015</v>
      </c>
      <c r="K50" s="20" t="s">
        <v>27</v>
      </c>
      <c r="L50" s="4" t="s">
        <v>24</v>
      </c>
      <c r="M50" s="4" t="s">
        <v>21</v>
      </c>
      <c r="N50" s="4"/>
      <c r="O50" s="4"/>
    </row>
    <row r="51" spans="2:15">
      <c r="B51" s="14"/>
      <c r="C51" s="14"/>
      <c r="D51" s="24" t="s">
        <v>107</v>
      </c>
      <c r="E51" s="11">
        <v>1.1000000000000001</v>
      </c>
      <c r="F51" s="12"/>
      <c r="G51" s="12"/>
      <c r="H51" s="12">
        <v>1.6</v>
      </c>
      <c r="I51" s="13">
        <v>0.6</v>
      </c>
      <c r="J51" s="17">
        <v>2013</v>
      </c>
      <c r="K51" s="20" t="s">
        <v>27</v>
      </c>
      <c r="L51" s="4" t="s">
        <v>24</v>
      </c>
      <c r="M51" s="4" t="s">
        <v>21</v>
      </c>
      <c r="N51" s="4"/>
      <c r="O51" s="4"/>
    </row>
    <row r="52" spans="2:15">
      <c r="B52" s="14"/>
      <c r="C52" s="14"/>
      <c r="D52" s="24" t="s">
        <v>107</v>
      </c>
      <c r="E52" s="11">
        <v>1.3</v>
      </c>
      <c r="F52" s="12"/>
      <c r="G52" s="12"/>
      <c r="H52" s="12">
        <v>1.7</v>
      </c>
      <c r="I52" s="13"/>
      <c r="J52" s="17">
        <v>2012</v>
      </c>
      <c r="K52" s="20" t="s">
        <v>27</v>
      </c>
      <c r="L52" s="4" t="s">
        <v>24</v>
      </c>
      <c r="M52" s="4" t="s">
        <v>21</v>
      </c>
      <c r="N52" s="4"/>
      <c r="O52" s="4"/>
    </row>
    <row r="53" spans="2:15">
      <c r="B53" s="14"/>
      <c r="C53" s="14"/>
      <c r="D53" s="24" t="s">
        <v>107</v>
      </c>
      <c r="E53" s="11">
        <v>1.1000000000000001</v>
      </c>
      <c r="F53" s="12"/>
      <c r="G53" s="12"/>
      <c r="H53" s="12"/>
      <c r="I53" s="13"/>
      <c r="J53" s="17">
        <v>2011</v>
      </c>
      <c r="K53" s="20" t="s">
        <v>27</v>
      </c>
      <c r="L53" s="4" t="s">
        <v>24</v>
      </c>
      <c r="M53" s="4" t="s">
        <v>21</v>
      </c>
      <c r="N53" s="4"/>
      <c r="O53" s="4"/>
    </row>
    <row r="54" spans="2:15">
      <c r="B54" s="14"/>
      <c r="C54" s="14"/>
      <c r="D54" s="24" t="s">
        <v>107</v>
      </c>
      <c r="E54" s="11">
        <v>0.82</v>
      </c>
      <c r="F54" s="12"/>
      <c r="G54" s="12"/>
      <c r="H54" s="12"/>
      <c r="I54" s="13"/>
      <c r="J54" s="17">
        <v>2010</v>
      </c>
      <c r="K54" s="20" t="s">
        <v>27</v>
      </c>
      <c r="L54" s="4" t="s">
        <v>38</v>
      </c>
      <c r="M54" s="4" t="s">
        <v>51</v>
      </c>
      <c r="N54" s="4"/>
      <c r="O54" s="4"/>
    </row>
    <row r="55" spans="2:15">
      <c r="B55" s="14"/>
      <c r="C55" s="14"/>
      <c r="D55" s="24" t="s">
        <v>110</v>
      </c>
      <c r="E55" s="11">
        <v>0.8</v>
      </c>
      <c r="F55" s="12">
        <v>0.63</v>
      </c>
      <c r="G55" s="12">
        <v>0.97</v>
      </c>
      <c r="H55" s="12">
        <v>1.4</v>
      </c>
      <c r="I55" s="13">
        <v>0.2</v>
      </c>
      <c r="J55" s="17">
        <v>2016</v>
      </c>
      <c r="K55" s="20" t="s">
        <v>79</v>
      </c>
      <c r="L55" s="4" t="s">
        <v>109</v>
      </c>
      <c r="M55" s="4" t="s">
        <v>21</v>
      </c>
      <c r="N55" s="4"/>
      <c r="O55" s="4"/>
    </row>
    <row r="56" spans="2:15">
      <c r="B56" s="14"/>
      <c r="C56" s="14"/>
      <c r="D56" s="24" t="s">
        <v>110</v>
      </c>
      <c r="E56" s="11">
        <v>0.5</v>
      </c>
      <c r="F56" s="12">
        <v>0.35</v>
      </c>
      <c r="G56" s="12">
        <v>0.64</v>
      </c>
      <c r="H56" s="12">
        <v>0.9</v>
      </c>
      <c r="I56" s="13">
        <v>0.1</v>
      </c>
      <c r="J56" s="17">
        <v>2011</v>
      </c>
      <c r="K56" s="20" t="s">
        <v>79</v>
      </c>
      <c r="L56" s="4" t="s">
        <v>359</v>
      </c>
      <c r="M56" s="4" t="s">
        <v>21</v>
      </c>
      <c r="N56" s="4"/>
      <c r="O56" s="4"/>
    </row>
    <row r="57" spans="2:15">
      <c r="B57" s="14"/>
      <c r="C57" s="14"/>
      <c r="D57" s="24" t="s">
        <v>110</v>
      </c>
      <c r="E57" s="11">
        <v>0.4</v>
      </c>
      <c r="F57" s="12"/>
      <c r="G57" s="12"/>
      <c r="H57" s="12"/>
      <c r="I57" s="13"/>
      <c r="J57" s="17">
        <v>2008</v>
      </c>
      <c r="K57" s="20" t="s">
        <v>79</v>
      </c>
      <c r="L57" s="4" t="s">
        <v>36</v>
      </c>
      <c r="M57" s="4" t="s">
        <v>21</v>
      </c>
      <c r="N57" s="4"/>
      <c r="O57" s="4"/>
    </row>
    <row r="58" spans="2:15">
      <c r="B58" s="14"/>
      <c r="C58" s="14"/>
      <c r="D58" s="24" t="s">
        <v>113</v>
      </c>
      <c r="E58" s="11">
        <v>2.2714168130000001</v>
      </c>
      <c r="F58" s="12"/>
      <c r="G58" s="12"/>
      <c r="H58" s="12">
        <v>2.8233592330000001</v>
      </c>
      <c r="I58" s="13">
        <v>1.5648929250000001</v>
      </c>
      <c r="J58" s="17">
        <v>2023</v>
      </c>
      <c r="K58" s="20" t="s">
        <v>27</v>
      </c>
      <c r="L58" s="4" t="s">
        <v>97</v>
      </c>
      <c r="M58" s="4" t="s">
        <v>21</v>
      </c>
      <c r="N58" s="4" t="s">
        <v>37</v>
      </c>
      <c r="O58" s="4" t="s">
        <v>114</v>
      </c>
    </row>
    <row r="59" spans="2:15">
      <c r="B59" s="14"/>
      <c r="C59" s="14"/>
      <c r="D59" s="24" t="s">
        <v>113</v>
      </c>
      <c r="E59" s="11">
        <v>2.3976066359999999</v>
      </c>
      <c r="F59" s="12" t="s">
        <v>360</v>
      </c>
      <c r="G59" s="12" t="s">
        <v>360</v>
      </c>
      <c r="H59" s="12">
        <v>3.1916234800000001</v>
      </c>
      <c r="I59" s="13">
        <v>1.5648929250000001</v>
      </c>
      <c r="J59" s="17">
        <v>2022</v>
      </c>
      <c r="K59" s="20" t="s">
        <v>27</v>
      </c>
      <c r="L59" s="4" t="s">
        <v>97</v>
      </c>
      <c r="M59" s="4" t="s">
        <v>21</v>
      </c>
      <c r="N59" s="4" t="s">
        <v>37</v>
      </c>
      <c r="O59" s="4" t="s">
        <v>115</v>
      </c>
    </row>
    <row r="60" spans="2:15">
      <c r="B60" s="14"/>
      <c r="C60" s="14"/>
      <c r="D60" s="24" t="s">
        <v>113</v>
      </c>
      <c r="E60" s="11">
        <v>2.2799999999999998</v>
      </c>
      <c r="F60" s="12"/>
      <c r="G60" s="12"/>
      <c r="H60" s="12">
        <v>2.6029797659999998</v>
      </c>
      <c r="I60" s="13">
        <v>1.7449763279999999</v>
      </c>
      <c r="J60" s="17">
        <v>2021</v>
      </c>
      <c r="K60" s="20" t="s">
        <v>27</v>
      </c>
      <c r="L60" s="4" t="s">
        <v>97</v>
      </c>
      <c r="M60" s="4" t="s">
        <v>21</v>
      </c>
      <c r="N60" s="4" t="s">
        <v>37</v>
      </c>
      <c r="O60" s="4" t="s">
        <v>361</v>
      </c>
    </row>
    <row r="61" spans="2:15">
      <c r="B61" s="14"/>
      <c r="C61" s="14"/>
      <c r="D61" s="24" t="s">
        <v>113</v>
      </c>
      <c r="E61" s="11">
        <v>2.4</v>
      </c>
      <c r="F61" s="12"/>
      <c r="G61" s="12"/>
      <c r="H61" s="12">
        <v>3.1</v>
      </c>
      <c r="I61" s="13">
        <v>1.7</v>
      </c>
      <c r="J61" s="17">
        <v>2020</v>
      </c>
      <c r="K61" s="20" t="s">
        <v>27</v>
      </c>
      <c r="L61" s="4" t="s">
        <v>24</v>
      </c>
      <c r="M61" s="4" t="s">
        <v>21</v>
      </c>
      <c r="N61" s="4"/>
      <c r="O61" s="4" t="s">
        <v>362</v>
      </c>
    </row>
    <row r="62" spans="2:15">
      <c r="B62" s="14"/>
      <c r="C62" s="14"/>
      <c r="D62" s="24" t="s">
        <v>113</v>
      </c>
      <c r="E62" s="11">
        <v>2.6</v>
      </c>
      <c r="F62" s="12"/>
      <c r="G62" s="12"/>
      <c r="H62" s="12">
        <v>3.3</v>
      </c>
      <c r="I62" s="13">
        <v>1.9</v>
      </c>
      <c r="J62" s="17">
        <v>2018</v>
      </c>
      <c r="K62" s="20" t="s">
        <v>27</v>
      </c>
      <c r="L62" s="4" t="s">
        <v>24</v>
      </c>
      <c r="M62" s="4" t="s">
        <v>21</v>
      </c>
      <c r="N62" s="4"/>
      <c r="O62" s="4" t="s">
        <v>362</v>
      </c>
    </row>
    <row r="63" spans="2:15">
      <c r="B63" s="14"/>
      <c r="C63" s="14"/>
      <c r="D63" s="24" t="s">
        <v>113</v>
      </c>
      <c r="E63" s="11">
        <v>2.7</v>
      </c>
      <c r="F63" s="12"/>
      <c r="G63" s="12"/>
      <c r="H63" s="12">
        <v>3.7</v>
      </c>
      <c r="I63" s="13">
        <v>1.8</v>
      </c>
      <c r="J63" s="17">
        <v>2017</v>
      </c>
      <c r="K63" s="20" t="s">
        <v>27</v>
      </c>
      <c r="L63" s="4" t="s">
        <v>24</v>
      </c>
      <c r="M63" s="4" t="s">
        <v>21</v>
      </c>
      <c r="N63" s="4"/>
      <c r="O63" s="4" t="s">
        <v>362</v>
      </c>
    </row>
    <row r="64" spans="2:15">
      <c r="B64" s="14"/>
      <c r="C64" s="14"/>
      <c r="D64" s="24" t="s">
        <v>113</v>
      </c>
      <c r="E64" s="11">
        <v>2.4</v>
      </c>
      <c r="F64" s="12"/>
      <c r="G64" s="12"/>
      <c r="H64" s="12">
        <v>3.1</v>
      </c>
      <c r="I64" s="13">
        <v>1.7</v>
      </c>
      <c r="J64" s="17">
        <v>2016</v>
      </c>
      <c r="K64" s="20" t="s">
        <v>27</v>
      </c>
      <c r="L64" s="4" t="s">
        <v>24</v>
      </c>
      <c r="M64" s="4" t="s">
        <v>21</v>
      </c>
      <c r="N64" s="4"/>
      <c r="O64" s="4" t="s">
        <v>362</v>
      </c>
    </row>
    <row r="65" spans="2:15">
      <c r="B65" s="14"/>
      <c r="C65" s="14"/>
      <c r="D65" s="24" t="s">
        <v>113</v>
      </c>
      <c r="E65" s="11">
        <v>2.2999999999999998</v>
      </c>
      <c r="F65" s="12"/>
      <c r="G65" s="12"/>
      <c r="H65" s="12">
        <v>3</v>
      </c>
      <c r="I65" s="13">
        <v>1.6</v>
      </c>
      <c r="J65" s="17">
        <v>2015</v>
      </c>
      <c r="K65" s="20" t="s">
        <v>27</v>
      </c>
      <c r="L65" s="4" t="s">
        <v>24</v>
      </c>
      <c r="M65" s="4" t="s">
        <v>21</v>
      </c>
      <c r="N65" s="4"/>
      <c r="O65" s="4"/>
    </row>
    <row r="66" spans="2:15">
      <c r="B66" s="14"/>
      <c r="C66" s="14"/>
      <c r="D66" s="24" t="s">
        <v>113</v>
      </c>
      <c r="E66" s="11">
        <v>2.1</v>
      </c>
      <c r="F66" s="12"/>
      <c r="G66" s="12"/>
      <c r="H66" s="12">
        <v>2.9</v>
      </c>
      <c r="I66" s="13">
        <v>1.5</v>
      </c>
      <c r="J66" s="17">
        <v>2014</v>
      </c>
      <c r="K66" s="20" t="s">
        <v>27</v>
      </c>
      <c r="L66" s="4" t="s">
        <v>24</v>
      </c>
      <c r="M66" s="4" t="s">
        <v>21</v>
      </c>
      <c r="N66" s="4"/>
      <c r="O66" s="4"/>
    </row>
    <row r="67" spans="2:15">
      <c r="B67" s="14"/>
      <c r="C67" s="14"/>
      <c r="D67" s="24" t="s">
        <v>113</v>
      </c>
      <c r="E67" s="11">
        <v>2.15</v>
      </c>
      <c r="F67" s="12"/>
      <c r="G67" s="12"/>
      <c r="H67" s="12">
        <v>3</v>
      </c>
      <c r="I67" s="13">
        <v>1.4</v>
      </c>
      <c r="J67" s="17">
        <v>2013</v>
      </c>
      <c r="K67" s="20" t="s">
        <v>27</v>
      </c>
      <c r="L67" s="4" t="s">
        <v>24</v>
      </c>
      <c r="M67" s="4" t="s">
        <v>21</v>
      </c>
      <c r="N67" s="4"/>
      <c r="O67" s="4"/>
    </row>
    <row r="68" spans="2:15">
      <c r="B68" s="14"/>
      <c r="C68" s="14"/>
      <c r="D68" s="24" t="s">
        <v>113</v>
      </c>
      <c r="E68" s="11">
        <v>2.2999999999999998</v>
      </c>
      <c r="F68" s="12"/>
      <c r="G68" s="12"/>
      <c r="H68" s="12"/>
      <c r="I68" s="13"/>
      <c r="J68" s="17">
        <v>2012</v>
      </c>
      <c r="K68" s="20" t="s">
        <v>27</v>
      </c>
      <c r="L68" s="4" t="s">
        <v>24</v>
      </c>
      <c r="M68" s="4" t="s">
        <v>21</v>
      </c>
      <c r="N68" s="4"/>
      <c r="O68" s="4"/>
    </row>
    <row r="69" spans="2:15">
      <c r="B69" s="14"/>
      <c r="C69" s="14"/>
      <c r="D69" s="24" t="s">
        <v>113</v>
      </c>
      <c r="E69" s="11">
        <v>1.9</v>
      </c>
      <c r="F69" s="12"/>
      <c r="G69" s="12"/>
      <c r="H69" s="12"/>
      <c r="I69" s="13"/>
      <c r="J69" s="17">
        <v>2011</v>
      </c>
      <c r="K69" s="20" t="s">
        <v>27</v>
      </c>
      <c r="L69" s="4" t="s">
        <v>24</v>
      </c>
      <c r="M69" s="4" t="s">
        <v>21</v>
      </c>
      <c r="N69" s="4"/>
      <c r="O69" s="4"/>
    </row>
    <row r="70" spans="2:15">
      <c r="B70" s="14"/>
      <c r="C70" s="14"/>
      <c r="D70" s="24" t="s">
        <v>113</v>
      </c>
      <c r="E70" s="11">
        <v>2.2000000000000002</v>
      </c>
      <c r="F70" s="12"/>
      <c r="G70" s="12"/>
      <c r="H70" s="12"/>
      <c r="I70" s="13"/>
      <c r="J70" s="17">
        <v>2010</v>
      </c>
      <c r="K70" s="20" t="s">
        <v>27</v>
      </c>
      <c r="L70" s="4" t="s">
        <v>24</v>
      </c>
      <c r="M70" s="4" t="s">
        <v>21</v>
      </c>
      <c r="N70" s="4"/>
      <c r="O70" s="4"/>
    </row>
    <row r="71" spans="2:15">
      <c r="B71" s="14"/>
      <c r="C71" s="14" t="s">
        <v>117</v>
      </c>
      <c r="D71" s="24" t="s">
        <v>118</v>
      </c>
      <c r="E71" s="11">
        <v>0.9</v>
      </c>
      <c r="F71" s="12"/>
      <c r="G71" s="12"/>
      <c r="H71" s="12">
        <v>1.3</v>
      </c>
      <c r="I71" s="13">
        <v>0.5</v>
      </c>
      <c r="J71" s="17">
        <v>2022</v>
      </c>
      <c r="K71" s="20" t="s">
        <v>119</v>
      </c>
      <c r="L71" s="4" t="s">
        <v>24</v>
      </c>
      <c r="M71" s="4" t="s">
        <v>21</v>
      </c>
      <c r="N71" s="4"/>
      <c r="O71" s="4"/>
    </row>
    <row r="72" spans="2:15">
      <c r="B72" s="14"/>
      <c r="C72" s="14"/>
      <c r="D72" s="24" t="s">
        <v>118</v>
      </c>
      <c r="E72" s="11">
        <v>1.67</v>
      </c>
      <c r="F72" s="12">
        <v>1.6</v>
      </c>
      <c r="G72" s="12">
        <v>1.75</v>
      </c>
      <c r="H72" s="12"/>
      <c r="I72" s="13"/>
      <c r="J72" s="17">
        <v>2017</v>
      </c>
      <c r="K72" s="20" t="s">
        <v>27</v>
      </c>
      <c r="L72" s="4" t="s">
        <v>61</v>
      </c>
      <c r="M72" s="4" t="s">
        <v>21</v>
      </c>
      <c r="N72" s="4"/>
      <c r="O72" s="4" t="s">
        <v>363</v>
      </c>
    </row>
    <row r="73" spans="2:15">
      <c r="B73" s="14"/>
      <c r="C73" s="14"/>
      <c r="D73" s="24" t="s">
        <v>118</v>
      </c>
      <c r="E73" s="11">
        <v>0.73</v>
      </c>
      <c r="F73" s="12"/>
      <c r="G73" s="12"/>
      <c r="H73" s="12">
        <v>1.26</v>
      </c>
      <c r="I73" s="13">
        <v>0.11</v>
      </c>
      <c r="J73" s="17">
        <v>2011</v>
      </c>
      <c r="K73" s="20" t="s">
        <v>106</v>
      </c>
      <c r="L73" s="4" t="s">
        <v>24</v>
      </c>
      <c r="M73" s="4" t="s">
        <v>21</v>
      </c>
      <c r="N73" s="4"/>
      <c r="O73" s="4" t="s">
        <v>364</v>
      </c>
    </row>
    <row r="74" spans="2:15">
      <c r="B74" s="14"/>
      <c r="C74" s="14"/>
      <c r="D74" s="24" t="s">
        <v>118</v>
      </c>
      <c r="E74" s="11">
        <v>1</v>
      </c>
      <c r="F74" s="12"/>
      <c r="G74" s="12"/>
      <c r="H74" s="12"/>
      <c r="I74" s="13"/>
      <c r="J74" s="17">
        <v>2008</v>
      </c>
      <c r="K74" s="20" t="s">
        <v>79</v>
      </c>
      <c r="L74" s="4" t="s">
        <v>125</v>
      </c>
      <c r="M74" s="4" t="s">
        <v>51</v>
      </c>
      <c r="N74" s="4"/>
      <c r="O74" s="4" t="s">
        <v>364</v>
      </c>
    </row>
    <row r="75" spans="2:15">
      <c r="B75" s="14"/>
      <c r="C75" s="14"/>
      <c r="D75" s="24" t="s">
        <v>120</v>
      </c>
      <c r="E75" s="11">
        <v>0.39</v>
      </c>
      <c r="F75" s="12"/>
      <c r="G75" s="12"/>
      <c r="H75" s="12">
        <v>0.6</v>
      </c>
      <c r="I75" s="13">
        <v>0.23</v>
      </c>
      <c r="J75" s="17">
        <v>2023</v>
      </c>
      <c r="K75" s="20" t="s">
        <v>79</v>
      </c>
      <c r="L75" s="4" t="s">
        <v>109</v>
      </c>
      <c r="M75" s="4" t="s">
        <v>21</v>
      </c>
      <c r="N75" s="4"/>
      <c r="O75" s="4" t="s">
        <v>365</v>
      </c>
    </row>
    <row r="76" spans="2:15">
      <c r="B76" s="14"/>
      <c r="C76" s="14"/>
      <c r="D76" s="24" t="s">
        <v>120</v>
      </c>
      <c r="E76" s="11">
        <v>0.74</v>
      </c>
      <c r="F76" s="12">
        <v>0.62</v>
      </c>
      <c r="G76" s="12">
        <v>0.85</v>
      </c>
      <c r="H76" s="12">
        <v>1.1000000000000001</v>
      </c>
      <c r="I76" s="13">
        <f>(0.4+0.06+0.4)/2</f>
        <v>0.43000000000000005</v>
      </c>
      <c r="J76" s="17">
        <v>2018</v>
      </c>
      <c r="K76" s="20" t="s">
        <v>27</v>
      </c>
      <c r="L76" s="4" t="s">
        <v>122</v>
      </c>
      <c r="M76" s="4" t="s">
        <v>21</v>
      </c>
      <c r="N76" s="4"/>
      <c r="O76" s="4" t="s">
        <v>366</v>
      </c>
    </row>
    <row r="77" spans="2:15">
      <c r="B77" s="14"/>
      <c r="C77" s="14"/>
      <c r="D77" s="24" t="s">
        <v>120</v>
      </c>
      <c r="E77" s="11">
        <v>0.36</v>
      </c>
      <c r="F77" s="12">
        <v>0.33</v>
      </c>
      <c r="G77" s="12">
        <v>0.39</v>
      </c>
      <c r="H77" s="12">
        <v>0.48</v>
      </c>
      <c r="I77" s="13">
        <v>0.29500000000000004</v>
      </c>
      <c r="J77" s="17">
        <v>2014</v>
      </c>
      <c r="K77" s="20" t="s">
        <v>79</v>
      </c>
      <c r="L77" s="4" t="s">
        <v>61</v>
      </c>
      <c r="M77" s="4" t="s">
        <v>21</v>
      </c>
      <c r="N77" s="4"/>
      <c r="O77" s="4" t="s">
        <v>366</v>
      </c>
    </row>
    <row r="78" spans="2:15">
      <c r="B78" s="14"/>
      <c r="C78" s="14"/>
      <c r="D78" s="24" t="s">
        <v>120</v>
      </c>
      <c r="E78" s="11">
        <v>0.36</v>
      </c>
      <c r="F78" s="12">
        <v>0.33</v>
      </c>
      <c r="G78" s="12">
        <v>0.39</v>
      </c>
      <c r="H78" s="12"/>
      <c r="I78" s="13"/>
      <c r="J78" s="17">
        <v>2013</v>
      </c>
      <c r="K78" s="20" t="s">
        <v>79</v>
      </c>
      <c r="L78" s="4" t="s">
        <v>61</v>
      </c>
      <c r="M78" s="4" t="s">
        <v>21</v>
      </c>
      <c r="N78" s="4"/>
      <c r="O78" s="4" t="s">
        <v>366</v>
      </c>
    </row>
    <row r="79" spans="2:15">
      <c r="B79" s="14"/>
      <c r="C79" s="14"/>
      <c r="D79" s="24" t="s">
        <v>120</v>
      </c>
      <c r="E79" s="11">
        <v>0.6</v>
      </c>
      <c r="F79" s="12"/>
      <c r="G79" s="12"/>
      <c r="H79" s="12">
        <v>0.6</v>
      </c>
      <c r="I79" s="13">
        <v>0.5</v>
      </c>
      <c r="J79" s="17">
        <v>2007</v>
      </c>
      <c r="K79" s="20" t="s">
        <v>27</v>
      </c>
      <c r="L79" s="4" t="s">
        <v>24</v>
      </c>
      <c r="M79" s="4" t="s">
        <v>21</v>
      </c>
      <c r="N79" s="4"/>
      <c r="O79" s="4"/>
    </row>
    <row r="80" spans="2:15">
      <c r="B80" s="14"/>
      <c r="C80" s="14"/>
      <c r="D80" s="24" t="s">
        <v>124</v>
      </c>
      <c r="E80" s="11">
        <v>2.1800000000000002</v>
      </c>
      <c r="F80" s="12"/>
      <c r="G80" s="12"/>
      <c r="H80" s="12">
        <v>3.73</v>
      </c>
      <c r="I80" s="13">
        <v>0.74</v>
      </c>
      <c r="J80" s="17">
        <v>2012</v>
      </c>
      <c r="K80" s="20" t="s">
        <v>27</v>
      </c>
      <c r="L80" s="4" t="s">
        <v>36</v>
      </c>
      <c r="M80" s="4" t="s">
        <v>21</v>
      </c>
      <c r="N80" s="4"/>
      <c r="O80" s="4" t="s">
        <v>356</v>
      </c>
    </row>
    <row r="81" spans="2:15">
      <c r="B81" s="14"/>
      <c r="C81" s="14"/>
      <c r="D81" s="24" t="s">
        <v>124</v>
      </c>
      <c r="E81" s="11">
        <v>0.7</v>
      </c>
      <c r="F81" s="12"/>
      <c r="G81" s="12"/>
      <c r="H81" s="12"/>
      <c r="I81" s="13"/>
      <c r="J81" s="17">
        <v>2005</v>
      </c>
      <c r="K81" s="20" t="s">
        <v>79</v>
      </c>
      <c r="L81" s="4" t="s">
        <v>125</v>
      </c>
      <c r="M81" s="4" t="s">
        <v>21</v>
      </c>
      <c r="N81" s="4" t="s">
        <v>101</v>
      </c>
      <c r="O81" s="4"/>
    </row>
    <row r="82" spans="2:15">
      <c r="B82" s="14"/>
      <c r="C82" s="14"/>
      <c r="D82" s="24" t="s">
        <v>126</v>
      </c>
      <c r="E82" s="11">
        <v>1.1100000000000001</v>
      </c>
      <c r="F82" s="12"/>
      <c r="G82" s="12"/>
      <c r="H82" s="12">
        <v>1.83</v>
      </c>
      <c r="I82" s="13">
        <v>0.4</v>
      </c>
      <c r="J82" s="17">
        <v>2023</v>
      </c>
      <c r="K82" s="20" t="s">
        <v>27</v>
      </c>
      <c r="L82" s="4" t="s">
        <v>38</v>
      </c>
      <c r="M82" s="4" t="s">
        <v>51</v>
      </c>
      <c r="N82" s="4"/>
      <c r="O82" s="4" t="s">
        <v>127</v>
      </c>
    </row>
    <row r="83" spans="2:15">
      <c r="B83" s="14"/>
      <c r="C83" s="14"/>
      <c r="D83" s="24" t="s">
        <v>126</v>
      </c>
      <c r="E83" s="11">
        <v>0.76</v>
      </c>
      <c r="F83" s="12"/>
      <c r="G83" s="12"/>
      <c r="H83" s="12">
        <v>1.37</v>
      </c>
      <c r="I83" s="13">
        <v>0.17</v>
      </c>
      <c r="J83" s="17">
        <v>2020</v>
      </c>
      <c r="K83" s="20" t="s">
        <v>27</v>
      </c>
      <c r="L83" s="4" t="s">
        <v>24</v>
      </c>
      <c r="M83" s="4" t="s">
        <v>21</v>
      </c>
      <c r="N83" s="4"/>
      <c r="O83" s="4" t="s">
        <v>367</v>
      </c>
    </row>
    <row r="84" spans="2:15">
      <c r="B84" s="14"/>
      <c r="C84" s="14"/>
      <c r="D84" s="24" t="s">
        <v>126</v>
      </c>
      <c r="E84" s="11">
        <v>1.42</v>
      </c>
      <c r="F84" s="12"/>
      <c r="G84" s="12"/>
      <c r="H84" s="12">
        <v>2.4</v>
      </c>
      <c r="I84" s="13">
        <v>0.46</v>
      </c>
      <c r="J84" s="17">
        <v>2018</v>
      </c>
      <c r="K84" s="20" t="s">
        <v>27</v>
      </c>
      <c r="L84" s="4" t="s">
        <v>24</v>
      </c>
      <c r="M84" s="4" t="s">
        <v>21</v>
      </c>
      <c r="N84" s="4"/>
      <c r="O84" s="4" t="s">
        <v>368</v>
      </c>
    </row>
    <row r="85" spans="2:15">
      <c r="B85" s="14"/>
      <c r="C85" s="14"/>
      <c r="D85" s="24" t="s">
        <v>126</v>
      </c>
      <c r="E85" s="11">
        <v>1.38</v>
      </c>
      <c r="F85" s="12"/>
      <c r="G85" s="12"/>
      <c r="H85" s="12">
        <v>2.21</v>
      </c>
      <c r="I85" s="13">
        <v>0.55000000000000004</v>
      </c>
      <c r="J85" s="17">
        <v>2016</v>
      </c>
      <c r="K85" s="20" t="s">
        <v>27</v>
      </c>
      <c r="L85" s="4" t="s">
        <v>24</v>
      </c>
      <c r="M85" s="4" t="s">
        <v>21</v>
      </c>
      <c r="N85" s="4"/>
      <c r="O85" s="4" t="s">
        <v>369</v>
      </c>
    </row>
    <row r="86" spans="2:15">
      <c r="B86" s="14"/>
      <c r="C86" s="14"/>
      <c r="D86" s="24" t="s">
        <v>126</v>
      </c>
      <c r="E86" s="11">
        <v>1.73</v>
      </c>
      <c r="F86" s="12"/>
      <c r="G86" s="12"/>
      <c r="H86" s="12">
        <v>2.85</v>
      </c>
      <c r="I86" s="13">
        <v>0.65</v>
      </c>
      <c r="J86" s="17">
        <v>2014</v>
      </c>
      <c r="K86" s="20" t="s">
        <v>27</v>
      </c>
      <c r="L86" s="4" t="s">
        <v>24</v>
      </c>
      <c r="M86" s="4" t="s">
        <v>21</v>
      </c>
      <c r="N86" s="4"/>
      <c r="O86" s="4"/>
    </row>
    <row r="87" spans="2:15">
      <c r="B87" s="14"/>
      <c r="C87" s="14"/>
      <c r="D87" s="24" t="s">
        <v>126</v>
      </c>
      <c r="E87" s="11">
        <v>1.21</v>
      </c>
      <c r="F87" s="12"/>
      <c r="G87" s="12"/>
      <c r="H87" s="12">
        <v>1.92</v>
      </c>
      <c r="I87" s="13">
        <v>0.51</v>
      </c>
      <c r="J87" s="17">
        <v>2012</v>
      </c>
      <c r="K87" s="20" t="s">
        <v>27</v>
      </c>
      <c r="L87" s="4" t="s">
        <v>24</v>
      </c>
      <c r="M87" s="4" t="s">
        <v>21</v>
      </c>
      <c r="N87" s="4"/>
      <c r="O87" s="4"/>
    </row>
    <row r="88" spans="2:15">
      <c r="B88" s="14"/>
      <c r="C88" s="14"/>
      <c r="D88" s="24" t="s">
        <v>126</v>
      </c>
      <c r="E88" s="11">
        <v>1.01</v>
      </c>
      <c r="F88" s="12"/>
      <c r="G88" s="12"/>
      <c r="H88" s="12"/>
      <c r="I88" s="13"/>
      <c r="J88" s="17">
        <v>2010</v>
      </c>
      <c r="K88" s="20" t="s">
        <v>27</v>
      </c>
      <c r="L88" s="4" t="s">
        <v>24</v>
      </c>
      <c r="M88" s="4" t="s">
        <v>21</v>
      </c>
      <c r="N88" s="4"/>
      <c r="O88" s="4"/>
    </row>
    <row r="89" spans="2:15">
      <c r="B89" s="14"/>
      <c r="C89" s="14"/>
      <c r="D89" s="24" t="s">
        <v>126</v>
      </c>
      <c r="E89" s="11">
        <v>2.4</v>
      </c>
      <c r="F89" s="12"/>
      <c r="G89" s="12"/>
      <c r="H89" s="12"/>
      <c r="I89" s="13"/>
      <c r="J89" s="17">
        <v>2008</v>
      </c>
      <c r="K89" s="20" t="s">
        <v>27</v>
      </c>
      <c r="L89" s="4" t="s">
        <v>38</v>
      </c>
      <c r="M89" s="4" t="s">
        <v>51</v>
      </c>
      <c r="N89" s="4"/>
      <c r="O89" s="4"/>
    </row>
    <row r="90" spans="2:15">
      <c r="B90" s="14"/>
      <c r="C90" s="14"/>
      <c r="D90" s="24" t="s">
        <v>129</v>
      </c>
      <c r="E90" s="11">
        <v>0.62</v>
      </c>
      <c r="F90" s="12">
        <v>0.56999999999999995</v>
      </c>
      <c r="G90" s="12">
        <v>0.66999999999999993</v>
      </c>
      <c r="H90" s="12">
        <v>0.97</v>
      </c>
      <c r="I90" s="13">
        <v>0.2</v>
      </c>
      <c r="J90" s="17">
        <v>2019</v>
      </c>
      <c r="K90" s="20" t="s">
        <v>79</v>
      </c>
      <c r="L90" s="4" t="s">
        <v>370</v>
      </c>
      <c r="M90" s="4" t="s">
        <v>21</v>
      </c>
      <c r="N90" s="4"/>
      <c r="O90" s="4" t="s">
        <v>371</v>
      </c>
    </row>
    <row r="91" spans="2:15">
      <c r="B91" s="14"/>
      <c r="C91" s="14"/>
      <c r="D91" s="24" t="s">
        <v>129</v>
      </c>
      <c r="E91" s="11">
        <v>0.7</v>
      </c>
      <c r="F91" s="12">
        <v>0.55000000000000004</v>
      </c>
      <c r="G91" s="12">
        <v>0.84</v>
      </c>
      <c r="H91" s="12">
        <v>1.23</v>
      </c>
      <c r="I91" s="13">
        <v>0.2</v>
      </c>
      <c r="J91" s="17">
        <v>2013</v>
      </c>
      <c r="K91" s="20" t="s">
        <v>79</v>
      </c>
      <c r="L91" s="4" t="s">
        <v>24</v>
      </c>
      <c r="M91" s="4" t="s">
        <v>21</v>
      </c>
      <c r="N91" s="4"/>
      <c r="O91" s="4"/>
    </row>
    <row r="92" spans="2:15">
      <c r="B92" s="14"/>
      <c r="C92" s="14"/>
      <c r="D92" s="24" t="s">
        <v>129</v>
      </c>
      <c r="E92" s="11">
        <v>0.72</v>
      </c>
      <c r="F92" s="12">
        <v>0.53</v>
      </c>
      <c r="G92" s="12">
        <v>0.9</v>
      </c>
      <c r="H92" s="12">
        <v>1.28</v>
      </c>
      <c r="I92" s="13">
        <v>0.22</v>
      </c>
      <c r="J92" s="17">
        <v>2008</v>
      </c>
      <c r="K92" s="20" t="s">
        <v>79</v>
      </c>
      <c r="L92" s="4" t="s">
        <v>24</v>
      </c>
      <c r="M92" s="4" t="s">
        <v>21</v>
      </c>
      <c r="N92" s="4"/>
      <c r="O92" s="4"/>
    </row>
    <row r="93" spans="2:15">
      <c r="B93" s="14"/>
      <c r="C93" s="14"/>
      <c r="D93" s="24" t="s">
        <v>129</v>
      </c>
      <c r="E93" s="11">
        <v>0.8</v>
      </c>
      <c r="F93" s="12"/>
      <c r="G93" s="12"/>
      <c r="H93" s="12"/>
      <c r="I93" s="13"/>
      <c r="J93" s="17">
        <v>2003</v>
      </c>
      <c r="K93" s="20" t="s">
        <v>202</v>
      </c>
      <c r="L93" s="4" t="s">
        <v>125</v>
      </c>
      <c r="M93" s="4"/>
      <c r="N93" s="4"/>
      <c r="O93" s="4"/>
    </row>
    <row r="94" spans="2:15">
      <c r="B94" s="14"/>
      <c r="C94" s="14"/>
      <c r="D94" s="24" t="s">
        <v>131</v>
      </c>
      <c r="E94" s="11">
        <v>1.6859999999999999</v>
      </c>
      <c r="F94" s="12">
        <v>1.7999999999999999E-2</v>
      </c>
      <c r="G94" s="12">
        <v>3.3540000000000001</v>
      </c>
      <c r="H94" s="12"/>
      <c r="I94" s="13"/>
      <c r="J94" s="17">
        <v>2017</v>
      </c>
      <c r="K94" s="20" t="s">
        <v>79</v>
      </c>
      <c r="L94" s="4" t="s">
        <v>97</v>
      </c>
      <c r="M94" s="4" t="s">
        <v>44</v>
      </c>
      <c r="N94" s="4" t="s">
        <v>45</v>
      </c>
      <c r="O94" s="4" t="s">
        <v>372</v>
      </c>
    </row>
    <row r="95" spans="2:15">
      <c r="B95" s="14"/>
      <c r="C95" s="14"/>
      <c r="D95" s="24" t="s">
        <v>131</v>
      </c>
      <c r="E95" s="11">
        <v>0.2</v>
      </c>
      <c r="F95" s="12">
        <v>0.14000000000000001</v>
      </c>
      <c r="G95" s="12">
        <v>0.25</v>
      </c>
      <c r="H95" s="12"/>
      <c r="I95" s="13"/>
      <c r="J95" s="17">
        <v>2007</v>
      </c>
      <c r="K95" s="20" t="s">
        <v>79</v>
      </c>
      <c r="L95" s="4" t="s">
        <v>24</v>
      </c>
      <c r="M95" s="4" t="s">
        <v>21</v>
      </c>
      <c r="N95" s="4"/>
      <c r="O95" s="4"/>
    </row>
    <row r="96" spans="2:15">
      <c r="B96" s="14"/>
      <c r="C96" s="14"/>
      <c r="D96" s="24" t="s">
        <v>133</v>
      </c>
      <c r="E96" s="11">
        <v>0.25</v>
      </c>
      <c r="F96" s="12">
        <v>0.2</v>
      </c>
      <c r="G96" s="12">
        <v>0.3</v>
      </c>
      <c r="H96" s="12"/>
      <c r="I96" s="13"/>
      <c r="J96" s="17">
        <v>2003</v>
      </c>
      <c r="K96" s="20" t="s">
        <v>159</v>
      </c>
      <c r="L96" s="4" t="s">
        <v>61</v>
      </c>
      <c r="M96" s="4" t="s">
        <v>21</v>
      </c>
      <c r="N96" s="4"/>
      <c r="O96" s="4"/>
    </row>
    <row r="97" spans="2:15">
      <c r="B97" s="14"/>
      <c r="C97" s="14"/>
      <c r="D97" s="24" t="s">
        <v>134</v>
      </c>
      <c r="E97" s="11">
        <v>0.96399999999999997</v>
      </c>
      <c r="F97" s="12">
        <v>0.17499999999999999</v>
      </c>
      <c r="G97" s="12">
        <v>1.752</v>
      </c>
      <c r="H97" s="12"/>
      <c r="I97" s="13"/>
      <c r="J97" s="17">
        <v>2017</v>
      </c>
      <c r="K97" s="20" t="s">
        <v>27</v>
      </c>
      <c r="L97" s="4" t="s">
        <v>97</v>
      </c>
      <c r="M97" s="4" t="s">
        <v>44</v>
      </c>
      <c r="N97" s="4" t="s">
        <v>45</v>
      </c>
      <c r="O97" s="4" t="s">
        <v>372</v>
      </c>
    </row>
    <row r="98" spans="2:15">
      <c r="B98" s="14"/>
      <c r="C98" s="14"/>
      <c r="D98" s="24" t="s">
        <v>134</v>
      </c>
      <c r="E98" s="11">
        <v>0.4</v>
      </c>
      <c r="F98" s="12"/>
      <c r="G98" s="12"/>
      <c r="H98" s="12">
        <v>0.7</v>
      </c>
      <c r="I98" s="13">
        <v>0.1</v>
      </c>
      <c r="J98" s="17">
        <v>2010</v>
      </c>
      <c r="K98" s="20" t="s">
        <v>79</v>
      </c>
      <c r="L98" s="4" t="s">
        <v>36</v>
      </c>
      <c r="M98" s="4" t="s">
        <v>21</v>
      </c>
      <c r="N98" s="4"/>
      <c r="O98" s="4"/>
    </row>
    <row r="99" spans="2:15">
      <c r="B99" s="14"/>
      <c r="C99" s="14"/>
      <c r="D99" s="24" t="s">
        <v>134</v>
      </c>
      <c r="E99" s="11">
        <v>0.48</v>
      </c>
      <c r="F99" s="12">
        <v>0.34</v>
      </c>
      <c r="G99" s="12">
        <v>0.61</v>
      </c>
      <c r="H99" s="12"/>
      <c r="I99" s="13"/>
      <c r="J99" s="17">
        <v>2006</v>
      </c>
      <c r="K99" s="20" t="s">
        <v>27</v>
      </c>
      <c r="L99" s="4" t="s">
        <v>38</v>
      </c>
      <c r="M99" s="4" t="s">
        <v>51</v>
      </c>
      <c r="N99" s="4"/>
      <c r="O99" s="4"/>
    </row>
    <row r="100" spans="2:15">
      <c r="B100" s="14"/>
      <c r="C100" s="14"/>
      <c r="D100" s="24" t="s">
        <v>135</v>
      </c>
      <c r="E100" s="11">
        <v>0.25</v>
      </c>
      <c r="F100" s="12">
        <v>0.2</v>
      </c>
      <c r="G100" s="12">
        <v>0.3</v>
      </c>
      <c r="H100" s="12">
        <v>0.5</v>
      </c>
      <c r="I100" s="13">
        <v>0.1</v>
      </c>
      <c r="J100" s="17">
        <v>2013</v>
      </c>
      <c r="K100" s="20" t="s">
        <v>79</v>
      </c>
      <c r="L100" s="4" t="s">
        <v>373</v>
      </c>
      <c r="M100" s="4" t="s">
        <v>21</v>
      </c>
      <c r="N100" s="4"/>
      <c r="O100" s="4" t="s">
        <v>356</v>
      </c>
    </row>
    <row r="101" spans="2:15">
      <c r="B101" s="14"/>
      <c r="C101" s="14"/>
      <c r="D101" s="24" t="s">
        <v>135</v>
      </c>
      <c r="E101" s="11">
        <v>0.3</v>
      </c>
      <c r="F101" s="12"/>
      <c r="G101" s="12"/>
      <c r="H101" s="12"/>
      <c r="I101" s="13"/>
      <c r="J101" s="17">
        <v>2007</v>
      </c>
      <c r="K101" s="20" t="s">
        <v>79</v>
      </c>
      <c r="L101" s="4" t="s">
        <v>36</v>
      </c>
      <c r="M101" s="4" t="s">
        <v>21</v>
      </c>
      <c r="N101" s="4"/>
      <c r="O101" s="4"/>
    </row>
    <row r="102" spans="2:15">
      <c r="B102" s="14"/>
      <c r="C102" s="14"/>
      <c r="D102" s="24" t="s">
        <v>135</v>
      </c>
      <c r="E102" s="11">
        <v>0.5</v>
      </c>
      <c r="F102" s="12"/>
      <c r="G102" s="12"/>
      <c r="H102" s="12"/>
      <c r="I102" s="13"/>
      <c r="J102" s="17">
        <v>2002</v>
      </c>
      <c r="K102" s="20" t="s">
        <v>27</v>
      </c>
      <c r="L102" s="4" t="s">
        <v>58</v>
      </c>
      <c r="M102" s="4"/>
      <c r="N102" s="4" t="s">
        <v>207</v>
      </c>
      <c r="O102" s="4"/>
    </row>
    <row r="103" spans="2:15">
      <c r="B103" s="14"/>
      <c r="C103" s="14"/>
      <c r="D103" s="24" t="s">
        <v>137</v>
      </c>
      <c r="E103" s="11">
        <v>2.1</v>
      </c>
      <c r="F103" s="12"/>
      <c r="G103" s="12"/>
      <c r="H103" s="12">
        <v>3.4</v>
      </c>
      <c r="I103" s="13">
        <v>0.8</v>
      </c>
      <c r="J103" s="17">
        <v>2018</v>
      </c>
      <c r="K103" s="20" t="s">
        <v>19</v>
      </c>
      <c r="L103" s="4" t="s">
        <v>24</v>
      </c>
      <c r="M103" s="4" t="s">
        <v>21</v>
      </c>
      <c r="N103" s="4"/>
      <c r="O103" s="4" t="s">
        <v>374</v>
      </c>
    </row>
    <row r="104" spans="2:15">
      <c r="B104" s="14"/>
      <c r="C104" s="14"/>
      <c r="D104" s="24" t="s">
        <v>137</v>
      </c>
      <c r="E104" s="11">
        <v>1.8</v>
      </c>
      <c r="F104" s="12"/>
      <c r="G104" s="12"/>
      <c r="H104" s="12">
        <v>2.6</v>
      </c>
      <c r="I104" s="13">
        <v>1</v>
      </c>
      <c r="J104" s="17">
        <v>2014</v>
      </c>
      <c r="K104" s="20" t="s">
        <v>19</v>
      </c>
      <c r="L104" s="4" t="s">
        <v>24</v>
      </c>
      <c r="M104" s="4" t="s">
        <v>21</v>
      </c>
      <c r="N104" s="4"/>
      <c r="O104" s="4" t="s">
        <v>374</v>
      </c>
    </row>
    <row r="105" spans="2:15">
      <c r="B105" s="14"/>
      <c r="C105" s="14"/>
      <c r="D105" s="24" t="s">
        <v>137</v>
      </c>
      <c r="E105" s="11">
        <v>2.1</v>
      </c>
      <c r="F105" s="12"/>
      <c r="G105" s="12"/>
      <c r="H105" s="12">
        <v>3.4</v>
      </c>
      <c r="I105" s="13">
        <v>0.9</v>
      </c>
      <c r="J105" s="17">
        <v>2011</v>
      </c>
      <c r="K105" s="20" t="s">
        <v>19</v>
      </c>
      <c r="L105" s="4" t="s">
        <v>24</v>
      </c>
      <c r="M105" s="4" t="s">
        <v>21</v>
      </c>
      <c r="N105" s="4"/>
      <c r="O105" s="4" t="s">
        <v>374</v>
      </c>
    </row>
    <row r="106" spans="2:15">
      <c r="B106" s="14"/>
      <c r="C106" s="14"/>
      <c r="D106" s="24" t="s">
        <v>137</v>
      </c>
      <c r="E106" s="11">
        <v>1.7</v>
      </c>
      <c r="F106" s="12"/>
      <c r="G106" s="12"/>
      <c r="H106" s="12"/>
      <c r="I106" s="13"/>
      <c r="J106" s="17">
        <v>2006</v>
      </c>
      <c r="K106" s="20" t="s">
        <v>27</v>
      </c>
      <c r="L106" s="4" t="s">
        <v>38</v>
      </c>
      <c r="M106" s="4" t="s">
        <v>51</v>
      </c>
      <c r="N106" s="4"/>
      <c r="O106" s="4"/>
    </row>
    <row r="107" spans="2:15">
      <c r="B107" s="14"/>
      <c r="C107" s="14"/>
      <c r="D107" s="24" t="s">
        <v>138</v>
      </c>
      <c r="E107" s="11">
        <v>0.82</v>
      </c>
      <c r="F107" s="12"/>
      <c r="G107" s="12"/>
      <c r="H107" s="12">
        <v>0.36</v>
      </c>
      <c r="I107" s="13">
        <v>1.28</v>
      </c>
      <c r="J107" s="17">
        <v>2022</v>
      </c>
      <c r="K107" s="20" t="s">
        <v>79</v>
      </c>
      <c r="L107" s="4" t="s">
        <v>24</v>
      </c>
      <c r="M107" s="4" t="s">
        <v>21</v>
      </c>
      <c r="N107" s="4"/>
      <c r="O107" s="4" t="s">
        <v>365</v>
      </c>
    </row>
    <row r="108" spans="2:15">
      <c r="B108" s="14"/>
      <c r="C108" s="14"/>
      <c r="D108" s="24" t="s">
        <v>138</v>
      </c>
      <c r="E108" s="11">
        <v>0.64</v>
      </c>
      <c r="F108" s="12"/>
      <c r="G108" s="12"/>
      <c r="H108" s="12"/>
      <c r="I108" s="13"/>
      <c r="J108" s="17">
        <v>2011</v>
      </c>
      <c r="K108" s="20" t="s">
        <v>79</v>
      </c>
      <c r="L108" s="4" t="s">
        <v>24</v>
      </c>
      <c r="M108" s="4" t="s">
        <v>21</v>
      </c>
      <c r="N108" s="4"/>
      <c r="O108" s="4"/>
    </row>
    <row r="109" spans="2:15">
      <c r="B109" s="14"/>
      <c r="C109" s="14"/>
      <c r="D109" s="24" t="s">
        <v>138</v>
      </c>
      <c r="E109" s="11">
        <v>0.63</v>
      </c>
      <c r="F109" s="12"/>
      <c r="G109" s="12"/>
      <c r="H109" s="12"/>
      <c r="I109" s="13"/>
      <c r="J109" s="17">
        <v>2005</v>
      </c>
      <c r="K109" s="20" t="s">
        <v>27</v>
      </c>
      <c r="L109" s="4" t="s">
        <v>125</v>
      </c>
      <c r="M109" s="4" t="s">
        <v>51</v>
      </c>
      <c r="N109" s="4"/>
      <c r="O109" s="4"/>
    </row>
    <row r="110" spans="2:15">
      <c r="B110" s="14" t="s">
        <v>139</v>
      </c>
      <c r="C110" s="14" t="s">
        <v>140</v>
      </c>
      <c r="D110" s="24" t="s">
        <v>141</v>
      </c>
      <c r="E110" s="11">
        <v>0.1</v>
      </c>
      <c r="F110" s="12"/>
      <c r="G110" s="12"/>
      <c r="H110" s="12"/>
      <c r="I110" s="13"/>
      <c r="J110" s="17">
        <v>2005</v>
      </c>
      <c r="K110" s="20" t="s">
        <v>27</v>
      </c>
      <c r="L110" s="4" t="s">
        <v>61</v>
      </c>
      <c r="M110" s="4" t="s">
        <v>21</v>
      </c>
      <c r="N110" s="4"/>
      <c r="O110" s="4"/>
    </row>
    <row r="111" spans="2:15">
      <c r="B111" s="14"/>
      <c r="C111" s="14"/>
      <c r="D111" s="24" t="s">
        <v>143</v>
      </c>
      <c r="E111" s="11">
        <v>0.1</v>
      </c>
      <c r="F111" s="12">
        <v>0</v>
      </c>
      <c r="G111" s="12">
        <v>0.2</v>
      </c>
      <c r="H111" s="12">
        <v>0.2</v>
      </c>
      <c r="I111" s="13">
        <v>0</v>
      </c>
      <c r="J111" s="17">
        <v>2022</v>
      </c>
      <c r="K111" s="20" t="s">
        <v>144</v>
      </c>
      <c r="L111" s="4" t="s">
        <v>36</v>
      </c>
      <c r="M111" s="4" t="s">
        <v>21</v>
      </c>
      <c r="N111" s="4"/>
      <c r="O111" s="4"/>
    </row>
    <row r="112" spans="2:15">
      <c r="B112" s="14"/>
      <c r="C112" s="14"/>
      <c r="D112" s="24" t="s">
        <v>143</v>
      </c>
      <c r="E112" s="11">
        <v>0</v>
      </c>
      <c r="F112" s="12"/>
      <c r="G112" s="12"/>
      <c r="H112" s="12">
        <v>0</v>
      </c>
      <c r="I112" s="13">
        <v>0</v>
      </c>
      <c r="J112" s="17">
        <v>2015</v>
      </c>
      <c r="K112" s="20" t="s">
        <v>144</v>
      </c>
      <c r="L112" s="4" t="s">
        <v>24</v>
      </c>
      <c r="M112" s="4" t="s">
        <v>21</v>
      </c>
      <c r="N112" s="4"/>
      <c r="O112" s="4"/>
    </row>
    <row r="113" spans="2:15">
      <c r="B113" s="14"/>
      <c r="C113" s="14" t="s">
        <v>152</v>
      </c>
      <c r="D113" s="24" t="s">
        <v>158</v>
      </c>
      <c r="E113" s="11">
        <v>0.1</v>
      </c>
      <c r="F113" s="12"/>
      <c r="G113" s="12"/>
      <c r="H113" s="12"/>
      <c r="I113" s="13"/>
      <c r="J113" s="17">
        <v>2005</v>
      </c>
      <c r="K113" s="20" t="s">
        <v>27</v>
      </c>
      <c r="L113" s="4" t="s">
        <v>160</v>
      </c>
      <c r="M113" s="4"/>
      <c r="N113" s="4"/>
      <c r="O113" s="4"/>
    </row>
    <row r="114" spans="2:15">
      <c r="B114" s="14"/>
      <c r="C114" s="14"/>
      <c r="D114" s="24" t="s">
        <v>161</v>
      </c>
      <c r="E114" s="11">
        <v>0.03</v>
      </c>
      <c r="F114" s="12"/>
      <c r="G114" s="12"/>
      <c r="H114" s="12">
        <v>0.06</v>
      </c>
      <c r="I114" s="13">
        <v>0</v>
      </c>
      <c r="J114" s="17">
        <v>2019</v>
      </c>
      <c r="K114" s="20" t="s">
        <v>27</v>
      </c>
      <c r="L114" s="4" t="s">
        <v>24</v>
      </c>
      <c r="M114" s="4" t="s">
        <v>21</v>
      </c>
      <c r="N114" s="4"/>
      <c r="O114" s="4" t="s">
        <v>362</v>
      </c>
    </row>
    <row r="115" spans="2:15">
      <c r="B115" s="14"/>
      <c r="C115" s="14"/>
      <c r="D115" s="24" t="s">
        <v>161</v>
      </c>
      <c r="E115" s="11">
        <v>0</v>
      </c>
      <c r="F115" s="12"/>
      <c r="G115" s="12"/>
      <c r="H115" s="12">
        <v>0</v>
      </c>
      <c r="I115" s="13">
        <v>0</v>
      </c>
      <c r="J115" s="17">
        <v>2015</v>
      </c>
      <c r="K115" s="20" t="s">
        <v>164</v>
      </c>
      <c r="L115" s="4" t="s">
        <v>24</v>
      </c>
      <c r="M115" s="4" t="s">
        <v>21</v>
      </c>
      <c r="N115" s="4"/>
      <c r="O115" s="4" t="s">
        <v>165</v>
      </c>
    </row>
    <row r="116" spans="2:15">
      <c r="B116" s="14"/>
      <c r="C116" s="14"/>
      <c r="D116" s="24" t="s">
        <v>161</v>
      </c>
      <c r="E116" s="11">
        <v>0.01</v>
      </c>
      <c r="F116" s="12"/>
      <c r="G116" s="12"/>
      <c r="H116" s="12"/>
      <c r="I116" s="13"/>
      <c r="J116" s="17">
        <v>2010</v>
      </c>
      <c r="K116" s="20" t="s">
        <v>164</v>
      </c>
      <c r="L116" s="4" t="s">
        <v>24</v>
      </c>
      <c r="M116" s="4" t="s">
        <v>21</v>
      </c>
      <c r="N116" s="4"/>
      <c r="O116" s="4"/>
    </row>
    <row r="117" spans="2:15">
      <c r="B117" s="14"/>
      <c r="C117" s="14"/>
      <c r="D117" s="24" t="s">
        <v>161</v>
      </c>
      <c r="E117" s="11">
        <v>0.02</v>
      </c>
      <c r="F117" s="12"/>
      <c r="G117" s="12"/>
      <c r="H117" s="12"/>
      <c r="I117" s="13"/>
      <c r="J117" s="17">
        <v>2008</v>
      </c>
      <c r="K117" s="20" t="s">
        <v>27</v>
      </c>
      <c r="L117" s="4" t="s">
        <v>38</v>
      </c>
      <c r="M117" s="4" t="s">
        <v>51</v>
      </c>
      <c r="N117" s="4"/>
      <c r="O117" s="4"/>
    </row>
    <row r="118" spans="2:15">
      <c r="B118" s="14"/>
      <c r="C118" s="14"/>
      <c r="D118" s="24" t="s">
        <v>166</v>
      </c>
      <c r="E118" s="11">
        <v>0.32</v>
      </c>
      <c r="F118" s="12"/>
      <c r="G118" s="12">
        <v>1.39</v>
      </c>
      <c r="H118" s="12">
        <v>0.18</v>
      </c>
      <c r="I118" s="13">
        <v>0.46</v>
      </c>
      <c r="J118" s="17">
        <v>2023</v>
      </c>
      <c r="K118" s="20" t="s">
        <v>27</v>
      </c>
      <c r="L118" s="4" t="s">
        <v>36</v>
      </c>
      <c r="M118" s="4" t="s">
        <v>21</v>
      </c>
      <c r="N118" s="4"/>
      <c r="O118" s="4"/>
    </row>
    <row r="119" spans="2:15">
      <c r="B119" s="14"/>
      <c r="C119" s="14"/>
      <c r="D119" s="24" t="s">
        <v>166</v>
      </c>
      <c r="E119" s="11">
        <v>0.08</v>
      </c>
      <c r="F119" s="12">
        <v>0</v>
      </c>
      <c r="G119" s="12">
        <v>0.23</v>
      </c>
      <c r="H119" s="12">
        <v>0.11</v>
      </c>
      <c r="I119" s="13">
        <v>0.05</v>
      </c>
      <c r="J119" s="17">
        <v>2021</v>
      </c>
      <c r="K119" s="20" t="s">
        <v>27</v>
      </c>
      <c r="L119" s="4" t="s">
        <v>36</v>
      </c>
      <c r="M119" s="4" t="s">
        <v>21</v>
      </c>
      <c r="N119" s="4"/>
      <c r="O119" s="4"/>
    </row>
    <row r="120" spans="2:15">
      <c r="B120" s="14"/>
      <c r="C120" s="14"/>
      <c r="D120" s="24" t="s">
        <v>166</v>
      </c>
      <c r="E120" s="11">
        <v>0.03</v>
      </c>
      <c r="F120" s="12"/>
      <c r="G120" s="12"/>
      <c r="H120" s="12"/>
      <c r="I120" s="13"/>
      <c r="J120" s="17">
        <v>2019</v>
      </c>
      <c r="K120" s="20" t="s">
        <v>27</v>
      </c>
      <c r="L120" s="4" t="s">
        <v>24</v>
      </c>
      <c r="M120" s="4" t="s">
        <v>21</v>
      </c>
      <c r="N120" s="4"/>
      <c r="O120" s="4"/>
    </row>
    <row r="121" spans="2:15">
      <c r="B121" s="14"/>
      <c r="C121" s="14"/>
      <c r="D121" s="24" t="s">
        <v>166</v>
      </c>
      <c r="E121" s="11">
        <v>0</v>
      </c>
      <c r="F121" s="12"/>
      <c r="G121" s="12"/>
      <c r="H121" s="12"/>
      <c r="I121" s="13"/>
      <c r="J121" s="17">
        <v>2017</v>
      </c>
      <c r="K121" s="20" t="s">
        <v>27</v>
      </c>
      <c r="L121" s="4" t="s">
        <v>24</v>
      </c>
      <c r="M121" s="4" t="s">
        <v>21</v>
      </c>
      <c r="N121" s="4"/>
      <c r="O121" s="4"/>
    </row>
    <row r="122" spans="2:15">
      <c r="B122" s="14"/>
      <c r="C122" s="14"/>
      <c r="D122" s="24" t="s">
        <v>170</v>
      </c>
      <c r="E122" s="11">
        <v>0.59</v>
      </c>
      <c r="F122" s="12">
        <v>0.38</v>
      </c>
      <c r="G122" s="12">
        <v>0.8</v>
      </c>
      <c r="H122" s="12"/>
      <c r="I122" s="13"/>
      <c r="J122" s="17" t="s">
        <v>171</v>
      </c>
      <c r="K122" s="20" t="s">
        <v>27</v>
      </c>
      <c r="L122" s="4" t="s">
        <v>172</v>
      </c>
      <c r="M122" s="4" t="s">
        <v>51</v>
      </c>
      <c r="N122" s="4" t="s">
        <v>37</v>
      </c>
      <c r="O122" s="4" t="s">
        <v>173</v>
      </c>
    </row>
    <row r="123" spans="2:15">
      <c r="B123" s="14"/>
      <c r="C123" s="14"/>
      <c r="D123" s="24" t="s">
        <v>175</v>
      </c>
      <c r="E123" s="11">
        <v>7.0000000000000007E-2</v>
      </c>
      <c r="F123" s="12"/>
      <c r="G123" s="12"/>
      <c r="H123" s="12"/>
      <c r="I123" s="13"/>
      <c r="J123" s="17">
        <v>2016</v>
      </c>
      <c r="K123" s="20" t="s">
        <v>178</v>
      </c>
      <c r="L123" s="4" t="s">
        <v>24</v>
      </c>
      <c r="M123" s="4" t="s">
        <v>21</v>
      </c>
      <c r="N123" s="4"/>
      <c r="O123" s="4" t="s">
        <v>375</v>
      </c>
    </row>
    <row r="124" spans="2:15">
      <c r="B124" s="14"/>
      <c r="C124" s="14"/>
      <c r="D124" s="24" t="s">
        <v>175</v>
      </c>
      <c r="E124" s="11">
        <v>0.04</v>
      </c>
      <c r="F124" s="12"/>
      <c r="G124" s="12"/>
      <c r="H124" s="12"/>
      <c r="I124" s="13"/>
      <c r="J124" s="17">
        <v>2012</v>
      </c>
      <c r="K124" s="20" t="s">
        <v>178</v>
      </c>
      <c r="L124" s="4" t="s">
        <v>24</v>
      </c>
      <c r="M124" s="4" t="s">
        <v>21</v>
      </c>
      <c r="N124" s="4"/>
      <c r="O124" s="4" t="s">
        <v>376</v>
      </c>
    </row>
    <row r="125" spans="2:15">
      <c r="B125" s="14"/>
      <c r="C125" s="14"/>
      <c r="D125" s="24" t="s">
        <v>175</v>
      </c>
      <c r="E125" s="11">
        <v>0.03</v>
      </c>
      <c r="F125" s="12"/>
      <c r="G125" s="12"/>
      <c r="H125" s="12"/>
      <c r="I125" s="13"/>
      <c r="J125" s="17">
        <v>2005</v>
      </c>
      <c r="K125" s="20" t="s">
        <v>27</v>
      </c>
      <c r="L125" s="4" t="s">
        <v>61</v>
      </c>
      <c r="M125" s="4" t="s">
        <v>21</v>
      </c>
      <c r="N125" s="4"/>
      <c r="O125" s="4"/>
    </row>
    <row r="126" spans="2:15">
      <c r="B126" s="14"/>
      <c r="C126" s="14"/>
      <c r="D126" s="24" t="s">
        <v>181</v>
      </c>
      <c r="E126" s="11">
        <v>0.03</v>
      </c>
      <c r="F126" s="12"/>
      <c r="G126" s="12"/>
      <c r="H126" s="12"/>
      <c r="I126" s="13"/>
      <c r="J126" s="17">
        <v>2004</v>
      </c>
      <c r="K126" s="20" t="s">
        <v>27</v>
      </c>
      <c r="L126" s="4" t="s">
        <v>24</v>
      </c>
      <c r="M126" s="4" t="s">
        <v>21</v>
      </c>
      <c r="N126" s="4" t="s">
        <v>377</v>
      </c>
      <c r="O126" s="4"/>
    </row>
    <row r="127" spans="2:15">
      <c r="B127" s="14"/>
      <c r="C127" s="14"/>
      <c r="D127" s="24" t="s">
        <v>187</v>
      </c>
      <c r="E127" s="11">
        <v>6.5000000000000002E-2</v>
      </c>
      <c r="F127" s="12"/>
      <c r="G127" s="12"/>
      <c r="H127" s="12"/>
      <c r="I127" s="13"/>
      <c r="J127" s="17">
        <v>2019</v>
      </c>
      <c r="K127" s="20" t="s">
        <v>79</v>
      </c>
      <c r="L127" s="4" t="s">
        <v>36</v>
      </c>
      <c r="M127" s="4" t="s">
        <v>21</v>
      </c>
      <c r="N127" s="4"/>
      <c r="O127" s="4"/>
    </row>
    <row r="128" spans="2:15">
      <c r="B128" s="14"/>
      <c r="C128" s="14"/>
      <c r="D128" s="24" t="s">
        <v>187</v>
      </c>
      <c r="E128" s="11">
        <v>0.05</v>
      </c>
      <c r="F128" s="12"/>
      <c r="G128" s="12"/>
      <c r="H128" s="12"/>
      <c r="I128" s="13"/>
      <c r="J128" s="17">
        <v>2007</v>
      </c>
      <c r="K128" s="20" t="s">
        <v>27</v>
      </c>
      <c r="L128" s="4" t="s">
        <v>24</v>
      </c>
      <c r="M128" s="4" t="s">
        <v>21</v>
      </c>
      <c r="N128" s="4" t="s">
        <v>22</v>
      </c>
      <c r="O128" s="4"/>
    </row>
    <row r="129" spans="2:15">
      <c r="B129" s="14"/>
      <c r="C129" s="14" t="s">
        <v>188</v>
      </c>
      <c r="D129" s="24" t="s">
        <v>189</v>
      </c>
      <c r="E129" s="11">
        <v>0</v>
      </c>
      <c r="F129" s="12"/>
      <c r="G129" s="12"/>
      <c r="H129" s="12"/>
      <c r="I129" s="13"/>
      <c r="J129" s="17">
        <v>2009</v>
      </c>
      <c r="K129" s="20" t="s">
        <v>27</v>
      </c>
      <c r="L129" s="4" t="s">
        <v>378</v>
      </c>
      <c r="M129" s="4" t="s">
        <v>21</v>
      </c>
      <c r="N129" s="4"/>
      <c r="O129" s="4"/>
    </row>
    <row r="130" spans="2:15">
      <c r="B130" s="14"/>
      <c r="C130" s="14"/>
      <c r="D130" s="24" t="s">
        <v>193</v>
      </c>
      <c r="E130" s="11">
        <v>0.11</v>
      </c>
      <c r="F130" s="12">
        <v>0</v>
      </c>
      <c r="G130" s="12">
        <v>0.22</v>
      </c>
      <c r="H130" s="12"/>
      <c r="I130" s="13"/>
      <c r="J130" s="17">
        <v>2011</v>
      </c>
      <c r="K130" s="20" t="s">
        <v>27</v>
      </c>
      <c r="L130" s="4" t="s">
        <v>379</v>
      </c>
      <c r="M130" s="4" t="s">
        <v>21</v>
      </c>
      <c r="N130" s="4"/>
      <c r="O130" s="4"/>
    </row>
    <row r="131" spans="2:15">
      <c r="B131" s="14"/>
      <c r="C131" s="14"/>
      <c r="D131" s="24" t="s">
        <v>193</v>
      </c>
      <c r="E131" s="11">
        <v>0.01</v>
      </c>
      <c r="F131" s="12">
        <v>0</v>
      </c>
      <c r="G131" s="12">
        <v>0.01</v>
      </c>
      <c r="H131" s="12"/>
      <c r="I131" s="13"/>
      <c r="J131" s="17">
        <v>2008</v>
      </c>
      <c r="K131" s="20" t="s">
        <v>27</v>
      </c>
      <c r="L131" s="4" t="s">
        <v>36</v>
      </c>
      <c r="M131" s="4" t="s">
        <v>228</v>
      </c>
      <c r="N131" s="4" t="s">
        <v>380</v>
      </c>
      <c r="O131" s="4"/>
    </row>
    <row r="132" spans="2:15">
      <c r="B132" s="14"/>
      <c r="C132" s="14"/>
      <c r="D132" s="24" t="s">
        <v>200</v>
      </c>
      <c r="E132" s="11">
        <v>0.2</v>
      </c>
      <c r="F132" s="12"/>
      <c r="G132" s="12"/>
      <c r="H132" s="12">
        <v>0</v>
      </c>
      <c r="I132" s="13">
        <v>0.3</v>
      </c>
      <c r="J132" s="17">
        <v>2020</v>
      </c>
      <c r="K132" s="20" t="s">
        <v>201</v>
      </c>
      <c r="L132" s="4" t="s">
        <v>24</v>
      </c>
      <c r="M132" s="4" t="s">
        <v>21</v>
      </c>
      <c r="N132" s="4"/>
      <c r="O132" s="4"/>
    </row>
    <row r="133" spans="2:15">
      <c r="B133" s="14"/>
      <c r="C133" s="14"/>
      <c r="D133" s="24" t="s">
        <v>200</v>
      </c>
      <c r="E133" s="11">
        <v>0.6</v>
      </c>
      <c r="F133" s="12">
        <v>0.5</v>
      </c>
      <c r="G133" s="12">
        <v>0.7</v>
      </c>
      <c r="H133" s="12"/>
      <c r="I133" s="13"/>
      <c r="J133" s="17">
        <v>2016</v>
      </c>
      <c r="K133" s="20" t="s">
        <v>202</v>
      </c>
      <c r="L133" s="4" t="s">
        <v>61</v>
      </c>
      <c r="M133" s="4" t="s">
        <v>21</v>
      </c>
      <c r="N133" s="4"/>
      <c r="O133" s="4" t="s">
        <v>381</v>
      </c>
    </row>
    <row r="134" spans="2:15">
      <c r="B134" s="14"/>
      <c r="C134" s="14"/>
      <c r="D134" s="24" t="s">
        <v>200</v>
      </c>
      <c r="E134" s="11">
        <v>1.06</v>
      </c>
      <c r="F134" s="12">
        <v>0.94</v>
      </c>
      <c r="G134" s="12">
        <v>1.19</v>
      </c>
      <c r="H134" s="12">
        <v>1.64</v>
      </c>
      <c r="I134" s="13">
        <v>0.42</v>
      </c>
      <c r="J134" s="17">
        <v>2009</v>
      </c>
      <c r="K134" s="20" t="s">
        <v>203</v>
      </c>
      <c r="L134" s="4" t="s">
        <v>24</v>
      </c>
      <c r="M134" s="4"/>
      <c r="N134" s="4"/>
      <c r="O134" s="4"/>
    </row>
    <row r="135" spans="2:15">
      <c r="B135" s="14"/>
      <c r="C135" s="14"/>
      <c r="D135" s="24" t="s">
        <v>204</v>
      </c>
      <c r="E135" s="11">
        <v>0.04</v>
      </c>
      <c r="F135" s="12"/>
      <c r="G135" s="12"/>
      <c r="H135" s="12"/>
      <c r="I135" s="13"/>
      <c r="J135" s="17">
        <v>2005</v>
      </c>
      <c r="K135" s="20" t="s">
        <v>27</v>
      </c>
      <c r="L135" s="4" t="s">
        <v>61</v>
      </c>
      <c r="M135" s="4"/>
      <c r="N135" s="4" t="s">
        <v>382</v>
      </c>
      <c r="O135" s="4"/>
    </row>
    <row r="136" spans="2:15">
      <c r="B136" s="14"/>
      <c r="C136" s="14"/>
      <c r="D136" s="24" t="s">
        <v>208</v>
      </c>
      <c r="E136" s="11">
        <v>0.01</v>
      </c>
      <c r="F136" s="12">
        <v>0</v>
      </c>
      <c r="G136" s="12">
        <v>0.02</v>
      </c>
      <c r="H136" s="12">
        <v>0.01</v>
      </c>
      <c r="I136" s="13">
        <v>0</v>
      </c>
      <c r="J136" s="17">
        <v>2012</v>
      </c>
      <c r="K136" s="20" t="s">
        <v>27</v>
      </c>
      <c r="L136" s="4" t="s">
        <v>69</v>
      </c>
      <c r="M136" s="4"/>
      <c r="N136" s="4"/>
      <c r="O136" s="4"/>
    </row>
    <row r="137" spans="2:15">
      <c r="B137" s="14"/>
      <c r="C137" s="14"/>
      <c r="D137" s="24" t="s">
        <v>383</v>
      </c>
      <c r="E137" s="11">
        <v>0</v>
      </c>
      <c r="F137" s="12"/>
      <c r="G137" s="12"/>
      <c r="H137" s="12"/>
      <c r="I137" s="13"/>
      <c r="J137" s="17">
        <v>2005</v>
      </c>
      <c r="K137" s="20" t="s">
        <v>27</v>
      </c>
      <c r="L137" s="4" t="s">
        <v>61</v>
      </c>
      <c r="M137" s="4"/>
      <c r="N137" s="4" t="s">
        <v>382</v>
      </c>
      <c r="O137" s="4"/>
    </row>
    <row r="138" spans="2:15">
      <c r="B138" s="14"/>
      <c r="C138" s="14" t="s">
        <v>213</v>
      </c>
      <c r="D138" s="24" t="s">
        <v>219</v>
      </c>
      <c r="E138" s="11">
        <v>0.1</v>
      </c>
      <c r="F138" s="12"/>
      <c r="G138" s="12"/>
      <c r="H138" s="12">
        <v>0.18</v>
      </c>
      <c r="I138" s="13">
        <v>0.01</v>
      </c>
      <c r="J138" s="17">
        <v>2018</v>
      </c>
      <c r="K138" s="20" t="s">
        <v>220</v>
      </c>
      <c r="L138" s="4" t="s">
        <v>36</v>
      </c>
      <c r="M138" s="4" t="s">
        <v>70</v>
      </c>
      <c r="N138" s="4"/>
      <c r="O138" s="4"/>
    </row>
    <row r="139" spans="2:15">
      <c r="B139" s="14"/>
      <c r="C139" s="14"/>
      <c r="D139" s="24" t="s">
        <v>222</v>
      </c>
      <c r="E139" s="11">
        <v>0.04</v>
      </c>
      <c r="F139" s="12"/>
      <c r="G139" s="12"/>
      <c r="H139" s="12"/>
      <c r="I139" s="13"/>
      <c r="J139" s="17">
        <v>2012</v>
      </c>
      <c r="K139" s="20" t="s">
        <v>27</v>
      </c>
      <c r="L139" s="4" t="s">
        <v>36</v>
      </c>
      <c r="M139" s="4" t="s">
        <v>21</v>
      </c>
      <c r="N139" s="4"/>
      <c r="O139" s="4"/>
    </row>
    <row r="140" spans="2:15">
      <c r="B140" s="14" t="s">
        <v>231</v>
      </c>
      <c r="C140" s="14" t="s">
        <v>232</v>
      </c>
      <c r="D140" s="24" t="s">
        <v>233</v>
      </c>
      <c r="E140" s="11">
        <v>0.06</v>
      </c>
      <c r="F140" s="12">
        <v>0.01</v>
      </c>
      <c r="G140" s="12">
        <v>0.12</v>
      </c>
      <c r="H140" s="12"/>
      <c r="I140" s="13"/>
      <c r="J140" s="17">
        <v>2007</v>
      </c>
      <c r="K140" s="20" t="s">
        <v>27</v>
      </c>
      <c r="L140" s="4" t="s">
        <v>234</v>
      </c>
      <c r="M140" s="4" t="s">
        <v>44</v>
      </c>
      <c r="N140" s="4" t="s">
        <v>33</v>
      </c>
      <c r="O140" s="4"/>
    </row>
    <row r="141" spans="2:15">
      <c r="B141" s="14"/>
      <c r="C141" s="14"/>
      <c r="D141" s="24" t="s">
        <v>236</v>
      </c>
      <c r="E141" s="11">
        <v>0.04</v>
      </c>
      <c r="F141" s="12">
        <v>0.02</v>
      </c>
      <c r="G141" s="12">
        <v>0.06</v>
      </c>
      <c r="H141" s="12"/>
      <c r="I141" s="13"/>
      <c r="J141" s="17">
        <v>2008</v>
      </c>
      <c r="K141" s="20" t="s">
        <v>27</v>
      </c>
      <c r="L141" s="4" t="s">
        <v>384</v>
      </c>
      <c r="M141" s="4" t="s">
        <v>21</v>
      </c>
      <c r="N141" s="4" t="s">
        <v>22</v>
      </c>
      <c r="O141" s="4"/>
    </row>
    <row r="142" spans="2:15">
      <c r="B142" s="14"/>
      <c r="C142" s="14"/>
      <c r="D142" s="24" t="s">
        <v>237</v>
      </c>
      <c r="E142" s="11">
        <v>0.23</v>
      </c>
      <c r="F142" s="12">
        <v>0.16</v>
      </c>
      <c r="G142" s="12">
        <v>0.28999999999999998</v>
      </c>
      <c r="H142" s="12"/>
      <c r="I142" s="13"/>
      <c r="J142" s="17">
        <v>2007</v>
      </c>
      <c r="K142" s="20" t="s">
        <v>27</v>
      </c>
      <c r="L142" s="4" t="s">
        <v>238</v>
      </c>
      <c r="M142" s="4" t="s">
        <v>44</v>
      </c>
      <c r="N142" s="4" t="s">
        <v>33</v>
      </c>
      <c r="O142" s="4" t="s">
        <v>385</v>
      </c>
    </row>
    <row r="143" spans="2:15">
      <c r="B143" s="14"/>
      <c r="C143" s="14"/>
      <c r="D143" s="24" t="s">
        <v>240</v>
      </c>
      <c r="E143" s="11">
        <v>0.32</v>
      </c>
      <c r="F143" s="12">
        <v>0.01</v>
      </c>
      <c r="G143" s="12">
        <v>0.62</v>
      </c>
      <c r="H143" s="12"/>
      <c r="I143" s="13"/>
      <c r="J143" s="17">
        <v>2015</v>
      </c>
      <c r="K143" s="20" t="s">
        <v>27</v>
      </c>
      <c r="L143" s="4" t="s">
        <v>238</v>
      </c>
      <c r="M143" s="4"/>
      <c r="N143" s="4" t="s">
        <v>33</v>
      </c>
      <c r="O143" s="4"/>
    </row>
    <row r="144" spans="2:15">
      <c r="B144" s="14"/>
      <c r="C144" s="14"/>
      <c r="D144" s="24" t="s">
        <v>240</v>
      </c>
      <c r="E144" s="11">
        <v>0.52</v>
      </c>
      <c r="F144" s="12">
        <v>0.17</v>
      </c>
      <c r="G144" s="12">
        <v>0.86</v>
      </c>
      <c r="H144" s="12"/>
      <c r="I144" s="13"/>
      <c r="J144" s="17">
        <v>2011</v>
      </c>
      <c r="K144" s="20" t="s">
        <v>27</v>
      </c>
      <c r="L144" s="4" t="s">
        <v>234</v>
      </c>
      <c r="M144" s="4" t="s">
        <v>44</v>
      </c>
      <c r="N144" s="4" t="s">
        <v>33</v>
      </c>
      <c r="O144" s="4"/>
    </row>
    <row r="145" spans="2:15">
      <c r="B145" s="14"/>
      <c r="C145" s="14"/>
      <c r="D145" s="24" t="s">
        <v>240</v>
      </c>
      <c r="E145" s="11">
        <v>0.23</v>
      </c>
      <c r="F145" s="12">
        <v>0.16</v>
      </c>
      <c r="G145" s="12">
        <v>0.28999999999999998</v>
      </c>
      <c r="H145" s="12"/>
      <c r="I145" s="13"/>
      <c r="J145" s="17">
        <v>2007</v>
      </c>
      <c r="K145" s="20" t="s">
        <v>27</v>
      </c>
      <c r="L145" s="4" t="s">
        <v>241</v>
      </c>
      <c r="M145" s="4" t="s">
        <v>74</v>
      </c>
      <c r="N145" s="4" t="s">
        <v>75</v>
      </c>
      <c r="O145" s="4"/>
    </row>
    <row r="146" spans="2:15">
      <c r="B146" s="14"/>
      <c r="C146" s="14" t="s">
        <v>242</v>
      </c>
      <c r="D146" s="24" t="s">
        <v>243</v>
      </c>
      <c r="E146" s="11">
        <v>2.5</v>
      </c>
      <c r="F146" s="12"/>
      <c r="G146" s="12"/>
      <c r="H146" s="12"/>
      <c r="I146" s="13"/>
      <c r="J146" s="17">
        <v>2014</v>
      </c>
      <c r="K146" s="20" t="s">
        <v>27</v>
      </c>
      <c r="L146" s="4" t="s">
        <v>244</v>
      </c>
      <c r="M146" s="4" t="s">
        <v>21</v>
      </c>
      <c r="N146" s="4"/>
      <c r="O146" s="4"/>
    </row>
    <row r="147" spans="2:15">
      <c r="B147" s="14"/>
      <c r="C147" s="14"/>
      <c r="D147" s="24" t="s">
        <v>243</v>
      </c>
      <c r="E147" s="11">
        <v>2.5</v>
      </c>
      <c r="F147" s="12"/>
      <c r="G147" s="12"/>
      <c r="H147" s="12">
        <v>4.5</v>
      </c>
      <c r="I147" s="13">
        <v>0.5</v>
      </c>
      <c r="J147" s="17">
        <v>2014</v>
      </c>
      <c r="K147" s="20" t="s">
        <v>27</v>
      </c>
      <c r="L147" s="4" t="s">
        <v>24</v>
      </c>
      <c r="M147" s="4" t="s">
        <v>21</v>
      </c>
      <c r="N147" s="4"/>
      <c r="O147" s="4"/>
    </row>
    <row r="148" spans="2:15">
      <c r="B148" s="14"/>
      <c r="C148" s="14"/>
      <c r="D148" s="24" t="s">
        <v>243</v>
      </c>
      <c r="E148" s="11">
        <v>0.78</v>
      </c>
      <c r="F148" s="12">
        <v>0.01</v>
      </c>
      <c r="G148" s="12">
        <v>1.62</v>
      </c>
      <c r="H148" s="12"/>
      <c r="I148" s="13"/>
      <c r="J148" s="17">
        <v>2006</v>
      </c>
      <c r="K148" s="20" t="s">
        <v>27</v>
      </c>
      <c r="L148" s="4" t="s">
        <v>384</v>
      </c>
      <c r="M148" s="4" t="s">
        <v>44</v>
      </c>
      <c r="N148" s="4" t="s">
        <v>33</v>
      </c>
      <c r="O148" s="4"/>
    </row>
    <row r="149" spans="2:15">
      <c r="B149" s="14"/>
      <c r="C149" s="14"/>
      <c r="D149" s="24" t="s">
        <v>243</v>
      </c>
      <c r="E149" s="11">
        <v>0.08</v>
      </c>
      <c r="F149" s="12"/>
      <c r="G149" s="12"/>
      <c r="H149" s="12"/>
      <c r="I149" s="13"/>
      <c r="J149" s="17">
        <v>2004</v>
      </c>
      <c r="K149" s="20" t="s">
        <v>27</v>
      </c>
      <c r="L149" s="4" t="s">
        <v>58</v>
      </c>
      <c r="M149" s="4"/>
      <c r="N149" s="4" t="s">
        <v>87</v>
      </c>
      <c r="O149" s="4"/>
    </row>
    <row r="150" spans="2:15">
      <c r="B150" s="14"/>
      <c r="C150" s="14"/>
      <c r="D150" s="24" t="s">
        <v>245</v>
      </c>
      <c r="E150" s="11">
        <v>0.63</v>
      </c>
      <c r="F150" s="12">
        <v>0.01</v>
      </c>
      <c r="G150" s="12">
        <v>1.92</v>
      </c>
      <c r="H150" s="12"/>
      <c r="I150" s="13"/>
      <c r="J150" s="17">
        <v>2008</v>
      </c>
      <c r="K150" s="20" t="s">
        <v>27</v>
      </c>
      <c r="L150" s="4" t="s">
        <v>234</v>
      </c>
      <c r="M150" s="4" t="s">
        <v>44</v>
      </c>
      <c r="N150" s="4" t="s">
        <v>33</v>
      </c>
      <c r="O150" s="4"/>
    </row>
    <row r="151" spans="2:15">
      <c r="B151" s="14"/>
      <c r="C151" s="14"/>
      <c r="D151" s="24" t="s">
        <v>247</v>
      </c>
      <c r="E151" s="11">
        <v>0.6</v>
      </c>
      <c r="F151" s="12"/>
      <c r="G151" s="12"/>
      <c r="H151" s="12">
        <v>0.7</v>
      </c>
      <c r="I151" s="13">
        <v>0.5</v>
      </c>
      <c r="J151" s="17">
        <v>2020</v>
      </c>
      <c r="K151" s="20" t="s">
        <v>27</v>
      </c>
      <c r="L151" s="4" t="s">
        <v>24</v>
      </c>
      <c r="M151" s="4" t="s">
        <v>21</v>
      </c>
      <c r="N151" s="4"/>
      <c r="O151" s="4"/>
    </row>
    <row r="152" spans="2:15">
      <c r="B152" s="14"/>
      <c r="C152" s="14"/>
      <c r="D152" s="24" t="s">
        <v>247</v>
      </c>
      <c r="E152" s="11">
        <v>0.3</v>
      </c>
      <c r="F152" s="12"/>
      <c r="G152" s="12"/>
      <c r="H152" s="12">
        <v>0.4</v>
      </c>
      <c r="I152" s="13">
        <v>0.2</v>
      </c>
      <c r="J152" s="17">
        <v>2016</v>
      </c>
      <c r="K152" s="20" t="s">
        <v>27</v>
      </c>
      <c r="L152" s="4" t="s">
        <v>24</v>
      </c>
      <c r="M152" s="4" t="s">
        <v>21</v>
      </c>
      <c r="N152" s="4"/>
      <c r="O152" s="4"/>
    </row>
    <row r="153" spans="2:15">
      <c r="B153" s="14"/>
      <c r="C153" s="14"/>
      <c r="D153" s="24" t="s">
        <v>247</v>
      </c>
      <c r="E153" s="11">
        <v>0.2</v>
      </c>
      <c r="F153" s="12"/>
      <c r="G153" s="12"/>
      <c r="H153" s="12">
        <v>0.2</v>
      </c>
      <c r="I153" s="13">
        <v>0.1</v>
      </c>
      <c r="J153" s="17">
        <v>2012</v>
      </c>
      <c r="K153" s="20" t="s">
        <v>27</v>
      </c>
      <c r="L153" s="4" t="s">
        <v>24</v>
      </c>
      <c r="M153" s="4" t="s">
        <v>21</v>
      </c>
      <c r="N153" s="4"/>
      <c r="O153" s="4"/>
    </row>
    <row r="154" spans="2:15">
      <c r="B154" s="14"/>
      <c r="C154" s="14"/>
      <c r="D154" s="24" t="s">
        <v>247</v>
      </c>
      <c r="E154" s="11">
        <v>0.6</v>
      </c>
      <c r="F154" s="12"/>
      <c r="G154" s="12"/>
      <c r="H154" s="12"/>
      <c r="I154" s="13"/>
      <c r="J154" s="17">
        <v>2007</v>
      </c>
      <c r="K154" s="20" t="s">
        <v>27</v>
      </c>
      <c r="L154" s="4" t="s">
        <v>24</v>
      </c>
      <c r="M154" s="4" t="s">
        <v>21</v>
      </c>
      <c r="N154" s="4"/>
      <c r="O154" s="4"/>
    </row>
    <row r="155" spans="2:15">
      <c r="B155" s="14"/>
      <c r="C155" s="14"/>
      <c r="D155" s="24" t="s">
        <v>247</v>
      </c>
      <c r="E155" s="11">
        <v>0.3</v>
      </c>
      <c r="F155" s="12"/>
      <c r="G155" s="12"/>
      <c r="H155" s="12"/>
      <c r="I155" s="13"/>
      <c r="J155" s="17">
        <v>2005</v>
      </c>
      <c r="K155" s="20" t="s">
        <v>386</v>
      </c>
      <c r="L155" s="4" t="s">
        <v>38</v>
      </c>
      <c r="M155" s="4" t="s">
        <v>51</v>
      </c>
      <c r="N155" s="4"/>
      <c r="O155" s="4"/>
    </row>
    <row r="156" spans="2:15">
      <c r="B156" s="14"/>
      <c r="C156" s="14"/>
      <c r="D156" s="24" t="s">
        <v>248</v>
      </c>
      <c r="E156" s="11">
        <v>1.9</v>
      </c>
      <c r="F156" s="12"/>
      <c r="G156" s="12"/>
      <c r="H156" s="12">
        <v>2.8</v>
      </c>
      <c r="I156" s="13">
        <v>0.9</v>
      </c>
      <c r="J156" s="17">
        <v>2019</v>
      </c>
      <c r="K156" s="20" t="s">
        <v>27</v>
      </c>
      <c r="L156" s="4" t="s">
        <v>24</v>
      </c>
      <c r="M156" s="4" t="s">
        <v>21</v>
      </c>
      <c r="N156" s="4"/>
      <c r="O156" s="4"/>
    </row>
    <row r="157" spans="2:15">
      <c r="B157" s="14"/>
      <c r="C157" s="14"/>
      <c r="D157" s="24" t="s">
        <v>248</v>
      </c>
      <c r="E157" s="11">
        <v>0.8</v>
      </c>
      <c r="F157" s="12"/>
      <c r="G157" s="12"/>
      <c r="H157" s="12">
        <v>1.2</v>
      </c>
      <c r="I157" s="13">
        <v>0.4</v>
      </c>
      <c r="J157" s="17">
        <v>2015</v>
      </c>
      <c r="K157" s="20" t="s">
        <v>27</v>
      </c>
      <c r="L157" s="4" t="s">
        <v>24</v>
      </c>
      <c r="M157" s="4" t="s">
        <v>21</v>
      </c>
      <c r="N157" s="4"/>
      <c r="O157" s="4" t="s">
        <v>387</v>
      </c>
    </row>
    <row r="158" spans="2:15">
      <c r="B158" s="14"/>
      <c r="C158" s="14"/>
      <c r="D158" s="24" t="s">
        <v>248</v>
      </c>
      <c r="E158" s="11">
        <v>0.5</v>
      </c>
      <c r="F158" s="12"/>
      <c r="G158" s="12"/>
      <c r="H158" s="12"/>
      <c r="I158" s="13"/>
      <c r="J158" s="17">
        <v>2012</v>
      </c>
      <c r="K158" s="20" t="s">
        <v>27</v>
      </c>
      <c r="L158" s="4" t="s">
        <v>249</v>
      </c>
      <c r="M158" s="4" t="s">
        <v>21</v>
      </c>
      <c r="N158" s="4"/>
      <c r="O158" s="4"/>
    </row>
    <row r="159" spans="2:15">
      <c r="B159" s="14"/>
      <c r="C159" s="14"/>
      <c r="D159" s="24" t="s">
        <v>248</v>
      </c>
      <c r="E159" s="11">
        <v>0.88</v>
      </c>
      <c r="F159" s="12">
        <v>0.87</v>
      </c>
      <c r="G159" s="12">
        <v>0.89</v>
      </c>
      <c r="H159" s="12"/>
      <c r="I159" s="13"/>
      <c r="J159" s="17">
        <v>2007</v>
      </c>
      <c r="K159" s="20" t="s">
        <v>27</v>
      </c>
      <c r="L159" s="4" t="s">
        <v>241</v>
      </c>
      <c r="M159" s="4" t="s">
        <v>74</v>
      </c>
      <c r="N159" s="4" t="s">
        <v>75</v>
      </c>
      <c r="O159" s="4"/>
    </row>
    <row r="160" spans="2:15">
      <c r="B160" s="14"/>
      <c r="C160" s="14"/>
      <c r="D160" s="24" t="s">
        <v>251</v>
      </c>
      <c r="E160" s="11">
        <v>1.8</v>
      </c>
      <c r="F160" s="12"/>
      <c r="G160" s="12"/>
      <c r="H160" s="12">
        <v>2</v>
      </c>
      <c r="I160" s="13">
        <v>1.5</v>
      </c>
      <c r="J160" s="17">
        <v>2017</v>
      </c>
      <c r="K160" s="20" t="s">
        <v>27</v>
      </c>
      <c r="L160" s="4" t="s">
        <v>24</v>
      </c>
      <c r="M160" s="4" t="s">
        <v>21</v>
      </c>
      <c r="N160" s="4"/>
      <c r="O160" s="4"/>
    </row>
    <row r="161" spans="2:15">
      <c r="B161" s="14"/>
      <c r="C161" s="14"/>
      <c r="D161" s="24" t="s">
        <v>251</v>
      </c>
      <c r="E161" s="11">
        <v>0.62</v>
      </c>
      <c r="F161" s="12">
        <v>0.18</v>
      </c>
      <c r="G161" s="12">
        <v>1.06</v>
      </c>
      <c r="H161" s="12"/>
      <c r="I161" s="13"/>
      <c r="J161" s="17">
        <v>2015</v>
      </c>
      <c r="K161" s="20" t="s">
        <v>27</v>
      </c>
      <c r="L161" s="4" t="s">
        <v>238</v>
      </c>
      <c r="M161" s="4" t="s">
        <v>44</v>
      </c>
      <c r="N161" s="4" t="s">
        <v>33</v>
      </c>
      <c r="O161" s="4"/>
    </row>
    <row r="162" spans="2:15">
      <c r="B162" s="14"/>
      <c r="C162" s="14"/>
      <c r="D162" s="24" t="s">
        <v>251</v>
      </c>
      <c r="E162" s="11">
        <v>0.52</v>
      </c>
      <c r="F162" s="12">
        <v>0.17</v>
      </c>
      <c r="G162" s="12">
        <v>0.86</v>
      </c>
      <c r="H162" s="12"/>
      <c r="I162" s="13"/>
      <c r="J162" s="17">
        <v>2011</v>
      </c>
      <c r="K162" s="20" t="s">
        <v>27</v>
      </c>
      <c r="L162" s="4" t="s">
        <v>234</v>
      </c>
      <c r="M162" s="4" t="s">
        <v>44</v>
      </c>
      <c r="N162" s="4" t="s">
        <v>33</v>
      </c>
      <c r="O162" s="4"/>
    </row>
    <row r="163" spans="2:15">
      <c r="B163" s="14"/>
      <c r="C163" s="14"/>
      <c r="D163" s="24" t="s">
        <v>251</v>
      </c>
      <c r="E163" s="11">
        <v>0.77</v>
      </c>
      <c r="F163" s="12">
        <v>0.01</v>
      </c>
      <c r="G163" s="12">
        <v>1.71</v>
      </c>
      <c r="H163" s="12"/>
      <c r="I163" s="13"/>
      <c r="J163" s="17">
        <v>2008</v>
      </c>
      <c r="K163" s="20" t="s">
        <v>27</v>
      </c>
      <c r="L163" s="4" t="s">
        <v>241</v>
      </c>
      <c r="M163" s="4" t="s">
        <v>74</v>
      </c>
      <c r="N163" s="4" t="s">
        <v>75</v>
      </c>
      <c r="O163" s="4"/>
    </row>
    <row r="164" spans="2:15">
      <c r="B164" s="14"/>
      <c r="C164" s="14"/>
      <c r="D164" s="24" t="s">
        <v>252</v>
      </c>
      <c r="E164" s="11">
        <v>0.81</v>
      </c>
      <c r="F164" s="12"/>
      <c r="G164" s="12"/>
      <c r="H164" s="12">
        <v>1.2</v>
      </c>
      <c r="I164" s="13">
        <v>0.4</v>
      </c>
      <c r="J164" s="17">
        <v>2017</v>
      </c>
      <c r="K164" s="20" t="s">
        <v>27</v>
      </c>
      <c r="L164" s="4" t="s">
        <v>24</v>
      </c>
      <c r="M164" s="4" t="s">
        <v>21</v>
      </c>
      <c r="N164" s="4"/>
      <c r="O164" s="4" t="s">
        <v>388</v>
      </c>
    </row>
    <row r="165" spans="2:15">
      <c r="B165" s="14"/>
      <c r="C165" s="14"/>
      <c r="D165" s="24" t="s">
        <v>252</v>
      </c>
      <c r="E165" s="11">
        <v>0.34</v>
      </c>
      <c r="F165" s="12">
        <v>0.03</v>
      </c>
      <c r="G165" s="12">
        <v>0.65</v>
      </c>
      <c r="H165" s="12"/>
      <c r="I165" s="13"/>
      <c r="J165" s="17">
        <v>2015</v>
      </c>
      <c r="K165" s="20" t="s">
        <v>27</v>
      </c>
      <c r="L165" s="4" t="s">
        <v>238</v>
      </c>
      <c r="M165" s="4" t="s">
        <v>44</v>
      </c>
      <c r="N165" s="4" t="s">
        <v>33</v>
      </c>
      <c r="O165" s="4"/>
    </row>
    <row r="166" spans="2:15">
      <c r="B166" s="14"/>
      <c r="C166" s="14"/>
      <c r="D166" s="24" t="s">
        <v>252</v>
      </c>
      <c r="E166" s="11">
        <v>0.08</v>
      </c>
      <c r="F166" s="12"/>
      <c r="G166" s="12"/>
      <c r="H166" s="12"/>
      <c r="I166" s="13"/>
      <c r="J166" s="17">
        <v>2007</v>
      </c>
      <c r="K166" s="20" t="s">
        <v>27</v>
      </c>
      <c r="L166" s="4" t="s">
        <v>150</v>
      </c>
      <c r="M166" s="4"/>
      <c r="N166" s="4"/>
      <c r="O166" s="4"/>
    </row>
    <row r="167" spans="2:15">
      <c r="B167" s="14"/>
      <c r="C167" s="14"/>
      <c r="D167" s="24" t="s">
        <v>253</v>
      </c>
      <c r="E167" s="11">
        <v>0.5</v>
      </c>
      <c r="F167" s="12"/>
      <c r="G167" s="12"/>
      <c r="H167" s="12">
        <v>0.6</v>
      </c>
      <c r="I167" s="13">
        <v>0.4</v>
      </c>
      <c r="J167" s="17">
        <v>2019</v>
      </c>
      <c r="K167" s="20" t="s">
        <v>27</v>
      </c>
      <c r="L167" s="4" t="s">
        <v>24</v>
      </c>
      <c r="M167" s="4" t="s">
        <v>21</v>
      </c>
      <c r="N167" s="4"/>
      <c r="O167" s="4"/>
    </row>
    <row r="168" spans="2:15">
      <c r="B168" s="14"/>
      <c r="C168" s="14"/>
      <c r="D168" s="24" t="s">
        <v>253</v>
      </c>
      <c r="E168" s="11">
        <v>0.2</v>
      </c>
      <c r="F168" s="12"/>
      <c r="G168" s="12"/>
      <c r="H168" s="12">
        <v>0.2</v>
      </c>
      <c r="I168" s="13">
        <v>0.2</v>
      </c>
      <c r="J168" s="17">
        <v>2016</v>
      </c>
      <c r="K168" s="20" t="s">
        <v>27</v>
      </c>
      <c r="L168" s="4" t="s">
        <v>24</v>
      </c>
      <c r="M168" s="4" t="s">
        <v>21</v>
      </c>
      <c r="N168" s="4"/>
      <c r="O168" s="4"/>
    </row>
    <row r="169" spans="2:15">
      <c r="B169" s="14"/>
      <c r="C169" s="14"/>
      <c r="D169" s="24" t="s">
        <v>253</v>
      </c>
      <c r="E169" s="11">
        <v>0.2</v>
      </c>
      <c r="F169" s="12"/>
      <c r="G169" s="12"/>
      <c r="H169" s="12">
        <v>0.2</v>
      </c>
      <c r="I169" s="13">
        <v>0.2</v>
      </c>
      <c r="J169" s="17">
        <v>2013</v>
      </c>
      <c r="K169" s="20" t="s">
        <v>27</v>
      </c>
      <c r="L169" s="4" t="s">
        <v>24</v>
      </c>
      <c r="M169" s="4" t="s">
        <v>21</v>
      </c>
      <c r="N169" s="4"/>
      <c r="O169" s="4"/>
    </row>
    <row r="170" spans="2:15">
      <c r="B170" s="14"/>
      <c r="C170" s="14"/>
      <c r="D170" s="24" t="s">
        <v>253</v>
      </c>
      <c r="E170" s="11">
        <v>0.1</v>
      </c>
      <c r="F170" s="12"/>
      <c r="G170" s="12"/>
      <c r="H170" s="12"/>
      <c r="I170" s="13"/>
      <c r="J170" s="17">
        <v>2010</v>
      </c>
      <c r="K170" s="20" t="s">
        <v>27</v>
      </c>
      <c r="L170" s="4" t="s">
        <v>24</v>
      </c>
      <c r="M170" s="4" t="s">
        <v>21</v>
      </c>
      <c r="N170" s="4"/>
      <c r="O170" s="4"/>
    </row>
    <row r="171" spans="2:15">
      <c r="B171" s="14"/>
      <c r="C171" s="14"/>
      <c r="D171" s="24" t="s">
        <v>253</v>
      </c>
      <c r="E171" s="11">
        <v>0.04</v>
      </c>
      <c r="F171" s="12"/>
      <c r="G171" s="12"/>
      <c r="H171" s="12"/>
      <c r="I171" s="13"/>
      <c r="J171" s="17">
        <v>2007</v>
      </c>
      <c r="K171" s="20" t="s">
        <v>27</v>
      </c>
      <c r="L171" s="4" t="s">
        <v>38</v>
      </c>
      <c r="M171" s="4" t="s">
        <v>51</v>
      </c>
      <c r="N171" s="4" t="s">
        <v>87</v>
      </c>
      <c r="O171" s="4"/>
    </row>
    <row r="172" spans="2:15">
      <c r="B172" s="14"/>
      <c r="C172" s="14"/>
      <c r="D172" s="24" t="s">
        <v>254</v>
      </c>
      <c r="E172" s="11">
        <v>0.1</v>
      </c>
      <c r="F172" s="12"/>
      <c r="G172" s="12"/>
      <c r="H172" s="12">
        <v>0.2</v>
      </c>
      <c r="I172" s="13">
        <v>0</v>
      </c>
      <c r="J172" s="17">
        <v>2023</v>
      </c>
      <c r="K172" s="20" t="s">
        <v>144</v>
      </c>
      <c r="L172" s="4" t="s">
        <v>38</v>
      </c>
      <c r="M172" s="4" t="s">
        <v>51</v>
      </c>
      <c r="N172" s="4"/>
      <c r="O172" s="4"/>
    </row>
    <row r="173" spans="2:15">
      <c r="B173" s="14"/>
      <c r="C173" s="14"/>
      <c r="D173" s="24" t="s">
        <v>254</v>
      </c>
      <c r="E173" s="11">
        <v>0.1</v>
      </c>
      <c r="F173" s="12"/>
      <c r="G173" s="12"/>
      <c r="H173" s="12">
        <v>0.1</v>
      </c>
      <c r="I173" s="13">
        <v>0.1</v>
      </c>
      <c r="J173" s="17">
        <v>2018</v>
      </c>
      <c r="K173" s="20" t="s">
        <v>27</v>
      </c>
      <c r="L173" s="4" t="s">
        <v>38</v>
      </c>
      <c r="M173" s="4" t="s">
        <v>51</v>
      </c>
      <c r="N173" s="4"/>
      <c r="O173" s="4"/>
    </row>
    <row r="174" spans="2:15">
      <c r="B174" s="14"/>
      <c r="C174" s="14"/>
      <c r="D174" s="24" t="s">
        <v>254</v>
      </c>
      <c r="E174" s="11">
        <v>0.1</v>
      </c>
      <c r="F174" s="12"/>
      <c r="G174" s="12"/>
      <c r="H174" s="12">
        <v>0.2</v>
      </c>
      <c r="I174" s="13">
        <v>0</v>
      </c>
      <c r="J174" s="17">
        <v>2014</v>
      </c>
      <c r="K174" s="20" t="s">
        <v>144</v>
      </c>
      <c r="L174" s="4" t="s">
        <v>36</v>
      </c>
      <c r="M174" s="4" t="s">
        <v>21</v>
      </c>
      <c r="N174" s="4"/>
      <c r="O174" s="4"/>
    </row>
    <row r="175" spans="2:15">
      <c r="B175" s="14"/>
      <c r="C175" s="14"/>
      <c r="D175" s="24" t="s">
        <v>254</v>
      </c>
      <c r="E175" s="11">
        <v>0.54</v>
      </c>
      <c r="F175" s="12">
        <v>0.14000000000000001</v>
      </c>
      <c r="G175" s="12">
        <v>1.18</v>
      </c>
      <c r="H175" s="12"/>
      <c r="I175" s="13"/>
      <c r="J175" s="17">
        <v>2008</v>
      </c>
      <c r="K175" s="20" t="s">
        <v>27</v>
      </c>
      <c r="L175" s="4" t="s">
        <v>384</v>
      </c>
      <c r="M175" s="4" t="s">
        <v>21</v>
      </c>
      <c r="N175" s="4" t="s">
        <v>255</v>
      </c>
      <c r="O175" s="4"/>
    </row>
    <row r="176" spans="2:15">
      <c r="B176" s="14"/>
      <c r="C176" s="14"/>
      <c r="D176" s="24" t="s">
        <v>256</v>
      </c>
      <c r="E176" s="11">
        <v>0.05</v>
      </c>
      <c r="F176" s="12"/>
      <c r="G176" s="12"/>
      <c r="H176" s="12">
        <v>0.11</v>
      </c>
      <c r="I176" s="13"/>
      <c r="J176" s="17">
        <v>2018</v>
      </c>
      <c r="K176" s="20" t="s">
        <v>27</v>
      </c>
      <c r="L176" s="4" t="s">
        <v>24</v>
      </c>
      <c r="M176" s="4" t="s">
        <v>21</v>
      </c>
      <c r="N176" s="4"/>
      <c r="O176" s="4"/>
    </row>
    <row r="177" spans="2:15">
      <c r="B177" s="14"/>
      <c r="C177" s="14"/>
      <c r="D177" s="24" t="s">
        <v>256</v>
      </c>
      <c r="E177" s="11">
        <v>0.05</v>
      </c>
      <c r="F177" s="12"/>
      <c r="G177" s="12"/>
      <c r="H177" s="12">
        <v>0.11</v>
      </c>
      <c r="I177" s="13"/>
      <c r="J177" s="17">
        <v>2017</v>
      </c>
      <c r="K177" s="20" t="s">
        <v>27</v>
      </c>
      <c r="L177" s="4" t="s">
        <v>249</v>
      </c>
      <c r="M177" s="4" t="s">
        <v>21</v>
      </c>
      <c r="N177" s="4"/>
      <c r="O177" s="4"/>
    </row>
    <row r="178" spans="2:15">
      <c r="B178" s="14"/>
      <c r="C178" s="14"/>
      <c r="D178" s="24" t="s">
        <v>256</v>
      </c>
      <c r="E178" s="11">
        <v>0.04</v>
      </c>
      <c r="F178" s="12"/>
      <c r="G178" s="12"/>
      <c r="H178" s="12"/>
      <c r="I178" s="13"/>
      <c r="J178" s="17">
        <v>2003</v>
      </c>
      <c r="K178" s="20" t="s">
        <v>27</v>
      </c>
      <c r="L178" s="4" t="s">
        <v>61</v>
      </c>
      <c r="M178" s="4"/>
      <c r="N178" s="4"/>
      <c r="O178" s="4"/>
    </row>
    <row r="179" spans="2:15">
      <c r="B179" s="14"/>
      <c r="C179" s="14" t="s">
        <v>257</v>
      </c>
      <c r="D179" s="24" t="s">
        <v>258</v>
      </c>
      <c r="E179" s="11">
        <v>1.52</v>
      </c>
      <c r="F179" s="12"/>
      <c r="G179" s="12"/>
      <c r="H179" s="12">
        <v>1.97</v>
      </c>
      <c r="I179" s="13">
        <v>1.08</v>
      </c>
      <c r="J179" s="17">
        <v>2022</v>
      </c>
      <c r="K179" s="20" t="s">
        <v>27</v>
      </c>
      <c r="L179" s="4" t="s">
        <v>38</v>
      </c>
      <c r="M179" s="4" t="s">
        <v>51</v>
      </c>
      <c r="N179" s="4"/>
      <c r="O179" s="4" t="s">
        <v>365</v>
      </c>
    </row>
    <row r="180" spans="2:15">
      <c r="B180" s="14"/>
      <c r="C180" s="14"/>
      <c r="D180" s="24" t="s">
        <v>258</v>
      </c>
      <c r="E180" s="11">
        <v>2.42</v>
      </c>
      <c r="F180" s="12">
        <v>2.02</v>
      </c>
      <c r="G180" s="12">
        <v>2.9</v>
      </c>
      <c r="H180" s="12"/>
      <c r="I180" s="13"/>
      <c r="J180" s="17">
        <v>2020</v>
      </c>
      <c r="K180" s="20" t="s">
        <v>27</v>
      </c>
      <c r="L180" s="4" t="s">
        <v>36</v>
      </c>
      <c r="M180" s="4" t="s">
        <v>21</v>
      </c>
      <c r="N180" s="4"/>
      <c r="O180" s="4"/>
    </row>
    <row r="181" spans="2:15">
      <c r="B181" s="14"/>
      <c r="C181" s="14"/>
      <c r="D181" s="24" t="s">
        <v>258</v>
      </c>
      <c r="E181" s="11">
        <v>0.4</v>
      </c>
      <c r="F181" s="12">
        <v>0.2</v>
      </c>
      <c r="G181" s="12">
        <v>0.6</v>
      </c>
      <c r="H181" s="12">
        <v>0.4</v>
      </c>
      <c r="I181" s="13">
        <v>0.3</v>
      </c>
      <c r="J181" s="17">
        <v>2015</v>
      </c>
      <c r="K181" s="20" t="s">
        <v>27</v>
      </c>
      <c r="L181" s="4" t="s">
        <v>36</v>
      </c>
      <c r="M181" s="4" t="s">
        <v>21</v>
      </c>
      <c r="N181" s="4"/>
      <c r="O181" s="4" t="s">
        <v>389</v>
      </c>
    </row>
    <row r="182" spans="2:15">
      <c r="B182" s="14"/>
      <c r="C182" s="14"/>
      <c r="D182" s="24" t="s">
        <v>258</v>
      </c>
      <c r="E182" s="11">
        <v>0.9</v>
      </c>
      <c r="F182" s="12"/>
      <c r="G182" s="12"/>
      <c r="H182" s="12"/>
      <c r="I182" s="13"/>
      <c r="J182" s="17">
        <v>2008</v>
      </c>
      <c r="K182" s="20" t="s">
        <v>27</v>
      </c>
      <c r="L182" s="4" t="s">
        <v>24</v>
      </c>
      <c r="M182" s="4" t="s">
        <v>21</v>
      </c>
      <c r="N182" s="4"/>
      <c r="O182" s="4"/>
    </row>
    <row r="183" spans="2:15">
      <c r="B183" s="14"/>
      <c r="C183" s="14"/>
      <c r="D183" s="24" t="s">
        <v>258</v>
      </c>
      <c r="E183" s="11">
        <v>0.9</v>
      </c>
      <c r="F183" s="12"/>
      <c r="G183" s="12"/>
      <c r="H183" s="12"/>
      <c r="I183" s="13"/>
      <c r="J183" s="17">
        <v>2004</v>
      </c>
      <c r="K183" s="20" t="s">
        <v>27</v>
      </c>
      <c r="L183" s="4" t="s">
        <v>259</v>
      </c>
      <c r="M183" s="4" t="s">
        <v>51</v>
      </c>
      <c r="N183" s="4"/>
      <c r="O183" s="4"/>
    </row>
    <row r="184" spans="2:15">
      <c r="B184" s="14"/>
      <c r="C184" s="14"/>
      <c r="D184" s="24" t="s">
        <v>260</v>
      </c>
      <c r="E184" s="11">
        <v>1.5</v>
      </c>
      <c r="F184" s="12"/>
      <c r="G184" s="12"/>
      <c r="H184" s="12">
        <v>2.6</v>
      </c>
      <c r="I184" s="13">
        <v>0.4</v>
      </c>
      <c r="J184" s="17">
        <v>2018</v>
      </c>
      <c r="K184" s="20" t="s">
        <v>27</v>
      </c>
      <c r="L184" s="4" t="s">
        <v>24</v>
      </c>
      <c r="M184" s="4" t="s">
        <v>21</v>
      </c>
      <c r="N184" s="4"/>
      <c r="O184" s="4" t="s">
        <v>390</v>
      </c>
    </row>
    <row r="185" spans="2:15">
      <c r="B185" s="14"/>
      <c r="C185" s="14"/>
      <c r="D185" s="24" t="s">
        <v>260</v>
      </c>
      <c r="E185" s="11">
        <v>0.5</v>
      </c>
      <c r="F185" s="12"/>
      <c r="G185" s="12"/>
      <c r="H185" s="12">
        <v>0.7</v>
      </c>
      <c r="I185" s="13">
        <v>0.3</v>
      </c>
      <c r="J185" s="17">
        <v>2013</v>
      </c>
      <c r="K185" s="20" t="s">
        <v>27</v>
      </c>
      <c r="L185" s="4" t="s">
        <v>24</v>
      </c>
      <c r="M185" s="4" t="s">
        <v>21</v>
      </c>
      <c r="N185" s="4"/>
      <c r="O185" s="4"/>
    </row>
    <row r="186" spans="2:15">
      <c r="B186" s="14"/>
      <c r="C186" s="14"/>
      <c r="D186" s="24" t="s">
        <v>260</v>
      </c>
      <c r="E186" s="11">
        <v>0.9</v>
      </c>
      <c r="F186" s="12"/>
      <c r="G186" s="12"/>
      <c r="H186" s="12">
        <v>1.3</v>
      </c>
      <c r="I186" s="13">
        <v>0.5</v>
      </c>
      <c r="J186" s="17">
        <v>2008</v>
      </c>
      <c r="K186" s="20" t="s">
        <v>27</v>
      </c>
      <c r="L186" s="4" t="s">
        <v>24</v>
      </c>
      <c r="M186" s="4" t="s">
        <v>21</v>
      </c>
      <c r="N186" s="4"/>
      <c r="O186" s="4"/>
    </row>
    <row r="187" spans="2:15">
      <c r="B187" s="14"/>
      <c r="C187" s="14"/>
      <c r="D187" s="24" t="s">
        <v>260</v>
      </c>
      <c r="E187" s="11">
        <v>1.21</v>
      </c>
      <c r="F187" s="12"/>
      <c r="G187" s="12"/>
      <c r="H187" s="12"/>
      <c r="I187" s="13"/>
      <c r="J187" s="17">
        <v>2007</v>
      </c>
      <c r="K187" s="20" t="s">
        <v>27</v>
      </c>
      <c r="L187" s="4" t="s">
        <v>241</v>
      </c>
      <c r="M187" s="4" t="s">
        <v>74</v>
      </c>
      <c r="N187" s="4" t="s">
        <v>246</v>
      </c>
      <c r="O187" s="4"/>
    </row>
    <row r="188" spans="2:15">
      <c r="B188" s="14"/>
      <c r="C188" s="14"/>
      <c r="D188" s="24" t="s">
        <v>262</v>
      </c>
      <c r="E188" s="11">
        <v>0.7</v>
      </c>
      <c r="F188" s="12"/>
      <c r="G188" s="12"/>
      <c r="H188" s="12">
        <v>1</v>
      </c>
      <c r="I188" s="13">
        <v>0.3</v>
      </c>
      <c r="J188" s="17">
        <v>2022</v>
      </c>
      <c r="K188" s="20" t="s">
        <v>27</v>
      </c>
      <c r="L188" s="4" t="s">
        <v>24</v>
      </c>
      <c r="M188" s="4" t="s">
        <v>51</v>
      </c>
      <c r="N188" s="4"/>
      <c r="O188" s="4"/>
    </row>
    <row r="189" spans="2:15">
      <c r="B189" s="14"/>
      <c r="C189" s="14"/>
      <c r="D189" s="24" t="s">
        <v>262</v>
      </c>
      <c r="E189" s="11">
        <v>0.5</v>
      </c>
      <c r="F189" s="12"/>
      <c r="G189" s="12"/>
      <c r="H189" s="12">
        <v>0.9</v>
      </c>
      <c r="I189" s="13">
        <v>0.1</v>
      </c>
      <c r="J189" s="17">
        <v>2019</v>
      </c>
      <c r="K189" s="20" t="s">
        <v>27</v>
      </c>
      <c r="L189" s="4" t="s">
        <v>24</v>
      </c>
      <c r="M189" s="4" t="s">
        <v>21</v>
      </c>
      <c r="N189" s="4"/>
      <c r="O189" s="4"/>
    </row>
    <row r="190" spans="2:15">
      <c r="B190" s="14"/>
      <c r="C190" s="14"/>
      <c r="D190" s="24" t="s">
        <v>262</v>
      </c>
      <c r="E190" s="11">
        <v>0.2</v>
      </c>
      <c r="F190" s="12"/>
      <c r="G190" s="12"/>
      <c r="H190" s="12">
        <v>0.4</v>
      </c>
      <c r="I190" s="13">
        <v>0</v>
      </c>
      <c r="J190" s="17">
        <v>2016</v>
      </c>
      <c r="K190" s="20" t="s">
        <v>27</v>
      </c>
      <c r="L190" s="4" t="s">
        <v>24</v>
      </c>
      <c r="M190" s="4" t="s">
        <v>21</v>
      </c>
      <c r="N190" s="4"/>
      <c r="O190" s="4"/>
    </row>
    <row r="191" spans="2:15">
      <c r="B191" s="14"/>
      <c r="C191" s="14"/>
      <c r="D191" s="24" t="s">
        <v>262</v>
      </c>
      <c r="E191" s="11">
        <v>0.3</v>
      </c>
      <c r="F191" s="12"/>
      <c r="G191" s="12"/>
      <c r="H191" s="12">
        <v>0.4</v>
      </c>
      <c r="I191" s="13">
        <v>0.2</v>
      </c>
      <c r="J191" s="17">
        <v>2012</v>
      </c>
      <c r="K191" s="20" t="s">
        <v>27</v>
      </c>
      <c r="L191" s="4" t="s">
        <v>24</v>
      </c>
      <c r="M191" s="4" t="s">
        <v>21</v>
      </c>
      <c r="N191" s="4"/>
      <c r="O191" s="4"/>
    </row>
    <row r="192" spans="2:15">
      <c r="B192" s="14"/>
      <c r="C192" s="14"/>
      <c r="D192" s="24" t="s">
        <v>262</v>
      </c>
      <c r="E192" s="11">
        <v>1.2</v>
      </c>
      <c r="F192" s="12"/>
      <c r="G192" s="12"/>
      <c r="H192" s="12">
        <v>2</v>
      </c>
      <c r="I192" s="13">
        <v>0.5</v>
      </c>
      <c r="J192" s="17">
        <v>2009</v>
      </c>
      <c r="K192" s="20" t="s">
        <v>27</v>
      </c>
      <c r="L192" s="4" t="s">
        <v>24</v>
      </c>
      <c r="M192" s="4" t="s">
        <v>21</v>
      </c>
      <c r="N192" s="4"/>
      <c r="O192" s="4"/>
    </row>
    <row r="193" spans="2:15">
      <c r="B193" s="14"/>
      <c r="C193" s="14"/>
      <c r="D193" s="24" t="s">
        <v>262</v>
      </c>
      <c r="E193" s="11">
        <v>0.6</v>
      </c>
      <c r="F193" s="12"/>
      <c r="G193" s="12"/>
      <c r="H193" s="12">
        <v>1.1000000000000001</v>
      </c>
      <c r="I193" s="13">
        <v>0.1</v>
      </c>
      <c r="J193" s="17">
        <v>2006</v>
      </c>
      <c r="K193" s="20" t="s">
        <v>19</v>
      </c>
      <c r="L193" s="4" t="s">
        <v>38</v>
      </c>
      <c r="M193" s="4"/>
      <c r="N193" s="4"/>
      <c r="O193" s="4"/>
    </row>
    <row r="194" spans="2:15">
      <c r="B194" s="14"/>
      <c r="C194" s="14"/>
      <c r="D194" s="24" t="s">
        <v>263</v>
      </c>
      <c r="E194" s="11">
        <v>0.2</v>
      </c>
      <c r="F194" s="12"/>
      <c r="G194" s="12"/>
      <c r="H194" s="12">
        <v>0.5</v>
      </c>
      <c r="I194" s="13">
        <v>0</v>
      </c>
      <c r="J194" s="17">
        <v>2021</v>
      </c>
      <c r="K194" s="20" t="s">
        <v>27</v>
      </c>
      <c r="L194" s="4" t="s">
        <v>24</v>
      </c>
      <c r="M194" s="4" t="s">
        <v>21</v>
      </c>
      <c r="N194" s="4"/>
      <c r="O194" s="4" t="s">
        <v>365</v>
      </c>
    </row>
    <row r="195" spans="2:15">
      <c r="B195" s="14"/>
      <c r="C195" s="14"/>
      <c r="D195" s="24" t="s">
        <v>263</v>
      </c>
      <c r="E195" s="11">
        <v>0.9</v>
      </c>
      <c r="F195" s="12"/>
      <c r="G195" s="12"/>
      <c r="H195" s="12">
        <v>1.3</v>
      </c>
      <c r="I195" s="13">
        <v>0.5</v>
      </c>
      <c r="J195" s="17">
        <v>2020</v>
      </c>
      <c r="K195" s="20" t="s">
        <v>27</v>
      </c>
      <c r="L195" s="4" t="s">
        <v>24</v>
      </c>
      <c r="M195" s="4" t="s">
        <v>21</v>
      </c>
      <c r="N195" s="4"/>
      <c r="O195" s="4"/>
    </row>
    <row r="196" spans="2:15">
      <c r="B196" s="14"/>
      <c r="C196" s="14"/>
      <c r="D196" s="24" t="s">
        <v>263</v>
      </c>
      <c r="E196" s="11">
        <v>0.5</v>
      </c>
      <c r="F196" s="12"/>
      <c r="G196" s="12"/>
      <c r="H196" s="12">
        <v>0.2</v>
      </c>
      <c r="I196" s="13">
        <v>0.7</v>
      </c>
      <c r="J196" s="17">
        <v>2019</v>
      </c>
      <c r="K196" s="20" t="s">
        <v>27</v>
      </c>
      <c r="L196" s="4" t="s">
        <v>24</v>
      </c>
      <c r="M196" s="4" t="s">
        <v>21</v>
      </c>
      <c r="N196" s="4"/>
      <c r="O196" s="4"/>
    </row>
    <row r="197" spans="2:15">
      <c r="B197" s="14"/>
      <c r="C197" s="14"/>
      <c r="D197" s="24" t="s">
        <v>263</v>
      </c>
      <c r="E197" s="11">
        <v>0.1</v>
      </c>
      <c r="F197" s="12"/>
      <c r="G197" s="12"/>
      <c r="H197" s="12">
        <v>0.1</v>
      </c>
      <c r="I197" s="13">
        <v>0.1</v>
      </c>
      <c r="J197" s="17">
        <v>2018</v>
      </c>
      <c r="K197" s="20" t="s">
        <v>27</v>
      </c>
      <c r="L197" s="4" t="s">
        <v>24</v>
      </c>
      <c r="M197" s="4" t="s">
        <v>21</v>
      </c>
      <c r="N197" s="4"/>
      <c r="O197" s="4"/>
    </row>
    <row r="198" spans="2:15">
      <c r="B198" s="14"/>
      <c r="C198" s="14"/>
      <c r="D198" s="24" t="s">
        <v>263</v>
      </c>
      <c r="E198" s="11">
        <v>0.1</v>
      </c>
      <c r="F198" s="12"/>
      <c r="G198" s="12"/>
      <c r="H198" s="12">
        <v>0</v>
      </c>
      <c r="I198" s="13">
        <v>0.2</v>
      </c>
      <c r="J198" s="17">
        <v>2017</v>
      </c>
      <c r="K198" s="20" t="s">
        <v>27</v>
      </c>
      <c r="L198" s="4" t="s">
        <v>249</v>
      </c>
      <c r="M198" s="4" t="s">
        <v>21</v>
      </c>
      <c r="N198" s="4"/>
      <c r="O198" s="4"/>
    </row>
    <row r="199" spans="2:15">
      <c r="B199" s="14"/>
      <c r="C199" s="14"/>
      <c r="D199" s="24" t="s">
        <v>263</v>
      </c>
      <c r="E199" s="11">
        <v>0.3</v>
      </c>
      <c r="F199" s="12"/>
      <c r="G199" s="12"/>
      <c r="H199" s="12">
        <v>0.4</v>
      </c>
      <c r="I199" s="13">
        <v>0.2</v>
      </c>
      <c r="J199" s="17">
        <v>2016</v>
      </c>
      <c r="K199" s="20" t="s">
        <v>27</v>
      </c>
      <c r="L199" s="4" t="s">
        <v>24</v>
      </c>
      <c r="M199" s="4" t="s">
        <v>21</v>
      </c>
      <c r="N199" s="4"/>
      <c r="O199" s="4" t="s">
        <v>362</v>
      </c>
    </row>
    <row r="200" spans="2:15">
      <c r="B200" s="14"/>
      <c r="C200" s="14"/>
      <c r="D200" s="24" t="s">
        <v>263</v>
      </c>
      <c r="E200" s="11">
        <v>0.1</v>
      </c>
      <c r="F200" s="12"/>
      <c r="G200" s="12"/>
      <c r="H200" s="12">
        <v>0</v>
      </c>
      <c r="I200" s="13">
        <v>0.2</v>
      </c>
      <c r="J200" s="17">
        <v>2015</v>
      </c>
      <c r="K200" s="20" t="s">
        <v>27</v>
      </c>
      <c r="L200" s="4" t="s">
        <v>24</v>
      </c>
      <c r="M200" s="4" t="s">
        <v>21</v>
      </c>
      <c r="N200" s="4"/>
      <c r="O200" s="4" t="s">
        <v>362</v>
      </c>
    </row>
    <row r="201" spans="2:15">
      <c r="B201" s="14"/>
      <c r="C201" s="14"/>
      <c r="D201" s="24" t="s">
        <v>263</v>
      </c>
      <c r="E201" s="11">
        <v>0.2</v>
      </c>
      <c r="F201" s="12"/>
      <c r="G201" s="12"/>
      <c r="H201" s="12">
        <v>0.5</v>
      </c>
      <c r="I201" s="13">
        <v>0</v>
      </c>
      <c r="J201" s="17">
        <v>2014</v>
      </c>
      <c r="K201" s="20" t="s">
        <v>27</v>
      </c>
      <c r="L201" s="4" t="s">
        <v>24</v>
      </c>
      <c r="M201" s="4" t="s">
        <v>21</v>
      </c>
      <c r="N201" s="4"/>
      <c r="O201" s="4" t="s">
        <v>362</v>
      </c>
    </row>
    <row r="202" spans="2:15">
      <c r="B202" s="14"/>
      <c r="C202" s="14"/>
      <c r="D202" s="24" t="s">
        <v>263</v>
      </c>
      <c r="E202" s="11">
        <v>0.1</v>
      </c>
      <c r="F202" s="12"/>
      <c r="G202" s="12"/>
      <c r="H202" s="12">
        <v>0.2</v>
      </c>
      <c r="I202" s="13">
        <v>0</v>
      </c>
      <c r="J202" s="17">
        <v>2013</v>
      </c>
      <c r="K202" s="20" t="s">
        <v>27</v>
      </c>
      <c r="L202" s="4" t="s">
        <v>24</v>
      </c>
      <c r="M202" s="4" t="s">
        <v>21</v>
      </c>
      <c r="N202" s="4"/>
      <c r="O202" s="4"/>
    </row>
    <row r="203" spans="2:15">
      <c r="B203" s="14"/>
      <c r="C203" s="14"/>
      <c r="D203" s="24" t="s">
        <v>263</v>
      </c>
      <c r="E203" s="11">
        <v>0.4</v>
      </c>
      <c r="F203" s="12"/>
      <c r="G203" s="12"/>
      <c r="H203" s="12">
        <v>0.8</v>
      </c>
      <c r="I203" s="13">
        <v>0</v>
      </c>
      <c r="J203" s="17">
        <v>2012</v>
      </c>
      <c r="K203" s="20" t="s">
        <v>27</v>
      </c>
      <c r="L203" s="4" t="s">
        <v>24</v>
      </c>
      <c r="M203" s="4" t="s">
        <v>21</v>
      </c>
      <c r="N203" s="4"/>
      <c r="O203" s="4"/>
    </row>
    <row r="204" spans="2:15">
      <c r="B204" s="14"/>
      <c r="C204" s="14"/>
      <c r="D204" s="24" t="s">
        <v>263</v>
      </c>
      <c r="E204" s="11">
        <v>0.4</v>
      </c>
      <c r="F204" s="12"/>
      <c r="G204" s="12"/>
      <c r="H204" s="12"/>
      <c r="I204" s="13"/>
      <c r="J204" s="17">
        <v>2010</v>
      </c>
      <c r="K204" s="20" t="s">
        <v>27</v>
      </c>
      <c r="L204" s="4" t="s">
        <v>24</v>
      </c>
      <c r="M204" s="4" t="s">
        <v>21</v>
      </c>
      <c r="N204" s="4"/>
      <c r="O204" s="4"/>
    </row>
    <row r="205" spans="2:15">
      <c r="B205" s="14"/>
      <c r="C205" s="14"/>
      <c r="D205" s="24" t="s">
        <v>263</v>
      </c>
      <c r="E205" s="11">
        <v>0.7</v>
      </c>
      <c r="F205" s="12"/>
      <c r="G205" s="12"/>
      <c r="H205" s="12"/>
      <c r="I205" s="13"/>
      <c r="J205" s="17">
        <v>2008</v>
      </c>
      <c r="K205" s="20" t="s">
        <v>27</v>
      </c>
      <c r="L205" s="4" t="s">
        <v>391</v>
      </c>
      <c r="M205" s="4" t="s">
        <v>51</v>
      </c>
      <c r="N205" s="4"/>
      <c r="O205" s="4"/>
    </row>
    <row r="206" spans="2:15">
      <c r="B206" s="14"/>
      <c r="C206" s="14"/>
      <c r="D206" s="24" t="s">
        <v>264</v>
      </c>
      <c r="E206" s="11">
        <v>2.1</v>
      </c>
      <c r="F206" s="12"/>
      <c r="G206" s="12"/>
      <c r="H206" s="12">
        <v>3</v>
      </c>
      <c r="I206" s="13">
        <v>1.3</v>
      </c>
      <c r="J206" s="17">
        <v>2023</v>
      </c>
      <c r="K206" s="20" t="s">
        <v>265</v>
      </c>
      <c r="L206" s="4" t="s">
        <v>266</v>
      </c>
      <c r="M206" s="4" t="s">
        <v>51</v>
      </c>
      <c r="N206" s="4"/>
      <c r="O206" s="4"/>
    </row>
    <row r="207" spans="2:15">
      <c r="B207" s="14"/>
      <c r="C207" s="14"/>
      <c r="D207" s="24" t="s">
        <v>264</v>
      </c>
      <c r="E207" s="11">
        <v>1.5</v>
      </c>
      <c r="F207" s="12"/>
      <c r="G207" s="12"/>
      <c r="H207" s="12">
        <v>2.2000000000000002</v>
      </c>
      <c r="I207" s="13">
        <v>0.8</v>
      </c>
      <c r="J207" s="17">
        <v>2021</v>
      </c>
      <c r="K207" s="20" t="s">
        <v>27</v>
      </c>
      <c r="L207" s="4" t="s">
        <v>249</v>
      </c>
      <c r="M207" s="4" t="s">
        <v>21</v>
      </c>
      <c r="N207" s="4"/>
      <c r="O207" s="4"/>
    </row>
    <row r="208" spans="2:15">
      <c r="B208" s="14"/>
      <c r="C208" s="14"/>
      <c r="D208" s="24" t="s">
        <v>264</v>
      </c>
      <c r="E208" s="11">
        <v>1.6</v>
      </c>
      <c r="F208" s="12"/>
      <c r="G208" s="12"/>
      <c r="H208" s="12">
        <v>2.6</v>
      </c>
      <c r="I208" s="13">
        <v>0.7</v>
      </c>
      <c r="J208" s="17">
        <v>2017</v>
      </c>
      <c r="K208" s="20" t="s">
        <v>265</v>
      </c>
      <c r="L208" s="4" t="s">
        <v>24</v>
      </c>
      <c r="M208" s="4" t="s">
        <v>21</v>
      </c>
      <c r="N208" s="4"/>
      <c r="O208" s="4"/>
    </row>
    <row r="209" spans="2:15">
      <c r="B209" s="14"/>
      <c r="C209" s="14"/>
      <c r="D209" s="24" t="s">
        <v>264</v>
      </c>
      <c r="E209" s="11">
        <v>0.9</v>
      </c>
      <c r="F209" s="12"/>
      <c r="G209" s="12"/>
      <c r="H209" s="12">
        <v>1.5</v>
      </c>
      <c r="I209" s="13">
        <v>0.5</v>
      </c>
      <c r="J209" s="17">
        <v>2013</v>
      </c>
      <c r="K209" s="20" t="s">
        <v>265</v>
      </c>
      <c r="L209" s="4" t="s">
        <v>24</v>
      </c>
      <c r="M209" s="4" t="s">
        <v>21</v>
      </c>
      <c r="N209" s="4"/>
      <c r="O209" s="4"/>
    </row>
    <row r="210" spans="2:15">
      <c r="B210" s="14"/>
      <c r="C210" s="14"/>
      <c r="D210" s="24" t="s">
        <v>264</v>
      </c>
      <c r="E210" s="11">
        <v>0.9</v>
      </c>
      <c r="F210" s="12"/>
      <c r="G210" s="12"/>
      <c r="H210" s="12"/>
      <c r="I210" s="13"/>
      <c r="J210" s="17">
        <v>2010</v>
      </c>
      <c r="K210" s="20" t="s">
        <v>265</v>
      </c>
      <c r="L210" s="4" t="s">
        <v>24</v>
      </c>
      <c r="M210" s="4" t="s">
        <v>21</v>
      </c>
      <c r="N210" s="4"/>
      <c r="O210" s="4"/>
    </row>
    <row r="211" spans="2:15">
      <c r="B211" s="14"/>
      <c r="C211" s="14"/>
      <c r="D211" s="24" t="s">
        <v>264</v>
      </c>
      <c r="E211" s="11">
        <v>1.4</v>
      </c>
      <c r="F211" s="12"/>
      <c r="G211" s="12"/>
      <c r="H211" s="12"/>
      <c r="I211" s="13"/>
      <c r="J211" s="17">
        <v>2008</v>
      </c>
      <c r="K211" s="20" t="s">
        <v>265</v>
      </c>
      <c r="L211" s="4" t="s">
        <v>24</v>
      </c>
      <c r="M211" s="4" t="s">
        <v>21</v>
      </c>
      <c r="N211" s="4"/>
      <c r="O211" s="4"/>
    </row>
    <row r="212" spans="2:15">
      <c r="B212" s="14"/>
      <c r="C212" s="14"/>
      <c r="D212" s="24" t="s">
        <v>267</v>
      </c>
      <c r="E212" s="11">
        <v>1.03</v>
      </c>
      <c r="F212" s="12"/>
      <c r="G212" s="12"/>
      <c r="H212" s="12">
        <v>1.32</v>
      </c>
      <c r="I212" s="13">
        <v>0.83</v>
      </c>
      <c r="J212" s="17">
        <v>2018</v>
      </c>
      <c r="K212" s="20" t="s">
        <v>265</v>
      </c>
      <c r="L212" s="4" t="s">
        <v>24</v>
      </c>
      <c r="M212" s="4" t="s">
        <v>21</v>
      </c>
      <c r="N212" s="4"/>
      <c r="O212" s="4"/>
    </row>
    <row r="213" spans="2:15">
      <c r="B213" s="14"/>
      <c r="C213" s="14"/>
      <c r="D213" s="24" t="s">
        <v>267</v>
      </c>
      <c r="E213" s="11">
        <v>0.6</v>
      </c>
      <c r="F213" s="12"/>
      <c r="G213" s="12"/>
      <c r="H213" s="12">
        <v>0.8</v>
      </c>
      <c r="I213" s="13">
        <v>0.4</v>
      </c>
      <c r="J213" s="17">
        <v>2008</v>
      </c>
      <c r="K213" s="20" t="s">
        <v>27</v>
      </c>
      <c r="L213" s="4" t="s">
        <v>24</v>
      </c>
      <c r="M213" s="4" t="s">
        <v>21</v>
      </c>
      <c r="N213" s="4"/>
      <c r="O213" s="4"/>
    </row>
    <row r="214" spans="2:15">
      <c r="B214" s="14"/>
      <c r="C214" s="14"/>
      <c r="D214" s="24" t="s">
        <v>267</v>
      </c>
      <c r="E214" s="11">
        <v>0.6</v>
      </c>
      <c r="F214" s="12"/>
      <c r="G214" s="12"/>
      <c r="H214" s="12"/>
      <c r="I214" s="13"/>
      <c r="J214" s="17">
        <v>2003</v>
      </c>
      <c r="K214" s="20" t="s">
        <v>27</v>
      </c>
      <c r="L214" s="4" t="s">
        <v>38</v>
      </c>
      <c r="M214" s="4" t="s">
        <v>51</v>
      </c>
      <c r="N214" s="4"/>
      <c r="O214" s="4"/>
    </row>
    <row r="215" spans="2:15">
      <c r="B215" s="14"/>
      <c r="C215" s="14"/>
      <c r="D215" s="24" t="s">
        <v>268</v>
      </c>
      <c r="E215" s="11">
        <v>1.6</v>
      </c>
      <c r="F215" s="12"/>
      <c r="G215" s="12"/>
      <c r="H215" s="12">
        <v>2.2000000000000002</v>
      </c>
      <c r="I215" s="13">
        <v>1</v>
      </c>
      <c r="J215" s="17">
        <v>2022</v>
      </c>
      <c r="K215" s="20" t="s">
        <v>27</v>
      </c>
      <c r="L215" s="4" t="s">
        <v>24</v>
      </c>
      <c r="M215" s="4" t="s">
        <v>21</v>
      </c>
      <c r="N215" s="4"/>
      <c r="O215" s="4"/>
    </row>
    <row r="216" spans="2:15">
      <c r="B216" s="14"/>
      <c r="C216" s="14"/>
      <c r="D216" s="24" t="s">
        <v>268</v>
      </c>
      <c r="E216" s="11">
        <v>0.9</v>
      </c>
      <c r="F216" s="12"/>
      <c r="G216" s="12"/>
      <c r="H216" s="12">
        <v>1.4</v>
      </c>
      <c r="I216" s="13">
        <v>0.5</v>
      </c>
      <c r="J216" s="17">
        <v>2018</v>
      </c>
      <c r="K216" s="20" t="s">
        <v>27</v>
      </c>
      <c r="L216" s="4" t="s">
        <v>24</v>
      </c>
      <c r="M216" s="4" t="s">
        <v>21</v>
      </c>
      <c r="N216" s="4"/>
      <c r="O216" s="4" t="s">
        <v>362</v>
      </c>
    </row>
    <row r="217" spans="2:15">
      <c r="B217" s="14"/>
      <c r="C217" s="14"/>
      <c r="D217" s="24" t="s">
        <v>268</v>
      </c>
      <c r="E217" s="11">
        <v>0.5</v>
      </c>
      <c r="F217" s="12"/>
      <c r="G217" s="12"/>
      <c r="H217" s="12">
        <v>0.9</v>
      </c>
      <c r="I217" s="13">
        <v>0.1</v>
      </c>
      <c r="J217" s="17">
        <v>2014</v>
      </c>
      <c r="K217" s="20" t="s">
        <v>27</v>
      </c>
      <c r="L217" s="4" t="s">
        <v>24</v>
      </c>
      <c r="M217" s="4" t="s">
        <v>21</v>
      </c>
      <c r="N217" s="4"/>
      <c r="O217" s="4" t="s">
        <v>362</v>
      </c>
    </row>
    <row r="218" spans="2:15">
      <c r="B218" s="14"/>
      <c r="C218" s="14"/>
      <c r="D218" s="24" t="s">
        <v>268</v>
      </c>
      <c r="E218" s="11">
        <v>0.2</v>
      </c>
      <c r="F218" s="12"/>
      <c r="G218" s="12"/>
      <c r="H218" s="12">
        <v>0.3</v>
      </c>
      <c r="I218" s="13">
        <v>0.1</v>
      </c>
      <c r="J218" s="17">
        <v>2010</v>
      </c>
      <c r="K218" s="20" t="s">
        <v>27</v>
      </c>
      <c r="L218" s="4" t="s">
        <v>24</v>
      </c>
      <c r="M218" s="4" t="s">
        <v>21</v>
      </c>
      <c r="N218" s="4"/>
      <c r="O218" s="4"/>
    </row>
    <row r="219" spans="2:15">
      <c r="B219" s="14"/>
      <c r="C219" s="14"/>
      <c r="D219" s="24" t="s">
        <v>268</v>
      </c>
      <c r="E219" s="11">
        <v>0.5</v>
      </c>
      <c r="F219" s="12"/>
      <c r="G219" s="12"/>
      <c r="H219" s="12"/>
      <c r="I219" s="13"/>
      <c r="J219" s="17">
        <v>2006</v>
      </c>
      <c r="K219" s="20" t="s">
        <v>27</v>
      </c>
      <c r="L219" s="4" t="s">
        <v>24</v>
      </c>
      <c r="M219" s="4"/>
      <c r="N219" s="4"/>
      <c r="O219" s="4"/>
    </row>
    <row r="220" spans="2:15">
      <c r="B220" s="14"/>
      <c r="C220" s="14"/>
      <c r="D220" s="24" t="s">
        <v>269</v>
      </c>
      <c r="E220" s="11">
        <v>2.7</v>
      </c>
      <c r="F220" s="12"/>
      <c r="G220" s="12"/>
      <c r="H220" s="12">
        <v>3.9</v>
      </c>
      <c r="I220" s="13">
        <v>1.6</v>
      </c>
      <c r="J220" s="17">
        <v>2023</v>
      </c>
      <c r="K220" s="20" t="s">
        <v>144</v>
      </c>
      <c r="L220" s="4" t="s">
        <v>24</v>
      </c>
      <c r="M220" s="4" t="s">
        <v>51</v>
      </c>
      <c r="N220" s="4"/>
      <c r="O220" s="4" t="s">
        <v>365</v>
      </c>
    </row>
    <row r="221" spans="2:15">
      <c r="B221" s="14"/>
      <c r="C221" s="14"/>
      <c r="D221" s="24" t="s">
        <v>269</v>
      </c>
      <c r="E221" s="11">
        <v>1.7000000000000002</v>
      </c>
      <c r="F221" s="12">
        <v>1.6</v>
      </c>
      <c r="G221" s="12">
        <v>1.8</v>
      </c>
      <c r="H221" s="12">
        <v>2.4500000000000002</v>
      </c>
      <c r="I221" s="13">
        <v>0.95</v>
      </c>
      <c r="J221" s="17">
        <v>2017</v>
      </c>
      <c r="K221" s="20" t="s">
        <v>144</v>
      </c>
      <c r="L221" s="4" t="s">
        <v>176</v>
      </c>
      <c r="M221" s="4" t="s">
        <v>21</v>
      </c>
      <c r="N221" s="4"/>
      <c r="O221" s="4" t="s">
        <v>392</v>
      </c>
    </row>
    <row r="222" spans="2:15">
      <c r="B222" s="14"/>
      <c r="C222" s="14"/>
      <c r="D222" s="24" t="s">
        <v>269</v>
      </c>
      <c r="E222" s="11">
        <v>1.1000000000000001</v>
      </c>
      <c r="F222" s="12"/>
      <c r="G222" s="12"/>
      <c r="H222" s="12">
        <v>1.4</v>
      </c>
      <c r="I222" s="13">
        <v>0.7</v>
      </c>
      <c r="J222" s="17">
        <v>2014</v>
      </c>
      <c r="K222" s="20" t="s">
        <v>27</v>
      </c>
      <c r="L222" s="4" t="s">
        <v>24</v>
      </c>
      <c r="M222" s="4" t="s">
        <v>21</v>
      </c>
      <c r="N222" s="4"/>
      <c r="O222" s="4"/>
    </row>
    <row r="223" spans="2:15">
      <c r="B223" s="14"/>
      <c r="C223" s="14"/>
      <c r="D223" s="24" t="s">
        <v>269</v>
      </c>
      <c r="E223" s="11">
        <v>0.88</v>
      </c>
      <c r="F223" s="12"/>
      <c r="G223" s="12"/>
      <c r="H223" s="12">
        <v>0.88</v>
      </c>
      <c r="I223" s="13">
        <v>0.88</v>
      </c>
      <c r="J223" s="17">
        <v>2010</v>
      </c>
      <c r="K223" s="20" t="s">
        <v>27</v>
      </c>
      <c r="L223" s="4" t="s">
        <v>249</v>
      </c>
      <c r="M223" s="4" t="s">
        <v>21</v>
      </c>
      <c r="N223" s="4"/>
      <c r="O223" s="4"/>
    </row>
    <row r="224" spans="2:15">
      <c r="B224" s="14"/>
      <c r="C224" s="14"/>
      <c r="D224" s="24" t="s">
        <v>269</v>
      </c>
      <c r="E224" s="11">
        <v>0.6</v>
      </c>
      <c r="F224" s="12"/>
      <c r="G224" s="12"/>
      <c r="H224" s="12"/>
      <c r="I224" s="13"/>
      <c r="J224" s="17">
        <v>2005</v>
      </c>
      <c r="K224" s="20" t="s">
        <v>27</v>
      </c>
      <c r="L224" s="4" t="s">
        <v>38</v>
      </c>
      <c r="M224" s="4"/>
      <c r="N224" s="4"/>
      <c r="O224" s="4"/>
    </row>
    <row r="225" spans="2:15">
      <c r="B225" s="14"/>
      <c r="C225" s="14"/>
      <c r="D225" s="24" t="s">
        <v>270</v>
      </c>
      <c r="E225" s="11">
        <v>1.6</v>
      </c>
      <c r="F225" s="12"/>
      <c r="G225" s="12"/>
      <c r="H225" s="12">
        <v>2.1</v>
      </c>
      <c r="I225" s="13">
        <v>1.1000000000000001</v>
      </c>
      <c r="J225" s="17">
        <v>2021</v>
      </c>
      <c r="K225" s="20" t="s">
        <v>144</v>
      </c>
      <c r="L225" s="4" t="s">
        <v>24</v>
      </c>
      <c r="M225" s="4" t="s">
        <v>21</v>
      </c>
      <c r="N225" s="4"/>
      <c r="O225" s="4"/>
    </row>
    <row r="226" spans="2:15">
      <c r="B226" s="14"/>
      <c r="C226" s="14"/>
      <c r="D226" s="24" t="s">
        <v>270</v>
      </c>
      <c r="E226" s="11">
        <v>1.1200000000000001</v>
      </c>
      <c r="F226" s="12"/>
      <c r="G226" s="12"/>
      <c r="H226" s="12">
        <v>1.41</v>
      </c>
      <c r="I226" s="13">
        <v>0.82</v>
      </c>
      <c r="J226" s="17">
        <v>2018</v>
      </c>
      <c r="K226" s="20" t="s">
        <v>144</v>
      </c>
      <c r="L226" s="4" t="s">
        <v>24</v>
      </c>
      <c r="M226" s="4" t="s">
        <v>21</v>
      </c>
      <c r="N226" s="4"/>
      <c r="O226" s="4"/>
    </row>
    <row r="227" spans="2:15">
      <c r="B227" s="14"/>
      <c r="C227" s="14"/>
      <c r="D227" s="24" t="s">
        <v>270</v>
      </c>
      <c r="E227" s="11">
        <v>0.6</v>
      </c>
      <c r="F227" s="12">
        <v>0.4</v>
      </c>
      <c r="G227" s="12">
        <v>0.9</v>
      </c>
      <c r="H227" s="12">
        <v>0.8</v>
      </c>
      <c r="I227" s="13">
        <v>0.5</v>
      </c>
      <c r="J227" s="17">
        <v>2015</v>
      </c>
      <c r="K227" s="20" t="s">
        <v>144</v>
      </c>
      <c r="L227" s="4" t="s">
        <v>271</v>
      </c>
      <c r="M227" s="4" t="s">
        <v>21</v>
      </c>
      <c r="N227" s="4"/>
      <c r="O227" s="4" t="s">
        <v>390</v>
      </c>
    </row>
    <row r="228" spans="2:15">
      <c r="B228" s="14"/>
      <c r="C228" s="14"/>
      <c r="D228" s="24" t="s">
        <v>270</v>
      </c>
      <c r="E228" s="11">
        <v>0.8</v>
      </c>
      <c r="F228" s="12"/>
      <c r="G228" s="12"/>
      <c r="H228" s="12">
        <v>1.3</v>
      </c>
      <c r="I228" s="13">
        <v>0.3</v>
      </c>
      <c r="J228" s="17">
        <v>2012</v>
      </c>
      <c r="K228" s="20" t="s">
        <v>144</v>
      </c>
      <c r="L228" s="4" t="s">
        <v>24</v>
      </c>
      <c r="M228" s="4" t="s">
        <v>21</v>
      </c>
      <c r="N228" s="4"/>
      <c r="O228" s="4" t="s">
        <v>393</v>
      </c>
    </row>
    <row r="229" spans="2:15">
      <c r="B229" s="14"/>
      <c r="C229" s="14"/>
      <c r="D229" s="24" t="s">
        <v>270</v>
      </c>
      <c r="E229" s="11">
        <v>0.8</v>
      </c>
      <c r="F229" s="12"/>
      <c r="G229" s="12"/>
      <c r="H229" s="12">
        <v>1.2</v>
      </c>
      <c r="I229" s="13">
        <v>0.4</v>
      </c>
      <c r="J229" s="17">
        <v>2009</v>
      </c>
      <c r="K229" s="20" t="s">
        <v>144</v>
      </c>
      <c r="L229" s="4" t="s">
        <v>24</v>
      </c>
      <c r="M229" s="4" t="s">
        <v>21</v>
      </c>
      <c r="N229" s="4"/>
      <c r="O229" s="4"/>
    </row>
    <row r="230" spans="2:15">
      <c r="B230" s="14"/>
      <c r="C230" s="14"/>
      <c r="D230" s="24" t="s">
        <v>270</v>
      </c>
      <c r="E230" s="11">
        <v>0.7</v>
      </c>
      <c r="F230" s="12"/>
      <c r="G230" s="12"/>
      <c r="H230" s="12"/>
      <c r="I230" s="13"/>
      <c r="J230" s="17">
        <v>2006</v>
      </c>
      <c r="K230" s="20" t="s">
        <v>144</v>
      </c>
      <c r="L230" s="4" t="s">
        <v>125</v>
      </c>
      <c r="M230" s="4" t="s">
        <v>51</v>
      </c>
      <c r="N230" s="4"/>
      <c r="O230" s="4"/>
    </row>
    <row r="231" spans="2:15">
      <c r="B231" s="14"/>
      <c r="C231" s="14"/>
      <c r="D231" s="24" t="s">
        <v>272</v>
      </c>
      <c r="E231" s="11">
        <v>0.4</v>
      </c>
      <c r="F231" s="12"/>
      <c r="G231" s="12"/>
      <c r="H231" s="12">
        <v>0.5</v>
      </c>
      <c r="I231" s="13">
        <v>0.3</v>
      </c>
      <c r="J231" s="17">
        <v>2015</v>
      </c>
      <c r="K231" s="20" t="s">
        <v>144</v>
      </c>
      <c r="L231" s="4" t="s">
        <v>24</v>
      </c>
      <c r="M231" s="4" t="s">
        <v>21</v>
      </c>
      <c r="N231" s="4"/>
      <c r="O231" s="4"/>
    </row>
    <row r="232" spans="2:15">
      <c r="B232" s="14"/>
      <c r="C232" s="14"/>
      <c r="D232" s="24" t="s">
        <v>272</v>
      </c>
      <c r="E232" s="11">
        <v>0.1</v>
      </c>
      <c r="F232" s="12"/>
      <c r="G232" s="12"/>
      <c r="H232" s="12">
        <v>0.1</v>
      </c>
      <c r="I232" s="13">
        <v>0.1</v>
      </c>
      <c r="J232" s="17">
        <v>2004</v>
      </c>
      <c r="K232" s="20" t="s">
        <v>27</v>
      </c>
      <c r="L232" s="4" t="s">
        <v>249</v>
      </c>
      <c r="M232" s="4"/>
      <c r="N232" s="4"/>
      <c r="O232" s="4"/>
    </row>
    <row r="233" spans="2:15">
      <c r="B233" s="14"/>
      <c r="C233" s="14"/>
      <c r="D233" s="24" t="s">
        <v>273</v>
      </c>
      <c r="E233" s="11">
        <v>0.3</v>
      </c>
      <c r="F233" s="12"/>
      <c r="G233" s="12"/>
      <c r="H233" s="12">
        <v>0.5</v>
      </c>
      <c r="I233" s="13">
        <v>0.3</v>
      </c>
      <c r="J233" s="17">
        <v>2019</v>
      </c>
      <c r="K233" s="20" t="s">
        <v>144</v>
      </c>
      <c r="L233" s="4" t="s">
        <v>24</v>
      </c>
      <c r="M233" s="4" t="s">
        <v>21</v>
      </c>
      <c r="N233" s="4"/>
      <c r="O233" s="4" t="s">
        <v>394</v>
      </c>
    </row>
    <row r="234" spans="2:15">
      <c r="B234" s="14"/>
      <c r="C234" s="14"/>
      <c r="D234" s="24" t="s">
        <v>273</v>
      </c>
      <c r="E234" s="11">
        <v>0.31</v>
      </c>
      <c r="F234" s="12"/>
      <c r="G234" s="12"/>
      <c r="H234" s="12">
        <v>0.5</v>
      </c>
      <c r="I234" s="13">
        <v>0.14000000000000001</v>
      </c>
      <c r="J234" s="17">
        <v>2015</v>
      </c>
      <c r="K234" s="20" t="s">
        <v>144</v>
      </c>
      <c r="L234" s="4" t="s">
        <v>24</v>
      </c>
      <c r="M234" s="4" t="s">
        <v>21</v>
      </c>
      <c r="N234" s="4"/>
      <c r="O234" s="4"/>
    </row>
    <row r="235" spans="2:15">
      <c r="B235" s="14"/>
      <c r="C235" s="14"/>
      <c r="D235" s="24" t="s">
        <v>273</v>
      </c>
      <c r="E235" s="11">
        <v>0.2</v>
      </c>
      <c r="F235" s="12">
        <v>0</v>
      </c>
      <c r="G235" s="12">
        <v>0.4</v>
      </c>
      <c r="H235" s="12"/>
      <c r="I235" s="13"/>
      <c r="J235" s="17">
        <v>2007</v>
      </c>
      <c r="K235" s="20" t="s">
        <v>144</v>
      </c>
      <c r="L235" s="4" t="s">
        <v>24</v>
      </c>
      <c r="M235" s="4" t="s">
        <v>21</v>
      </c>
      <c r="N235" s="4"/>
      <c r="O235" s="4"/>
    </row>
    <row r="236" spans="2:15">
      <c r="B236" s="14"/>
      <c r="C236" s="14"/>
      <c r="D236" s="24" t="s">
        <v>274</v>
      </c>
      <c r="E236" s="11">
        <v>1.06</v>
      </c>
      <c r="F236" s="12">
        <v>0.28999999999999998</v>
      </c>
      <c r="G236" s="12">
        <v>1.83</v>
      </c>
      <c r="H236" s="12"/>
      <c r="I236" s="13"/>
      <c r="J236" s="17">
        <v>2015</v>
      </c>
      <c r="K236" s="20" t="s">
        <v>27</v>
      </c>
      <c r="L236" s="4" t="s">
        <v>238</v>
      </c>
      <c r="M236" s="4" t="s">
        <v>44</v>
      </c>
      <c r="N236" s="4" t="s">
        <v>33</v>
      </c>
      <c r="O236" s="4"/>
    </row>
    <row r="237" spans="2:15">
      <c r="B237" s="14"/>
      <c r="C237" s="14"/>
      <c r="D237" s="24" t="s">
        <v>274</v>
      </c>
      <c r="E237" s="11">
        <v>0.92</v>
      </c>
      <c r="F237" s="12">
        <v>0.35</v>
      </c>
      <c r="G237" s="12">
        <v>1.5</v>
      </c>
      <c r="H237" s="12"/>
      <c r="I237" s="13"/>
      <c r="J237" s="17">
        <v>2011</v>
      </c>
      <c r="K237" s="20" t="s">
        <v>27</v>
      </c>
      <c r="L237" s="4" t="s">
        <v>234</v>
      </c>
      <c r="M237" s="4" t="s">
        <v>44</v>
      </c>
      <c r="N237" s="4" t="s">
        <v>33</v>
      </c>
      <c r="O237" s="4"/>
    </row>
    <row r="238" spans="2:15">
      <c r="B238" s="14"/>
      <c r="C238" s="14"/>
      <c r="D238" s="24" t="s">
        <v>274</v>
      </c>
      <c r="E238" s="11">
        <v>0.88</v>
      </c>
      <c r="F238" s="12">
        <v>0.87</v>
      </c>
      <c r="G238" s="12">
        <v>0.89</v>
      </c>
      <c r="H238" s="12"/>
      <c r="I238" s="13"/>
      <c r="J238" s="17">
        <v>2007</v>
      </c>
      <c r="K238" s="20" t="s">
        <v>27</v>
      </c>
      <c r="L238" s="4" t="s">
        <v>241</v>
      </c>
      <c r="M238" s="4" t="s">
        <v>74</v>
      </c>
      <c r="N238" s="4" t="s">
        <v>75</v>
      </c>
      <c r="O238" s="4"/>
    </row>
    <row r="239" spans="2:15">
      <c r="B239" s="14"/>
      <c r="C239" s="14"/>
      <c r="D239" s="24" t="s">
        <v>276</v>
      </c>
      <c r="E239" s="11">
        <v>2.4</v>
      </c>
      <c r="F239" s="12">
        <v>2.2999999999999998</v>
      </c>
      <c r="G239" s="12">
        <v>2.5</v>
      </c>
      <c r="H239" s="12"/>
      <c r="I239" s="13"/>
      <c r="J239" s="17">
        <v>2019</v>
      </c>
      <c r="K239" s="20" t="s">
        <v>27</v>
      </c>
      <c r="L239" s="4" t="s">
        <v>122</v>
      </c>
      <c r="M239" s="4" t="s">
        <v>21</v>
      </c>
      <c r="N239" s="4"/>
      <c r="O239" s="4" t="s">
        <v>392</v>
      </c>
    </row>
    <row r="240" spans="2:15">
      <c r="B240" s="14"/>
      <c r="C240" s="14"/>
      <c r="D240" s="24" t="s">
        <v>276</v>
      </c>
      <c r="E240" s="11">
        <v>1.5</v>
      </c>
      <c r="F240" s="12"/>
      <c r="G240" s="12"/>
      <c r="H240" s="12">
        <v>2.6</v>
      </c>
      <c r="I240" s="13">
        <v>0.5</v>
      </c>
      <c r="J240" s="17">
        <v>2015</v>
      </c>
      <c r="K240" s="20" t="s">
        <v>27</v>
      </c>
      <c r="L240" s="4" t="s">
        <v>24</v>
      </c>
      <c r="M240" s="4" t="s">
        <v>21</v>
      </c>
      <c r="N240" s="4"/>
      <c r="O240" s="4" t="s">
        <v>395</v>
      </c>
    </row>
    <row r="241" spans="2:15">
      <c r="B241" s="14"/>
      <c r="C241" s="14"/>
      <c r="D241" s="24" t="s">
        <v>276</v>
      </c>
      <c r="E241" s="11">
        <v>1.5</v>
      </c>
      <c r="F241" s="12"/>
      <c r="G241" s="12"/>
      <c r="H241" s="12">
        <v>2.2999999999999998</v>
      </c>
      <c r="I241" s="13">
        <v>0.7</v>
      </c>
      <c r="J241" s="17">
        <v>2011</v>
      </c>
      <c r="K241" s="20" t="s">
        <v>27</v>
      </c>
      <c r="L241" s="4" t="s">
        <v>24</v>
      </c>
      <c r="M241" s="4" t="s">
        <v>21</v>
      </c>
      <c r="N241" s="4"/>
      <c r="O241" s="4"/>
    </row>
    <row r="242" spans="2:15">
      <c r="B242" s="14"/>
      <c r="C242" s="14"/>
      <c r="D242" s="24" t="s">
        <v>276</v>
      </c>
      <c r="E242" s="11">
        <v>1.7</v>
      </c>
      <c r="F242" s="12"/>
      <c r="G242" s="12"/>
      <c r="H242" s="12"/>
      <c r="I242" s="13"/>
      <c r="J242" s="17">
        <v>2007</v>
      </c>
      <c r="K242" s="20" t="s">
        <v>27</v>
      </c>
      <c r="L242" s="4" t="s">
        <v>125</v>
      </c>
      <c r="M242" s="4" t="s">
        <v>51</v>
      </c>
      <c r="N242" s="4"/>
      <c r="O242" s="4"/>
    </row>
    <row r="243" spans="2:15">
      <c r="B243" s="14"/>
      <c r="C243" s="14"/>
      <c r="D243" s="24" t="s">
        <v>278</v>
      </c>
      <c r="E243" s="11">
        <v>1.4</v>
      </c>
      <c r="F243" s="12"/>
      <c r="G243" s="12"/>
      <c r="H243" s="12">
        <v>1.9</v>
      </c>
      <c r="I243" s="13">
        <v>0.9</v>
      </c>
      <c r="J243" s="17">
        <v>2022</v>
      </c>
      <c r="K243" s="20" t="s">
        <v>144</v>
      </c>
      <c r="L243" s="4" t="s">
        <v>24</v>
      </c>
      <c r="M243" s="4" t="s">
        <v>21</v>
      </c>
      <c r="N243" s="4"/>
      <c r="O243" s="4"/>
    </row>
    <row r="244" spans="2:15">
      <c r="B244" s="14"/>
      <c r="C244" s="14"/>
      <c r="D244" s="24" t="s">
        <v>278</v>
      </c>
      <c r="E244" s="11">
        <v>1.21</v>
      </c>
      <c r="F244" s="12"/>
      <c r="G244" s="12"/>
      <c r="H244" s="12">
        <v>1.46</v>
      </c>
      <c r="I244" s="13">
        <v>0.95</v>
      </c>
      <c r="J244" s="17">
        <v>2017</v>
      </c>
      <c r="K244" s="20" t="s">
        <v>27</v>
      </c>
      <c r="L244" s="4" t="s">
        <v>24</v>
      </c>
      <c r="M244" s="4" t="s">
        <v>21</v>
      </c>
      <c r="N244" s="4"/>
      <c r="O244" s="4"/>
    </row>
    <row r="245" spans="2:15">
      <c r="B245" s="14"/>
      <c r="C245" s="14"/>
      <c r="D245" s="24" t="s">
        <v>278</v>
      </c>
      <c r="E245" s="11">
        <v>1.1000000000000001</v>
      </c>
      <c r="F245" s="12"/>
      <c r="G245" s="12"/>
      <c r="H245" s="12">
        <v>1.4</v>
      </c>
      <c r="I245" s="13">
        <v>0.7</v>
      </c>
      <c r="J245" s="17">
        <v>2013</v>
      </c>
      <c r="K245" s="20" t="s">
        <v>27</v>
      </c>
      <c r="L245" s="4" t="s">
        <v>24</v>
      </c>
      <c r="M245" s="4" t="s">
        <v>21</v>
      </c>
      <c r="N245" s="4"/>
      <c r="O245" s="4" t="s">
        <v>279</v>
      </c>
    </row>
    <row r="246" spans="2:15">
      <c r="B246" s="14"/>
      <c r="C246" s="14"/>
      <c r="D246" s="24" t="s">
        <v>278</v>
      </c>
      <c r="E246" s="11">
        <v>0.6</v>
      </c>
      <c r="F246" s="12"/>
      <c r="G246" s="12"/>
      <c r="H246" s="12">
        <v>1.01</v>
      </c>
      <c r="I246" s="13">
        <v>0.25</v>
      </c>
      <c r="J246" s="17">
        <v>2012</v>
      </c>
      <c r="K246" s="20" t="s">
        <v>27</v>
      </c>
      <c r="L246" s="4" t="s">
        <v>24</v>
      </c>
      <c r="M246" s="4" t="s">
        <v>21</v>
      </c>
      <c r="N246" s="4"/>
      <c r="O246" s="4"/>
    </row>
    <row r="247" spans="2:15">
      <c r="B247" s="14"/>
      <c r="C247" s="14"/>
      <c r="D247" s="24" t="s">
        <v>278</v>
      </c>
      <c r="E247" s="11">
        <v>2.1</v>
      </c>
      <c r="F247" s="12"/>
      <c r="G247" s="12"/>
      <c r="H247" s="12"/>
      <c r="I247" s="13"/>
      <c r="J247" s="17">
        <v>2008</v>
      </c>
      <c r="K247" s="20" t="s">
        <v>27</v>
      </c>
      <c r="L247" s="4" t="s">
        <v>249</v>
      </c>
      <c r="M247" s="4" t="s">
        <v>21</v>
      </c>
      <c r="N247" s="4"/>
      <c r="O247" s="4"/>
    </row>
    <row r="248" spans="2:15">
      <c r="B248" s="14"/>
      <c r="C248" s="14"/>
      <c r="D248" s="24" t="s">
        <v>278</v>
      </c>
      <c r="E248" s="11">
        <v>2.1</v>
      </c>
      <c r="F248" s="12"/>
      <c r="G248" s="12"/>
      <c r="H248" s="12"/>
      <c r="I248" s="13"/>
      <c r="J248" s="17">
        <v>2005</v>
      </c>
      <c r="K248" s="20" t="s">
        <v>27</v>
      </c>
      <c r="L248" s="4" t="s">
        <v>259</v>
      </c>
      <c r="M248" s="4" t="s">
        <v>51</v>
      </c>
      <c r="N248" s="4"/>
      <c r="O248" s="4"/>
    </row>
    <row r="249" spans="2:15">
      <c r="B249" s="14"/>
      <c r="C249" s="14"/>
      <c r="D249" s="24" t="s">
        <v>280</v>
      </c>
      <c r="E249" s="11">
        <v>1.3</v>
      </c>
      <c r="F249" s="12"/>
      <c r="G249" s="12"/>
      <c r="H249" s="12">
        <v>1.7</v>
      </c>
      <c r="I249" s="13">
        <v>0.9</v>
      </c>
      <c r="J249" s="17">
        <v>2020</v>
      </c>
      <c r="K249" s="20" t="s">
        <v>27</v>
      </c>
      <c r="L249" s="4" t="s">
        <v>24</v>
      </c>
      <c r="M249" s="4" t="s">
        <v>21</v>
      </c>
      <c r="N249" s="4"/>
      <c r="O249" s="4" t="s">
        <v>365</v>
      </c>
    </row>
    <row r="250" spans="2:15">
      <c r="B250" s="14"/>
      <c r="C250" s="14"/>
      <c r="D250" s="24" t="s">
        <v>280</v>
      </c>
      <c r="E250" s="11">
        <v>0.5</v>
      </c>
      <c r="F250" s="12"/>
      <c r="G250" s="12"/>
      <c r="H250" s="12">
        <v>0.8</v>
      </c>
      <c r="I250" s="13">
        <v>0.3</v>
      </c>
      <c r="J250" s="17">
        <v>2015</v>
      </c>
      <c r="K250" s="20" t="s">
        <v>27</v>
      </c>
      <c r="L250" s="4" t="s">
        <v>24</v>
      </c>
      <c r="M250" s="4" t="s">
        <v>21</v>
      </c>
      <c r="N250" s="4"/>
      <c r="O250" s="4" t="s">
        <v>396</v>
      </c>
    </row>
    <row r="251" spans="2:15">
      <c r="B251" s="14"/>
      <c r="C251" s="14"/>
      <c r="D251" s="24" t="s">
        <v>280</v>
      </c>
      <c r="E251" s="11">
        <v>0.2</v>
      </c>
      <c r="F251" s="12"/>
      <c r="G251" s="12"/>
      <c r="H251" s="12">
        <v>0.4</v>
      </c>
      <c r="I251" s="13">
        <v>0.1</v>
      </c>
      <c r="J251" s="17">
        <v>2011</v>
      </c>
      <c r="K251" s="20" t="s">
        <v>27</v>
      </c>
      <c r="L251" s="4" t="s">
        <v>24</v>
      </c>
      <c r="M251" s="4" t="s">
        <v>21</v>
      </c>
      <c r="N251" s="4"/>
      <c r="O251" s="4"/>
    </row>
    <row r="252" spans="2:15">
      <c r="B252" s="14"/>
      <c r="C252" s="14"/>
      <c r="D252" s="24" t="s">
        <v>280</v>
      </c>
      <c r="E252" s="11">
        <v>0.5</v>
      </c>
      <c r="F252" s="12"/>
      <c r="G252" s="12"/>
      <c r="H252" s="12"/>
      <c r="I252" s="13"/>
      <c r="J252" s="17">
        <v>2007</v>
      </c>
      <c r="K252" s="20" t="s">
        <v>27</v>
      </c>
      <c r="L252" s="4" t="s">
        <v>38</v>
      </c>
      <c r="M252" s="4" t="s">
        <v>51</v>
      </c>
      <c r="N252" s="4"/>
      <c r="O252" s="4"/>
    </row>
    <row r="253" spans="2:15">
      <c r="B253" s="14"/>
      <c r="C253" s="14"/>
      <c r="D253" s="24" t="s">
        <v>281</v>
      </c>
      <c r="E253" s="11">
        <v>0.6</v>
      </c>
      <c r="F253" s="12"/>
      <c r="G253" s="12"/>
      <c r="H253" s="12">
        <v>1.2</v>
      </c>
      <c r="I253" s="13">
        <v>0</v>
      </c>
      <c r="J253" s="17">
        <v>2021</v>
      </c>
      <c r="K253" s="20" t="s">
        <v>27</v>
      </c>
      <c r="L253" s="4" t="s">
        <v>24</v>
      </c>
      <c r="M253" s="4" t="s">
        <v>21</v>
      </c>
      <c r="N253" s="4"/>
      <c r="O253" s="4"/>
    </row>
    <row r="254" spans="2:15">
      <c r="B254" s="14"/>
      <c r="C254" s="14"/>
      <c r="D254" s="24" t="s">
        <v>281</v>
      </c>
      <c r="E254" s="11">
        <v>0.1</v>
      </c>
      <c r="F254" s="12"/>
      <c r="G254" s="12"/>
      <c r="H254" s="12">
        <v>0.3</v>
      </c>
      <c r="I254" s="13">
        <v>0.04</v>
      </c>
      <c r="J254" s="17">
        <v>2016</v>
      </c>
      <c r="K254" s="20" t="s">
        <v>27</v>
      </c>
      <c r="L254" s="4" t="s">
        <v>24</v>
      </c>
      <c r="M254" s="4" t="s">
        <v>21</v>
      </c>
      <c r="N254" s="4"/>
      <c r="O254" s="4"/>
    </row>
    <row r="255" spans="2:15">
      <c r="B255" s="14"/>
      <c r="C255" s="14"/>
      <c r="D255" s="24" t="s">
        <v>281</v>
      </c>
      <c r="E255" s="11">
        <v>0.2</v>
      </c>
      <c r="F255" s="12"/>
      <c r="G255" s="12"/>
      <c r="H255" s="12">
        <v>0.3</v>
      </c>
      <c r="I255" s="13">
        <v>0</v>
      </c>
      <c r="J255" s="17">
        <v>2012</v>
      </c>
      <c r="K255" s="20" t="s">
        <v>27</v>
      </c>
      <c r="L255" s="4" t="s">
        <v>24</v>
      </c>
      <c r="M255" s="4" t="s">
        <v>21</v>
      </c>
      <c r="N255" s="4"/>
      <c r="O255" s="4"/>
    </row>
    <row r="256" spans="2:15">
      <c r="B256" s="14"/>
      <c r="C256" s="14"/>
      <c r="D256" s="24" t="s">
        <v>281</v>
      </c>
      <c r="E256" s="11">
        <v>0.2</v>
      </c>
      <c r="F256" s="12"/>
      <c r="G256" s="12"/>
      <c r="H256" s="12"/>
      <c r="I256" s="13"/>
      <c r="J256" s="17">
        <v>2008</v>
      </c>
      <c r="K256" s="20" t="s">
        <v>27</v>
      </c>
      <c r="L256" s="4" t="s">
        <v>24</v>
      </c>
      <c r="M256" s="4" t="s">
        <v>21</v>
      </c>
      <c r="N256" s="4"/>
      <c r="O256" s="4"/>
    </row>
    <row r="257" spans="2:15">
      <c r="B257" s="14"/>
      <c r="C257" s="14"/>
      <c r="D257" s="24" t="s">
        <v>281</v>
      </c>
      <c r="E257" s="11">
        <v>0.3</v>
      </c>
      <c r="F257" s="12"/>
      <c r="G257" s="12"/>
      <c r="H257" s="12"/>
      <c r="I257" s="13"/>
      <c r="J257" s="17">
        <v>2004</v>
      </c>
      <c r="K257" s="20" t="s">
        <v>27</v>
      </c>
      <c r="L257" s="4" t="s">
        <v>38</v>
      </c>
      <c r="M257" s="4"/>
      <c r="N257" s="4" t="s">
        <v>207</v>
      </c>
      <c r="O257" s="4"/>
    </row>
    <row r="258" spans="2:15">
      <c r="B258" s="14"/>
      <c r="C258" s="14"/>
      <c r="D258" s="24" t="s">
        <v>282</v>
      </c>
      <c r="E258" s="11">
        <v>0.5</v>
      </c>
      <c r="F258" s="12"/>
      <c r="G258" s="12"/>
      <c r="H258" s="12">
        <v>0.7</v>
      </c>
      <c r="I258" s="13">
        <v>0.3</v>
      </c>
      <c r="J258" s="17">
        <v>2019</v>
      </c>
      <c r="K258" s="20" t="s">
        <v>27</v>
      </c>
      <c r="L258" s="4" t="s">
        <v>283</v>
      </c>
      <c r="M258" s="4" t="s">
        <v>21</v>
      </c>
      <c r="N258" s="4"/>
      <c r="O258" s="4"/>
    </row>
    <row r="259" spans="2:15">
      <c r="B259" s="14"/>
      <c r="C259" s="14"/>
      <c r="D259" s="24" t="s">
        <v>282</v>
      </c>
      <c r="E259" s="11">
        <v>0.4</v>
      </c>
      <c r="F259" s="12"/>
      <c r="G259" s="12"/>
      <c r="H259" s="12">
        <v>0.8</v>
      </c>
      <c r="I259" s="13">
        <v>0.1</v>
      </c>
      <c r="J259" s="17">
        <v>2014</v>
      </c>
      <c r="K259" s="20" t="s">
        <v>27</v>
      </c>
      <c r="L259" s="4" t="s">
        <v>283</v>
      </c>
      <c r="M259" s="4" t="s">
        <v>21</v>
      </c>
      <c r="N259" s="4"/>
      <c r="O259" s="4"/>
    </row>
    <row r="260" spans="2:15">
      <c r="B260" s="14"/>
      <c r="C260" s="14"/>
      <c r="D260" s="24" t="s">
        <v>284</v>
      </c>
      <c r="E260" s="11">
        <v>0.5</v>
      </c>
      <c r="F260" s="12"/>
      <c r="G260" s="12"/>
      <c r="H260" s="12"/>
      <c r="I260" s="13"/>
      <c r="J260" s="17">
        <v>2013</v>
      </c>
      <c r="K260" s="20" t="s">
        <v>27</v>
      </c>
      <c r="L260" s="4" t="s">
        <v>24</v>
      </c>
      <c r="M260" s="4" t="s">
        <v>21</v>
      </c>
      <c r="N260" s="4"/>
      <c r="O260" s="4"/>
    </row>
    <row r="261" spans="2:15">
      <c r="B261" s="14"/>
      <c r="C261" s="14"/>
      <c r="D261" s="24" t="s">
        <v>284</v>
      </c>
      <c r="E261" s="11">
        <v>1.78</v>
      </c>
      <c r="F261" s="12">
        <v>0.69</v>
      </c>
      <c r="G261" s="12">
        <v>2.86</v>
      </c>
      <c r="H261" s="12"/>
      <c r="I261" s="13"/>
      <c r="J261" s="17">
        <v>2011</v>
      </c>
      <c r="K261" s="20" t="s">
        <v>27</v>
      </c>
      <c r="L261" s="4" t="s">
        <v>234</v>
      </c>
      <c r="M261" s="4" t="s">
        <v>44</v>
      </c>
      <c r="N261" s="4" t="s">
        <v>33</v>
      </c>
      <c r="O261" s="4"/>
    </row>
    <row r="262" spans="2:15">
      <c r="B262" s="14"/>
      <c r="C262" s="14"/>
      <c r="D262" s="24" t="s">
        <v>284</v>
      </c>
      <c r="E262" s="11">
        <v>1.1100000000000001</v>
      </c>
      <c r="F262" s="12">
        <v>1.07</v>
      </c>
      <c r="G262" s="12">
        <v>1.1499999999999999</v>
      </c>
      <c r="H262" s="12"/>
      <c r="I262" s="13"/>
      <c r="J262" s="17">
        <v>2007</v>
      </c>
      <c r="K262" s="20" t="s">
        <v>202</v>
      </c>
      <c r="L262" s="4" t="s">
        <v>241</v>
      </c>
      <c r="M262" s="4" t="s">
        <v>74</v>
      </c>
      <c r="N262" s="4" t="s">
        <v>75</v>
      </c>
      <c r="O262" s="4"/>
    </row>
    <row r="263" spans="2:15">
      <c r="B263" s="14"/>
      <c r="C263" s="14"/>
      <c r="D263" s="24" t="s">
        <v>286</v>
      </c>
      <c r="E263" s="11">
        <v>2.7</v>
      </c>
      <c r="F263" s="12"/>
      <c r="G263" s="12"/>
      <c r="H263" s="12">
        <v>4.0999999999999996</v>
      </c>
      <c r="I263" s="13">
        <v>1.4</v>
      </c>
      <c r="J263" s="17">
        <v>2023</v>
      </c>
      <c r="K263" s="20" t="s">
        <v>27</v>
      </c>
      <c r="L263" s="4" t="s">
        <v>38</v>
      </c>
      <c r="M263" s="4" t="s">
        <v>21</v>
      </c>
      <c r="N263" s="4"/>
      <c r="O263" s="4"/>
    </row>
    <row r="264" spans="2:15">
      <c r="B264" s="14"/>
      <c r="C264" s="14"/>
      <c r="D264" s="24" t="s">
        <v>286</v>
      </c>
      <c r="E264" s="11">
        <v>3</v>
      </c>
      <c r="F264" s="12"/>
      <c r="G264" s="12"/>
      <c r="H264" s="12">
        <v>4.2</v>
      </c>
      <c r="I264" s="13">
        <v>1.9</v>
      </c>
      <c r="J264" s="17">
        <v>2022</v>
      </c>
      <c r="K264" s="20" t="s">
        <v>27</v>
      </c>
      <c r="L264" s="4" t="s">
        <v>24</v>
      </c>
      <c r="M264" s="4" t="s">
        <v>21</v>
      </c>
      <c r="N264" s="4"/>
      <c r="O264" s="4"/>
    </row>
    <row r="265" spans="2:15">
      <c r="B265" s="14"/>
      <c r="C265" s="14"/>
      <c r="D265" s="24" t="s">
        <v>286</v>
      </c>
      <c r="E265" s="11">
        <v>2.5</v>
      </c>
      <c r="F265" s="12"/>
      <c r="G265" s="12"/>
      <c r="H265" s="12">
        <v>3.4</v>
      </c>
      <c r="I265" s="13">
        <v>1.6</v>
      </c>
      <c r="J265" s="17">
        <v>2021</v>
      </c>
      <c r="K265" s="20" t="s">
        <v>27</v>
      </c>
      <c r="L265" s="4" t="s">
        <v>24</v>
      </c>
      <c r="M265" s="4" t="s">
        <v>21</v>
      </c>
      <c r="N265" s="4"/>
      <c r="O265" s="4"/>
    </row>
    <row r="266" spans="2:15">
      <c r="B266" s="14"/>
      <c r="C266" s="14"/>
      <c r="D266" s="24" t="s">
        <v>286</v>
      </c>
      <c r="E266" s="11">
        <v>2.1</v>
      </c>
      <c r="F266" s="12"/>
      <c r="G266" s="12"/>
      <c r="H266" s="12">
        <v>2.5</v>
      </c>
      <c r="I266" s="13">
        <v>1.7</v>
      </c>
      <c r="J266" s="17">
        <v>2020</v>
      </c>
      <c r="K266" s="20" t="s">
        <v>27</v>
      </c>
      <c r="L266" s="4" t="s">
        <v>24</v>
      </c>
      <c r="M266" s="4" t="s">
        <v>21</v>
      </c>
      <c r="N266" s="4"/>
      <c r="O266" s="4"/>
    </row>
    <row r="267" spans="2:15">
      <c r="B267" s="14"/>
      <c r="C267" s="14"/>
      <c r="D267" s="24" t="s">
        <v>286</v>
      </c>
      <c r="E267" s="11">
        <v>2.2999999999999998</v>
      </c>
      <c r="F267" s="12"/>
      <c r="G267" s="12"/>
      <c r="H267" s="12">
        <v>3.4</v>
      </c>
      <c r="I267" s="13">
        <v>1.3</v>
      </c>
      <c r="J267" s="17">
        <v>2019</v>
      </c>
      <c r="K267" s="20" t="s">
        <v>27</v>
      </c>
      <c r="L267" s="4" t="s">
        <v>249</v>
      </c>
      <c r="M267" s="4" t="s">
        <v>21</v>
      </c>
      <c r="N267" s="4"/>
      <c r="O267" s="4"/>
    </row>
    <row r="268" spans="2:15">
      <c r="B268" s="14"/>
      <c r="C268" s="14"/>
      <c r="D268" s="24" t="s">
        <v>286</v>
      </c>
      <c r="E268" s="11">
        <v>2</v>
      </c>
      <c r="F268" s="12"/>
      <c r="G268" s="12"/>
      <c r="H268" s="12">
        <v>2.7</v>
      </c>
      <c r="I268" s="13">
        <v>1.3</v>
      </c>
      <c r="J268" s="17">
        <v>2018</v>
      </c>
      <c r="K268" s="20" t="s">
        <v>27</v>
      </c>
      <c r="L268" s="4" t="s">
        <v>249</v>
      </c>
      <c r="M268" s="4" t="s">
        <v>21</v>
      </c>
      <c r="N268" s="4"/>
      <c r="O268" s="4"/>
    </row>
    <row r="269" spans="2:15">
      <c r="B269" s="14"/>
      <c r="C269" s="14"/>
      <c r="D269" s="24" t="s">
        <v>286</v>
      </c>
      <c r="E269" s="11">
        <v>2.2000000000000002</v>
      </c>
      <c r="F269" s="12">
        <v>1.9</v>
      </c>
      <c r="G269" s="12">
        <v>2.6</v>
      </c>
      <c r="H269" s="12">
        <v>3</v>
      </c>
      <c r="I269" s="13">
        <v>1.4</v>
      </c>
      <c r="J269" s="17">
        <v>2017</v>
      </c>
      <c r="K269" s="20" t="s">
        <v>27</v>
      </c>
      <c r="L269" s="4" t="s">
        <v>249</v>
      </c>
      <c r="M269" s="4" t="s">
        <v>21</v>
      </c>
      <c r="N269" s="4"/>
      <c r="O269" s="4"/>
    </row>
    <row r="270" spans="2:15">
      <c r="B270" s="14"/>
      <c r="C270" s="14"/>
      <c r="D270" s="24" t="s">
        <v>286</v>
      </c>
      <c r="E270" s="11">
        <v>2</v>
      </c>
      <c r="F270" s="12"/>
      <c r="G270" s="12"/>
      <c r="H270" s="12">
        <v>3</v>
      </c>
      <c r="I270" s="13">
        <v>1</v>
      </c>
      <c r="J270" s="17">
        <v>2016</v>
      </c>
      <c r="K270" s="20" t="s">
        <v>27</v>
      </c>
      <c r="L270" s="4" t="s">
        <v>249</v>
      </c>
      <c r="M270" s="4" t="s">
        <v>21</v>
      </c>
      <c r="N270" s="4"/>
      <c r="O270" s="4"/>
    </row>
    <row r="271" spans="2:15">
      <c r="B271" s="14"/>
      <c r="C271" s="14"/>
      <c r="D271" s="24" t="s">
        <v>286</v>
      </c>
      <c r="E271" s="11">
        <v>1.9</v>
      </c>
      <c r="F271" s="12"/>
      <c r="G271" s="12"/>
      <c r="H271" s="12">
        <v>2.8</v>
      </c>
      <c r="I271" s="13">
        <v>1</v>
      </c>
      <c r="J271" s="17">
        <v>2015</v>
      </c>
      <c r="K271" s="20" t="s">
        <v>27</v>
      </c>
      <c r="L271" s="4" t="s">
        <v>249</v>
      </c>
      <c r="M271" s="4" t="s">
        <v>21</v>
      </c>
      <c r="N271" s="4"/>
      <c r="O271" s="4"/>
    </row>
    <row r="272" spans="2:15">
      <c r="B272" s="14"/>
      <c r="C272" s="14"/>
      <c r="D272" s="24" t="s">
        <v>286</v>
      </c>
      <c r="E272" s="11">
        <v>1.6</v>
      </c>
      <c r="F272" s="12"/>
      <c r="G272" s="12"/>
      <c r="H272" s="12">
        <v>2.2000000000000002</v>
      </c>
      <c r="I272" s="13">
        <v>1</v>
      </c>
      <c r="J272" s="17">
        <v>2014</v>
      </c>
      <c r="K272" s="20" t="s">
        <v>27</v>
      </c>
      <c r="L272" s="4" t="s">
        <v>24</v>
      </c>
      <c r="M272" s="4" t="s">
        <v>21</v>
      </c>
      <c r="N272" s="4"/>
      <c r="O272" s="4"/>
    </row>
    <row r="273" spans="2:15">
      <c r="B273" s="14"/>
      <c r="C273" s="14"/>
      <c r="D273" s="24" t="s">
        <v>286</v>
      </c>
      <c r="E273" s="11">
        <v>1.2</v>
      </c>
      <c r="F273" s="12"/>
      <c r="G273" s="12"/>
      <c r="H273" s="12"/>
      <c r="I273" s="13"/>
      <c r="J273" s="17">
        <v>2009</v>
      </c>
      <c r="K273" s="20" t="s">
        <v>27</v>
      </c>
      <c r="L273" s="4" t="s">
        <v>24</v>
      </c>
      <c r="M273" s="4" t="s">
        <v>21</v>
      </c>
      <c r="N273" s="4"/>
      <c r="O273" s="4"/>
    </row>
    <row r="274" spans="2:15">
      <c r="B274" s="14"/>
      <c r="C274" s="14"/>
      <c r="D274" s="24" t="s">
        <v>286</v>
      </c>
      <c r="E274" s="11">
        <v>0.6</v>
      </c>
      <c r="F274" s="12"/>
      <c r="G274" s="12"/>
      <c r="H274" s="12"/>
      <c r="I274" s="13"/>
      <c r="J274" s="17">
        <v>2005</v>
      </c>
      <c r="K274" s="20" t="s">
        <v>27</v>
      </c>
      <c r="L274" s="4" t="s">
        <v>38</v>
      </c>
      <c r="M274" s="4"/>
      <c r="N274" s="4"/>
      <c r="O274" s="4"/>
    </row>
    <row r="275" spans="2:15">
      <c r="B275" s="14"/>
      <c r="C275" s="14"/>
      <c r="D275" s="24" t="s">
        <v>287</v>
      </c>
      <c r="E275" s="11">
        <v>2.2000000000000002</v>
      </c>
      <c r="F275" s="12"/>
      <c r="G275" s="12"/>
      <c r="H275" s="12">
        <v>3.7</v>
      </c>
      <c r="I275" s="13">
        <v>0.6</v>
      </c>
      <c r="J275" s="17">
        <v>2023</v>
      </c>
      <c r="K275" s="20" t="s">
        <v>265</v>
      </c>
      <c r="L275" s="4" t="s">
        <v>38</v>
      </c>
      <c r="M275" s="4" t="s">
        <v>51</v>
      </c>
      <c r="N275" s="4"/>
      <c r="O275" s="4" t="s">
        <v>365</v>
      </c>
    </row>
    <row r="276" spans="2:15">
      <c r="B276" s="14"/>
      <c r="C276" s="14"/>
      <c r="D276" s="24" t="s">
        <v>287</v>
      </c>
      <c r="E276" s="11">
        <v>1.5</v>
      </c>
      <c r="F276" s="12"/>
      <c r="G276" s="12"/>
      <c r="H276" s="12">
        <v>2.1</v>
      </c>
      <c r="I276" s="13">
        <v>0.8</v>
      </c>
      <c r="J276" s="17">
        <v>2021</v>
      </c>
      <c r="K276" s="20" t="s">
        <v>265</v>
      </c>
      <c r="L276" s="4" t="s">
        <v>24</v>
      </c>
      <c r="M276" s="4" t="s">
        <v>21</v>
      </c>
      <c r="N276" s="4"/>
      <c r="O276" s="4" t="s">
        <v>365</v>
      </c>
    </row>
    <row r="277" spans="2:15">
      <c r="B277" s="14"/>
      <c r="C277" s="14"/>
      <c r="D277" s="24" t="s">
        <v>287</v>
      </c>
      <c r="E277" s="11">
        <v>0.8</v>
      </c>
      <c r="F277" s="12"/>
      <c r="G277" s="12"/>
      <c r="H277" s="12">
        <v>1.2</v>
      </c>
      <c r="I277" s="13">
        <v>0.4</v>
      </c>
      <c r="J277" s="17">
        <v>2020</v>
      </c>
      <c r="K277" s="20" t="s">
        <v>265</v>
      </c>
      <c r="L277" s="4" t="s">
        <v>24</v>
      </c>
      <c r="M277" s="4" t="s">
        <v>21</v>
      </c>
      <c r="N277" s="4"/>
      <c r="O277" s="4" t="s">
        <v>365</v>
      </c>
    </row>
    <row r="278" spans="2:15">
      <c r="B278" s="14"/>
      <c r="C278" s="14"/>
      <c r="D278" s="24" t="s">
        <v>287</v>
      </c>
      <c r="E278" s="11">
        <v>1.2</v>
      </c>
      <c r="F278" s="12"/>
      <c r="G278" s="12"/>
      <c r="H278" s="12">
        <v>1.6</v>
      </c>
      <c r="I278" s="13">
        <v>0.8</v>
      </c>
      <c r="J278" s="17">
        <v>2019</v>
      </c>
      <c r="K278" s="20" t="s">
        <v>265</v>
      </c>
      <c r="L278" s="4" t="s">
        <v>24</v>
      </c>
      <c r="M278" s="4" t="s">
        <v>21</v>
      </c>
      <c r="N278" s="4"/>
      <c r="O278" s="4"/>
    </row>
    <row r="279" spans="2:15">
      <c r="B279" s="14"/>
      <c r="C279" s="14"/>
      <c r="D279" s="24" t="s">
        <v>287</v>
      </c>
      <c r="E279" s="11">
        <v>1.2</v>
      </c>
      <c r="F279" s="12"/>
      <c r="G279" s="12"/>
      <c r="H279" s="12">
        <v>2.1</v>
      </c>
      <c r="I279" s="13">
        <v>0.2</v>
      </c>
      <c r="J279" s="17">
        <v>2018</v>
      </c>
      <c r="K279" s="20" t="s">
        <v>265</v>
      </c>
      <c r="L279" s="4" t="s">
        <v>24</v>
      </c>
      <c r="M279" s="4" t="s">
        <v>21</v>
      </c>
      <c r="N279" s="4"/>
      <c r="O279" s="4"/>
    </row>
    <row r="280" spans="2:15">
      <c r="B280" s="14"/>
      <c r="C280" s="14"/>
      <c r="D280" s="24" t="s">
        <v>287</v>
      </c>
      <c r="E280" s="11">
        <v>1.1000000000000001</v>
      </c>
      <c r="F280" s="12"/>
      <c r="G280" s="12"/>
      <c r="H280" s="12">
        <v>1.4</v>
      </c>
      <c r="I280" s="13">
        <v>0.7</v>
      </c>
      <c r="J280" s="17">
        <v>2017</v>
      </c>
      <c r="K280" s="20" t="s">
        <v>265</v>
      </c>
      <c r="L280" s="4" t="s">
        <v>24</v>
      </c>
      <c r="M280" s="4" t="s">
        <v>21</v>
      </c>
      <c r="N280" s="4"/>
      <c r="O280" s="4"/>
    </row>
    <row r="281" spans="2:15">
      <c r="B281" s="14"/>
      <c r="C281" s="14"/>
      <c r="D281" s="24" t="s">
        <v>287</v>
      </c>
      <c r="E281" s="11">
        <v>0.6</v>
      </c>
      <c r="F281" s="12"/>
      <c r="G281" s="12"/>
      <c r="H281" s="12">
        <v>1</v>
      </c>
      <c r="I281" s="13">
        <v>0.3</v>
      </c>
      <c r="J281" s="17">
        <v>2016</v>
      </c>
      <c r="K281" s="20" t="s">
        <v>265</v>
      </c>
      <c r="L281" s="4" t="s">
        <v>24</v>
      </c>
      <c r="M281" s="4" t="s">
        <v>21</v>
      </c>
      <c r="N281" s="4"/>
      <c r="O281" s="4"/>
    </row>
    <row r="282" spans="2:15">
      <c r="B282" s="14"/>
      <c r="C282" s="14"/>
      <c r="D282" s="24" t="s">
        <v>287</v>
      </c>
      <c r="E282" s="11">
        <v>1</v>
      </c>
      <c r="F282" s="12"/>
      <c r="G282" s="12"/>
      <c r="H282" s="12">
        <v>1.7</v>
      </c>
      <c r="I282" s="13">
        <v>0.3</v>
      </c>
      <c r="J282" s="17">
        <v>2015</v>
      </c>
      <c r="K282" s="20" t="s">
        <v>265</v>
      </c>
      <c r="L282" s="4" t="s">
        <v>24</v>
      </c>
      <c r="M282" s="4" t="s">
        <v>21</v>
      </c>
      <c r="N282" s="4"/>
      <c r="O282" s="4" t="s">
        <v>362</v>
      </c>
    </row>
    <row r="283" spans="2:15">
      <c r="B283" s="14"/>
      <c r="C283" s="14"/>
      <c r="D283" s="24" t="s">
        <v>287</v>
      </c>
      <c r="E283" s="11">
        <v>1</v>
      </c>
      <c r="F283" s="12"/>
      <c r="G283" s="12"/>
      <c r="H283" s="12">
        <v>1.6</v>
      </c>
      <c r="I283" s="13">
        <v>0.3</v>
      </c>
      <c r="J283" s="17">
        <v>2014</v>
      </c>
      <c r="K283" s="20" t="s">
        <v>265</v>
      </c>
      <c r="L283" s="4" t="s">
        <v>24</v>
      </c>
      <c r="M283" s="4" t="s">
        <v>21</v>
      </c>
      <c r="N283" s="4"/>
      <c r="O283" s="4"/>
    </row>
    <row r="284" spans="2:15">
      <c r="B284" s="14"/>
      <c r="C284" s="14"/>
      <c r="D284" s="24" t="s">
        <v>287</v>
      </c>
      <c r="E284" s="11">
        <v>0.9</v>
      </c>
      <c r="F284" s="12"/>
      <c r="G284" s="12"/>
      <c r="H284" s="12">
        <v>1.6</v>
      </c>
      <c r="I284" s="13">
        <v>0.2</v>
      </c>
      <c r="J284" s="17">
        <v>2013</v>
      </c>
      <c r="K284" s="20" t="s">
        <v>265</v>
      </c>
      <c r="L284" s="4" t="s">
        <v>24</v>
      </c>
      <c r="M284" s="4" t="s">
        <v>21</v>
      </c>
      <c r="N284" s="4"/>
      <c r="O284" s="4"/>
    </row>
    <row r="285" spans="2:15">
      <c r="B285" s="14"/>
      <c r="C285" s="14"/>
      <c r="D285" s="24" t="s">
        <v>287</v>
      </c>
      <c r="E285" s="11">
        <v>0.4</v>
      </c>
      <c r="F285" s="12"/>
      <c r="G285" s="12"/>
      <c r="H285" s="12"/>
      <c r="I285" s="13"/>
      <c r="J285" s="17">
        <v>2009</v>
      </c>
      <c r="K285" s="20" t="s">
        <v>27</v>
      </c>
      <c r="L285" s="4" t="s">
        <v>24</v>
      </c>
      <c r="M285" s="4" t="s">
        <v>21</v>
      </c>
      <c r="N285" s="4"/>
      <c r="O285" s="4"/>
    </row>
    <row r="286" spans="2:15">
      <c r="B286" s="14"/>
      <c r="C286" s="14"/>
      <c r="D286" s="24" t="s">
        <v>287</v>
      </c>
      <c r="E286" s="11">
        <v>0.8</v>
      </c>
      <c r="F286" s="12"/>
      <c r="G286" s="12"/>
      <c r="H286" s="12"/>
      <c r="I286" s="13"/>
      <c r="J286" s="17">
        <v>2004</v>
      </c>
      <c r="K286" s="20" t="s">
        <v>27</v>
      </c>
      <c r="L286" s="4" t="s">
        <v>38</v>
      </c>
      <c r="M286" s="4"/>
      <c r="N286" s="4"/>
      <c r="O286" s="4"/>
    </row>
    <row r="287" spans="2:15">
      <c r="B287" s="14"/>
      <c r="C287" s="14"/>
      <c r="D287" s="24" t="s">
        <v>290</v>
      </c>
      <c r="E287" s="11">
        <v>0.3</v>
      </c>
      <c r="F287" s="12"/>
      <c r="G287" s="12"/>
      <c r="H287" s="12">
        <v>0.3</v>
      </c>
      <c r="I287" s="13">
        <v>0.2</v>
      </c>
      <c r="J287" s="17">
        <v>2019</v>
      </c>
      <c r="K287" s="20" t="s">
        <v>27</v>
      </c>
      <c r="L287" s="4" t="s">
        <v>24</v>
      </c>
      <c r="M287" s="4" t="s">
        <v>21</v>
      </c>
      <c r="N287" s="4"/>
      <c r="O287" s="4" t="s">
        <v>397</v>
      </c>
    </row>
    <row r="288" spans="2:15">
      <c r="B288" s="14"/>
      <c r="C288" s="14"/>
      <c r="D288" s="24" t="s">
        <v>290</v>
      </c>
      <c r="E288" s="11">
        <v>1.4</v>
      </c>
      <c r="F288" s="12"/>
      <c r="G288" s="12"/>
      <c r="H288" s="12">
        <v>1.4</v>
      </c>
      <c r="I288" s="13">
        <v>1.5</v>
      </c>
      <c r="J288" s="17">
        <v>2016</v>
      </c>
      <c r="K288" s="20" t="s">
        <v>27</v>
      </c>
      <c r="L288" s="4" t="s">
        <v>24</v>
      </c>
      <c r="M288" s="4" t="s">
        <v>21</v>
      </c>
      <c r="N288" s="4"/>
      <c r="O288" s="4"/>
    </row>
    <row r="289" spans="2:15">
      <c r="B289" s="14"/>
      <c r="C289" s="14"/>
      <c r="D289" s="24" t="s">
        <v>290</v>
      </c>
      <c r="E289" s="11">
        <v>0.2</v>
      </c>
      <c r="F289" s="12"/>
      <c r="G289" s="12"/>
      <c r="H289" s="12">
        <v>0.4</v>
      </c>
      <c r="I289" s="13"/>
      <c r="J289" s="17">
        <v>2014</v>
      </c>
      <c r="K289" s="20" t="s">
        <v>27</v>
      </c>
      <c r="L289" s="4" t="s">
        <v>24</v>
      </c>
      <c r="M289" s="4" t="s">
        <v>21</v>
      </c>
      <c r="N289" s="4"/>
      <c r="O289" s="4" t="s">
        <v>398</v>
      </c>
    </row>
    <row r="290" spans="2:15">
      <c r="B290" s="14"/>
      <c r="C290" s="14"/>
      <c r="D290" s="24" t="s">
        <v>290</v>
      </c>
      <c r="E290" s="11">
        <v>0.2</v>
      </c>
      <c r="F290" s="12"/>
      <c r="G290" s="12"/>
      <c r="H290" s="12">
        <v>0.3</v>
      </c>
      <c r="I290" s="13"/>
      <c r="J290" s="17">
        <v>2012</v>
      </c>
      <c r="K290" s="20" t="s">
        <v>27</v>
      </c>
      <c r="L290" s="4" t="s">
        <v>24</v>
      </c>
      <c r="M290" s="4" t="s">
        <v>21</v>
      </c>
      <c r="N290" s="4"/>
      <c r="O290" s="4"/>
    </row>
    <row r="291" spans="2:15">
      <c r="B291" s="14"/>
      <c r="C291" s="14"/>
      <c r="D291" s="24" t="s">
        <v>290</v>
      </c>
      <c r="E291" s="11">
        <v>0.7</v>
      </c>
      <c r="F291" s="12"/>
      <c r="G291" s="12"/>
      <c r="H291" s="12"/>
      <c r="I291" s="13"/>
      <c r="J291" s="17">
        <v>2010</v>
      </c>
      <c r="K291" s="20" t="s">
        <v>27</v>
      </c>
      <c r="L291" s="4" t="s">
        <v>24</v>
      </c>
      <c r="M291" s="4" t="s">
        <v>21</v>
      </c>
      <c r="N291" s="4"/>
      <c r="O291" s="4"/>
    </row>
    <row r="292" spans="2:15">
      <c r="B292" s="14"/>
      <c r="C292" s="14"/>
      <c r="D292" s="24" t="s">
        <v>290</v>
      </c>
      <c r="E292" s="11">
        <v>0.2</v>
      </c>
      <c r="F292" s="12"/>
      <c r="G292" s="12"/>
      <c r="H292" s="12"/>
      <c r="I292" s="13"/>
      <c r="J292" s="17">
        <v>2006</v>
      </c>
      <c r="K292" s="20" t="s">
        <v>265</v>
      </c>
      <c r="L292" s="4" t="s">
        <v>38</v>
      </c>
      <c r="M292" s="4"/>
      <c r="N292" s="4"/>
      <c r="O292" s="4"/>
    </row>
    <row r="293" spans="2:15">
      <c r="B293" s="14"/>
      <c r="C293" s="14"/>
      <c r="D293" s="24" t="s">
        <v>293</v>
      </c>
      <c r="E293" s="11">
        <v>0.2</v>
      </c>
      <c r="F293" s="12"/>
      <c r="G293" s="12"/>
      <c r="H293" s="12">
        <v>0.3</v>
      </c>
      <c r="I293" s="13">
        <v>0.1</v>
      </c>
      <c r="J293" s="17">
        <v>2022</v>
      </c>
      <c r="K293" s="20" t="s">
        <v>27</v>
      </c>
      <c r="L293" s="4" t="s">
        <v>24</v>
      </c>
      <c r="M293" s="4" t="s">
        <v>21</v>
      </c>
      <c r="N293" s="4"/>
      <c r="O293" s="4" t="s">
        <v>399</v>
      </c>
    </row>
    <row r="294" spans="2:15">
      <c r="B294" s="14"/>
      <c r="C294" s="14"/>
      <c r="D294" s="24" t="s">
        <v>293</v>
      </c>
      <c r="E294" s="11">
        <v>0.2</v>
      </c>
      <c r="F294" s="12"/>
      <c r="G294" s="12"/>
      <c r="H294" s="12">
        <v>0.3</v>
      </c>
      <c r="I294" s="13">
        <v>0.1</v>
      </c>
      <c r="J294" s="17">
        <v>2017</v>
      </c>
      <c r="K294" s="20" t="s">
        <v>27</v>
      </c>
      <c r="L294" s="4" t="s">
        <v>24</v>
      </c>
      <c r="M294" s="4" t="s">
        <v>21</v>
      </c>
      <c r="N294" s="4"/>
      <c r="O294" s="4" t="s">
        <v>400</v>
      </c>
    </row>
    <row r="295" spans="2:15">
      <c r="B295" s="14"/>
      <c r="C295" s="14"/>
      <c r="D295" s="24" t="s">
        <v>293</v>
      </c>
      <c r="E295" s="11">
        <v>0.2</v>
      </c>
      <c r="F295" s="12"/>
      <c r="G295" s="12"/>
      <c r="H295" s="12">
        <v>0.3</v>
      </c>
      <c r="I295" s="13">
        <v>0.1</v>
      </c>
      <c r="J295" s="17">
        <v>2012</v>
      </c>
      <c r="K295" s="20" t="s">
        <v>27</v>
      </c>
      <c r="L295" s="4" t="s">
        <v>24</v>
      </c>
      <c r="M295" s="4" t="s">
        <v>21</v>
      </c>
      <c r="N295" s="4"/>
      <c r="O295" s="4"/>
    </row>
    <row r="296" spans="2:15">
      <c r="B296" s="14"/>
      <c r="C296" s="14"/>
      <c r="D296" s="24" t="s">
        <v>293</v>
      </c>
      <c r="E296" s="11">
        <v>0.6</v>
      </c>
      <c r="F296" s="12"/>
      <c r="G296" s="12"/>
      <c r="H296" s="12"/>
      <c r="I296" s="13"/>
      <c r="J296" s="17">
        <v>2007</v>
      </c>
      <c r="K296" s="20" t="s">
        <v>27</v>
      </c>
      <c r="L296" s="4" t="s">
        <v>24</v>
      </c>
      <c r="M296" s="4" t="s">
        <v>21</v>
      </c>
      <c r="N296" s="4"/>
      <c r="O296" s="4"/>
    </row>
    <row r="297" spans="2:15">
      <c r="B297" s="14"/>
      <c r="C297" s="14"/>
      <c r="D297" s="24" t="s">
        <v>296</v>
      </c>
      <c r="E297" s="11">
        <v>0.5</v>
      </c>
      <c r="F297" s="12"/>
      <c r="G297" s="12"/>
      <c r="H297" s="12">
        <v>0.7</v>
      </c>
      <c r="I297" s="13">
        <v>0.3</v>
      </c>
      <c r="J297" s="17">
        <v>2023</v>
      </c>
      <c r="K297" s="20" t="s">
        <v>27</v>
      </c>
      <c r="L297" s="4" t="s">
        <v>24</v>
      </c>
      <c r="M297" s="4" t="s">
        <v>21</v>
      </c>
      <c r="N297" s="4"/>
      <c r="O297" s="4"/>
    </row>
    <row r="298" spans="2:15">
      <c r="B298" s="14"/>
      <c r="C298" s="14"/>
      <c r="D298" s="24" t="s">
        <v>296</v>
      </c>
      <c r="E298" s="11">
        <v>0.1</v>
      </c>
      <c r="F298" s="12"/>
      <c r="G298" s="12"/>
      <c r="H298" s="12">
        <v>0.3</v>
      </c>
      <c r="I298" s="13"/>
      <c r="J298" s="17">
        <v>2019</v>
      </c>
      <c r="K298" s="20" t="s">
        <v>27</v>
      </c>
      <c r="L298" s="4" t="s">
        <v>24</v>
      </c>
      <c r="M298" s="4" t="s">
        <v>21</v>
      </c>
      <c r="N298" s="4"/>
      <c r="O298" s="4"/>
    </row>
    <row r="299" spans="2:15">
      <c r="B299" s="14"/>
      <c r="C299" s="14"/>
      <c r="D299" s="24" t="s">
        <v>296</v>
      </c>
      <c r="E299" s="11">
        <v>0.1</v>
      </c>
      <c r="F299" s="12"/>
      <c r="G299" s="12"/>
      <c r="H299" s="12">
        <v>0.3</v>
      </c>
      <c r="I299" s="13">
        <v>0</v>
      </c>
      <c r="J299" s="17">
        <v>2015</v>
      </c>
      <c r="K299" s="20" t="s">
        <v>27</v>
      </c>
      <c r="L299" s="4" t="s">
        <v>24</v>
      </c>
      <c r="M299" s="4" t="s">
        <v>21</v>
      </c>
      <c r="N299" s="4"/>
      <c r="O299" s="4"/>
    </row>
    <row r="300" spans="2:15">
      <c r="B300" s="14"/>
      <c r="C300" s="14"/>
      <c r="D300" s="24" t="s">
        <v>296</v>
      </c>
      <c r="E300" s="11">
        <v>0.2</v>
      </c>
      <c r="F300" s="12"/>
      <c r="G300" s="12"/>
      <c r="H300" s="12"/>
      <c r="I300" s="13"/>
      <c r="J300" s="17">
        <v>2010</v>
      </c>
      <c r="K300" s="20" t="s">
        <v>27</v>
      </c>
      <c r="L300" s="4" t="s">
        <v>249</v>
      </c>
      <c r="M300" s="4" t="s">
        <v>21</v>
      </c>
      <c r="N300" s="4"/>
      <c r="O300" s="4"/>
    </row>
    <row r="301" spans="2:15">
      <c r="B301" s="14"/>
      <c r="C301" s="14"/>
      <c r="D301" s="24" t="s">
        <v>296</v>
      </c>
      <c r="E301" s="11">
        <v>0.6</v>
      </c>
      <c r="F301" s="12"/>
      <c r="G301" s="12"/>
      <c r="H301" s="12"/>
      <c r="I301" s="13"/>
      <c r="J301" s="17">
        <v>2006</v>
      </c>
      <c r="K301" s="20" t="s">
        <v>27</v>
      </c>
      <c r="L301" s="4" t="s">
        <v>24</v>
      </c>
      <c r="M301" s="4" t="s">
        <v>21</v>
      </c>
      <c r="N301" s="4"/>
      <c r="O301" s="4"/>
    </row>
    <row r="302" spans="2:15">
      <c r="B302" s="14"/>
      <c r="C302" s="14"/>
      <c r="D302" s="24" t="s">
        <v>297</v>
      </c>
      <c r="E302" s="11">
        <v>0.9</v>
      </c>
      <c r="F302" s="12"/>
      <c r="G302" s="12"/>
      <c r="H302" s="12">
        <v>1.3</v>
      </c>
      <c r="I302" s="13">
        <v>0.5</v>
      </c>
      <c r="J302" s="17">
        <v>2023</v>
      </c>
      <c r="K302" s="20" t="s">
        <v>27</v>
      </c>
      <c r="L302" s="4" t="s">
        <v>38</v>
      </c>
      <c r="M302" s="4" t="s">
        <v>51</v>
      </c>
      <c r="N302" s="4"/>
      <c r="O302" s="4"/>
    </row>
    <row r="303" spans="2:15">
      <c r="B303" s="14"/>
      <c r="C303" s="14"/>
      <c r="D303" s="24" t="s">
        <v>297</v>
      </c>
      <c r="E303" s="11">
        <v>0.8</v>
      </c>
      <c r="F303" s="12">
        <v>0.6</v>
      </c>
      <c r="G303" s="12">
        <v>1</v>
      </c>
      <c r="H303" s="12">
        <v>1</v>
      </c>
      <c r="I303" s="13">
        <v>0.5</v>
      </c>
      <c r="J303" s="17">
        <v>2018</v>
      </c>
      <c r="K303" s="20" t="s">
        <v>27</v>
      </c>
      <c r="L303" s="4" t="s">
        <v>249</v>
      </c>
      <c r="M303" s="4" t="s">
        <v>21</v>
      </c>
      <c r="N303" s="4" t="s">
        <v>298</v>
      </c>
      <c r="O303" s="4"/>
    </row>
    <row r="304" spans="2:15">
      <c r="B304" s="14"/>
      <c r="C304" s="14"/>
      <c r="D304" s="24" t="s">
        <v>297</v>
      </c>
      <c r="E304" s="11">
        <v>0.5</v>
      </c>
      <c r="F304" s="12"/>
      <c r="G304" s="12"/>
      <c r="H304" s="12">
        <v>0.7</v>
      </c>
      <c r="I304" s="13">
        <v>0.3</v>
      </c>
      <c r="J304" s="17">
        <v>2012</v>
      </c>
      <c r="K304" s="20" t="s">
        <v>27</v>
      </c>
      <c r="L304" s="4" t="s">
        <v>24</v>
      </c>
      <c r="M304" s="4" t="s">
        <v>21</v>
      </c>
      <c r="N304" s="4"/>
      <c r="O304" s="4"/>
    </row>
    <row r="305" spans="2:15">
      <c r="B305" s="14"/>
      <c r="C305" s="14"/>
      <c r="D305" s="24" t="s">
        <v>297</v>
      </c>
      <c r="E305" s="11">
        <v>0.6</v>
      </c>
      <c r="F305" s="12"/>
      <c r="G305" s="12"/>
      <c r="H305" s="12"/>
      <c r="I305" s="13"/>
      <c r="J305" s="17">
        <v>2008</v>
      </c>
      <c r="K305" s="20" t="s">
        <v>27</v>
      </c>
      <c r="L305" s="4" t="s">
        <v>24</v>
      </c>
      <c r="M305" s="4" t="s">
        <v>21</v>
      </c>
      <c r="N305" s="4" t="s">
        <v>22</v>
      </c>
      <c r="O305" s="4"/>
    </row>
    <row r="306" spans="2:15">
      <c r="B306" s="14"/>
      <c r="C306" s="14"/>
      <c r="D306" s="24" t="s">
        <v>297</v>
      </c>
      <c r="E306" s="11">
        <v>0.88</v>
      </c>
      <c r="F306" s="12"/>
      <c r="G306" s="12"/>
      <c r="H306" s="12"/>
      <c r="I306" s="13"/>
      <c r="J306" s="17">
        <v>2007</v>
      </c>
      <c r="K306" s="20" t="s">
        <v>27</v>
      </c>
      <c r="L306" s="4" t="s">
        <v>241</v>
      </c>
      <c r="M306" s="4" t="s">
        <v>74</v>
      </c>
      <c r="N306" s="4" t="s">
        <v>75</v>
      </c>
      <c r="O306" s="4"/>
    </row>
    <row r="307" spans="2:15">
      <c r="B307" s="14"/>
      <c r="C307" s="14"/>
      <c r="D307" s="24" t="s">
        <v>299</v>
      </c>
      <c r="E307" s="11">
        <v>2.4</v>
      </c>
      <c r="F307" s="12"/>
      <c r="G307" s="12"/>
      <c r="H307" s="12">
        <v>3.6</v>
      </c>
      <c r="I307" s="13">
        <v>1.1000000000000001</v>
      </c>
      <c r="J307" s="17">
        <v>2022</v>
      </c>
      <c r="K307" s="20" t="s">
        <v>27</v>
      </c>
      <c r="L307" s="4" t="s">
        <v>24</v>
      </c>
      <c r="M307" s="4" t="s">
        <v>21</v>
      </c>
      <c r="N307" s="4"/>
      <c r="O307" s="4"/>
    </row>
    <row r="308" spans="2:15">
      <c r="B308" s="14"/>
      <c r="C308" s="14"/>
      <c r="D308" s="24" t="s">
        <v>299</v>
      </c>
      <c r="E308" s="11">
        <v>2.5</v>
      </c>
      <c r="F308" s="12"/>
      <c r="G308" s="12"/>
      <c r="H308" s="12">
        <v>4.0999999999999996</v>
      </c>
      <c r="I308" s="13">
        <v>1</v>
      </c>
      <c r="J308" s="17">
        <v>2020</v>
      </c>
      <c r="K308" s="20" t="s">
        <v>27</v>
      </c>
      <c r="L308" s="4" t="s">
        <v>24</v>
      </c>
      <c r="M308" s="4" t="s">
        <v>21</v>
      </c>
      <c r="N308" s="4"/>
      <c r="O308" s="4" t="s">
        <v>301</v>
      </c>
    </row>
    <row r="309" spans="2:15">
      <c r="B309" s="14"/>
      <c r="C309" s="14"/>
      <c r="D309" s="24" t="s">
        <v>299</v>
      </c>
      <c r="E309" s="11">
        <v>2.2000000000000002</v>
      </c>
      <c r="F309" s="12">
        <v>2</v>
      </c>
      <c r="G309" s="12">
        <v>2.4</v>
      </c>
      <c r="H309" s="12">
        <v>3.4</v>
      </c>
      <c r="I309" s="13">
        <v>1</v>
      </c>
      <c r="J309" s="17">
        <v>2017</v>
      </c>
      <c r="K309" s="20" t="s">
        <v>27</v>
      </c>
      <c r="L309" s="4" t="s">
        <v>249</v>
      </c>
      <c r="M309" s="4" t="s">
        <v>21</v>
      </c>
      <c r="N309" s="4"/>
      <c r="O309" s="4"/>
    </row>
    <row r="310" spans="2:15">
      <c r="B310" s="14"/>
      <c r="C310" s="14"/>
      <c r="D310" s="24" t="s">
        <v>299</v>
      </c>
      <c r="E310" s="11">
        <v>2</v>
      </c>
      <c r="F310" s="12"/>
      <c r="G310" s="12"/>
      <c r="H310" s="12">
        <v>3.1</v>
      </c>
      <c r="I310" s="13">
        <v>0.9</v>
      </c>
      <c r="J310" s="17">
        <v>2015</v>
      </c>
      <c r="K310" s="20" t="s">
        <v>27</v>
      </c>
      <c r="L310" s="4" t="s">
        <v>24</v>
      </c>
      <c r="M310" s="4" t="s">
        <v>21</v>
      </c>
      <c r="N310" s="4"/>
      <c r="O310" s="4"/>
    </row>
    <row r="311" spans="2:15">
      <c r="B311" s="14"/>
      <c r="C311" s="14"/>
      <c r="D311" s="24" t="s">
        <v>299</v>
      </c>
      <c r="E311" s="11">
        <v>2.2000000000000002</v>
      </c>
      <c r="F311" s="12"/>
      <c r="G311" s="12"/>
      <c r="H311" s="12">
        <v>3.3</v>
      </c>
      <c r="I311" s="13">
        <v>1</v>
      </c>
      <c r="J311" s="17">
        <v>2013</v>
      </c>
      <c r="K311" s="20" t="s">
        <v>27</v>
      </c>
      <c r="L311" s="4" t="s">
        <v>24</v>
      </c>
      <c r="M311" s="4" t="s">
        <v>21</v>
      </c>
      <c r="N311" s="4"/>
      <c r="O311" s="4"/>
    </row>
    <row r="312" spans="2:15">
      <c r="B312" s="14"/>
      <c r="C312" s="14"/>
      <c r="D312" s="24" t="s">
        <v>299</v>
      </c>
      <c r="E312" s="11">
        <v>2.2999999999999998</v>
      </c>
      <c r="F312" s="12"/>
      <c r="G312" s="12"/>
      <c r="H312" s="12">
        <v>3.6</v>
      </c>
      <c r="I312" s="13">
        <v>0.9</v>
      </c>
      <c r="J312" s="17">
        <v>2011</v>
      </c>
      <c r="K312" s="20" t="s">
        <v>27</v>
      </c>
      <c r="L312" s="4" t="s">
        <v>24</v>
      </c>
      <c r="M312" s="4" t="s">
        <v>21</v>
      </c>
      <c r="N312" s="4"/>
      <c r="O312" s="4"/>
    </row>
    <row r="313" spans="2:15">
      <c r="B313" s="14"/>
      <c r="C313" s="14"/>
      <c r="D313" s="24" t="s">
        <v>299</v>
      </c>
      <c r="E313" s="11">
        <v>2.7</v>
      </c>
      <c r="F313" s="12"/>
      <c r="G313" s="12"/>
      <c r="H313" s="12">
        <v>4.2</v>
      </c>
      <c r="I313" s="13">
        <v>1</v>
      </c>
      <c r="J313" s="17">
        <v>2009</v>
      </c>
      <c r="K313" s="20" t="s">
        <v>27</v>
      </c>
      <c r="L313" s="4" t="s">
        <v>38</v>
      </c>
      <c r="M313" s="4" t="s">
        <v>51</v>
      </c>
      <c r="N313" s="4"/>
      <c r="O313" s="4"/>
    </row>
    <row r="314" spans="2:15">
      <c r="B314" s="14"/>
      <c r="C314" s="14"/>
      <c r="D314" s="24" t="s">
        <v>302</v>
      </c>
      <c r="E314" s="11">
        <v>1.3</v>
      </c>
      <c r="F314" s="12"/>
      <c r="G314" s="12"/>
      <c r="H314" s="12">
        <v>1.7</v>
      </c>
      <c r="I314" s="13">
        <v>0.9</v>
      </c>
      <c r="J314" s="17">
        <v>2021</v>
      </c>
      <c r="K314" s="20" t="s">
        <v>265</v>
      </c>
      <c r="L314" s="4" t="s">
        <v>38</v>
      </c>
      <c r="M314" s="4" t="s">
        <v>51</v>
      </c>
      <c r="N314" s="4"/>
      <c r="O314" s="4"/>
    </row>
    <row r="315" spans="2:15">
      <c r="B315" s="14"/>
      <c r="C315" s="14"/>
      <c r="D315" s="24" t="s">
        <v>302</v>
      </c>
      <c r="E315" s="11">
        <v>1.2</v>
      </c>
      <c r="F315" s="12"/>
      <c r="G315" s="12"/>
      <c r="H315" s="12"/>
      <c r="I315" s="13"/>
      <c r="J315" s="17">
        <v>2017</v>
      </c>
      <c r="K315" s="20" t="s">
        <v>303</v>
      </c>
      <c r="L315" s="4" t="s">
        <v>24</v>
      </c>
      <c r="M315" s="4" t="s">
        <v>21</v>
      </c>
      <c r="N315" s="4"/>
      <c r="O315" s="4"/>
    </row>
    <row r="316" spans="2:15">
      <c r="B316" s="14"/>
      <c r="C316" s="14"/>
      <c r="D316" s="24" t="s">
        <v>302</v>
      </c>
      <c r="E316" s="11">
        <v>0.6</v>
      </c>
      <c r="F316" s="12"/>
      <c r="G316" s="12"/>
      <c r="H316" s="12">
        <v>0.8</v>
      </c>
      <c r="I316" s="13">
        <v>0.4</v>
      </c>
      <c r="J316" s="17">
        <v>2013</v>
      </c>
      <c r="K316" s="20" t="s">
        <v>27</v>
      </c>
      <c r="L316" s="4" t="s">
        <v>249</v>
      </c>
      <c r="M316" s="4" t="s">
        <v>21</v>
      </c>
      <c r="N316" s="4"/>
      <c r="O316" s="4"/>
    </row>
    <row r="317" spans="2:15">
      <c r="B317" s="14"/>
      <c r="C317" s="14"/>
      <c r="D317" s="24" t="s">
        <v>302</v>
      </c>
      <c r="E317" s="11">
        <v>0.5</v>
      </c>
      <c r="F317" s="12"/>
      <c r="G317" s="12"/>
      <c r="H317" s="12"/>
      <c r="I317" s="13"/>
      <c r="J317" s="17">
        <v>2008</v>
      </c>
      <c r="K317" s="20" t="s">
        <v>27</v>
      </c>
      <c r="L317" s="4" t="s">
        <v>24</v>
      </c>
      <c r="M317" s="4" t="s">
        <v>21</v>
      </c>
      <c r="N317" s="4"/>
      <c r="O317" s="4"/>
    </row>
    <row r="318" spans="2:15">
      <c r="B318" s="14"/>
      <c r="C318" s="14"/>
      <c r="D318" s="24" t="s">
        <v>304</v>
      </c>
      <c r="E318" s="11">
        <v>1</v>
      </c>
      <c r="F318" s="12"/>
      <c r="G318" s="12"/>
      <c r="H318" s="12">
        <v>1.4</v>
      </c>
      <c r="I318" s="13">
        <v>0.7</v>
      </c>
      <c r="J318" s="17">
        <v>2022</v>
      </c>
      <c r="K318" s="20" t="s">
        <v>27</v>
      </c>
      <c r="L318" s="4" t="s">
        <v>38</v>
      </c>
      <c r="M318" s="4" t="s">
        <v>51</v>
      </c>
      <c r="N318" s="4"/>
      <c r="O318" s="4"/>
    </row>
    <row r="319" spans="2:15">
      <c r="B319" s="14"/>
      <c r="C319" s="14"/>
      <c r="D319" s="24" t="s">
        <v>304</v>
      </c>
      <c r="E319" s="11">
        <v>1.6</v>
      </c>
      <c r="F319" s="12"/>
      <c r="G319" s="12"/>
      <c r="H319" s="12">
        <v>2.4</v>
      </c>
      <c r="I319" s="13">
        <v>0.9</v>
      </c>
      <c r="J319" s="17">
        <v>2017</v>
      </c>
      <c r="K319" s="20" t="s">
        <v>27</v>
      </c>
      <c r="L319" s="4" t="s">
        <v>24</v>
      </c>
      <c r="M319" s="4" t="s">
        <v>21</v>
      </c>
      <c r="N319" s="4"/>
      <c r="O319" s="4"/>
    </row>
    <row r="320" spans="2:15">
      <c r="B320" s="14"/>
      <c r="C320" s="14"/>
      <c r="D320" s="24" t="s">
        <v>304</v>
      </c>
      <c r="E320" s="11">
        <v>0.81</v>
      </c>
      <c r="F320" s="12"/>
      <c r="G320" s="12"/>
      <c r="H320" s="12"/>
      <c r="I320" s="13"/>
      <c r="J320" s="17">
        <v>2016</v>
      </c>
      <c r="K320" s="20" t="s">
        <v>27</v>
      </c>
      <c r="L320" s="4" t="s">
        <v>36</v>
      </c>
      <c r="M320" s="4" t="s">
        <v>21</v>
      </c>
      <c r="N320" s="4" t="s">
        <v>37</v>
      </c>
      <c r="O320" s="4"/>
    </row>
    <row r="321" spans="2:15">
      <c r="B321" s="14"/>
      <c r="C321" s="14"/>
      <c r="D321" s="24" t="s">
        <v>304</v>
      </c>
      <c r="E321" s="11">
        <v>0.66</v>
      </c>
      <c r="F321" s="12"/>
      <c r="G321" s="12"/>
      <c r="H321" s="12"/>
      <c r="I321" s="13"/>
      <c r="J321" s="17">
        <v>2015</v>
      </c>
      <c r="K321" s="20" t="s">
        <v>27</v>
      </c>
      <c r="L321" s="4" t="s">
        <v>24</v>
      </c>
      <c r="M321" s="4" t="s">
        <v>21</v>
      </c>
      <c r="N321" s="4" t="s">
        <v>37</v>
      </c>
      <c r="O321" s="4" t="s">
        <v>362</v>
      </c>
    </row>
    <row r="322" spans="2:15">
      <c r="B322" s="14"/>
      <c r="C322" s="14"/>
      <c r="D322" s="24" t="s">
        <v>304</v>
      </c>
      <c r="E322" s="11">
        <v>0.5</v>
      </c>
      <c r="F322" s="12"/>
      <c r="G322" s="12"/>
      <c r="H322" s="12">
        <v>0.7</v>
      </c>
      <c r="I322" s="13">
        <v>0.3</v>
      </c>
      <c r="J322" s="17">
        <v>2014</v>
      </c>
      <c r="K322" s="20" t="s">
        <v>27</v>
      </c>
      <c r="L322" s="4" t="s">
        <v>24</v>
      </c>
      <c r="M322" s="4" t="s">
        <v>21</v>
      </c>
      <c r="N322" s="4"/>
      <c r="O322" s="4"/>
    </row>
    <row r="323" spans="2:15">
      <c r="B323" s="14"/>
      <c r="C323" s="14"/>
      <c r="D323" s="24" t="s">
        <v>304</v>
      </c>
      <c r="E323" s="11">
        <v>0.5</v>
      </c>
      <c r="F323" s="12"/>
      <c r="G323" s="12"/>
      <c r="H323" s="12">
        <v>0.5</v>
      </c>
      <c r="I323" s="13">
        <v>0.4</v>
      </c>
      <c r="J323" s="17">
        <v>2013</v>
      </c>
      <c r="K323" s="20" t="s">
        <v>27</v>
      </c>
      <c r="L323" s="4" t="s">
        <v>24</v>
      </c>
      <c r="M323" s="4" t="s">
        <v>21</v>
      </c>
      <c r="N323" s="4"/>
      <c r="O323" s="4"/>
    </row>
    <row r="324" spans="2:15">
      <c r="B324" s="14"/>
      <c r="C324" s="14"/>
      <c r="D324" s="24" t="s">
        <v>304</v>
      </c>
      <c r="E324" s="11">
        <v>0.4</v>
      </c>
      <c r="F324" s="12"/>
      <c r="G324" s="12"/>
      <c r="H324" s="12"/>
      <c r="I324" s="13"/>
      <c r="J324" s="17">
        <v>2012</v>
      </c>
      <c r="K324" s="20" t="s">
        <v>50</v>
      </c>
      <c r="L324" s="4" t="s">
        <v>24</v>
      </c>
      <c r="M324" s="4" t="s">
        <v>21</v>
      </c>
      <c r="N324" s="4"/>
      <c r="O324" s="4"/>
    </row>
    <row r="325" spans="2:15">
      <c r="B325" s="14"/>
      <c r="C325" s="14"/>
      <c r="D325" s="24" t="s">
        <v>304</v>
      </c>
      <c r="E325" s="11">
        <v>0.5</v>
      </c>
      <c r="F325" s="12"/>
      <c r="G325" s="12"/>
      <c r="H325" s="12"/>
      <c r="I325" s="13"/>
      <c r="J325" s="17">
        <v>2011</v>
      </c>
      <c r="K325" s="20" t="s">
        <v>27</v>
      </c>
      <c r="L325" s="4" t="s">
        <v>24</v>
      </c>
      <c r="M325" s="4" t="s">
        <v>21</v>
      </c>
      <c r="N325" s="4"/>
      <c r="O325" s="4"/>
    </row>
    <row r="326" spans="2:15">
      <c r="B326" s="14"/>
      <c r="C326" s="14"/>
      <c r="D326" s="24" t="s">
        <v>304</v>
      </c>
      <c r="E326" s="11">
        <v>0.2</v>
      </c>
      <c r="F326" s="12"/>
      <c r="G326" s="12"/>
      <c r="H326" s="12"/>
      <c r="I326" s="13"/>
      <c r="J326" s="17">
        <v>2007</v>
      </c>
      <c r="K326" s="20" t="s">
        <v>27</v>
      </c>
      <c r="L326" s="4" t="s">
        <v>38</v>
      </c>
      <c r="M326" s="4" t="s">
        <v>51</v>
      </c>
      <c r="N326" s="4"/>
      <c r="O326" s="4"/>
    </row>
    <row r="327" spans="2:15">
      <c r="B327" s="14"/>
      <c r="C327" s="14"/>
      <c r="D327" s="24" t="s">
        <v>305</v>
      </c>
      <c r="E327" s="11">
        <v>2.1102709744167436</v>
      </c>
      <c r="F327" s="12"/>
      <c r="G327" s="12"/>
      <c r="H327" s="12">
        <v>2.4558832011484588</v>
      </c>
      <c r="I327" s="13">
        <v>1.7554542321577395</v>
      </c>
      <c r="J327" s="17">
        <v>2023</v>
      </c>
      <c r="K327" s="20" t="s">
        <v>306</v>
      </c>
      <c r="L327" s="4" t="s">
        <v>36</v>
      </c>
      <c r="M327" s="4" t="s">
        <v>21</v>
      </c>
      <c r="N327" s="4"/>
      <c r="O327" s="4" t="s">
        <v>401</v>
      </c>
    </row>
    <row r="328" spans="2:15">
      <c r="B328" s="14"/>
      <c r="C328" s="14"/>
      <c r="D328" s="24" t="s">
        <v>305</v>
      </c>
      <c r="E328" s="11">
        <v>2.4500000000000002</v>
      </c>
      <c r="F328" s="12"/>
      <c r="G328" s="12"/>
      <c r="H328" s="12">
        <v>3.01</v>
      </c>
      <c r="I328" s="13">
        <v>1.88</v>
      </c>
      <c r="J328" s="17">
        <v>2022</v>
      </c>
      <c r="K328" s="20" t="s">
        <v>306</v>
      </c>
      <c r="L328" s="4" t="s">
        <v>36</v>
      </c>
      <c r="M328" s="4" t="s">
        <v>21</v>
      </c>
      <c r="N328" s="4"/>
      <c r="O328" s="4" t="s">
        <v>402</v>
      </c>
    </row>
    <row r="329" spans="2:15">
      <c r="B329" s="14"/>
      <c r="C329" s="14"/>
      <c r="D329" s="24" t="s">
        <v>305</v>
      </c>
      <c r="E329" s="11">
        <v>2.07970603400577</v>
      </c>
      <c r="F329" s="12"/>
      <c r="G329" s="12"/>
      <c r="H329" s="12"/>
      <c r="I329" s="13"/>
      <c r="J329" s="17">
        <v>2021</v>
      </c>
      <c r="K329" s="20" t="s">
        <v>306</v>
      </c>
      <c r="L329" s="4" t="s">
        <v>36</v>
      </c>
      <c r="M329" s="4" t="s">
        <v>21</v>
      </c>
      <c r="N329" s="4"/>
      <c r="O329" s="4" t="s">
        <v>309</v>
      </c>
    </row>
    <row r="330" spans="2:15">
      <c r="B330" s="14"/>
      <c r="C330" s="14"/>
      <c r="D330" s="24" t="s">
        <v>305</v>
      </c>
      <c r="E330" s="11">
        <v>2.4</v>
      </c>
      <c r="F330" s="12"/>
      <c r="G330" s="12"/>
      <c r="H330" s="12">
        <v>3.17</v>
      </c>
      <c r="I330" s="13">
        <v>1.64</v>
      </c>
      <c r="J330" s="17">
        <v>2019</v>
      </c>
      <c r="K330" s="20" t="s">
        <v>265</v>
      </c>
      <c r="L330" s="4" t="s">
        <v>24</v>
      </c>
      <c r="M330" s="4" t="s">
        <v>21</v>
      </c>
      <c r="N330" s="4"/>
      <c r="O330" s="4" t="s">
        <v>310</v>
      </c>
    </row>
    <row r="331" spans="2:15">
      <c r="B331" s="14"/>
      <c r="C331" s="14"/>
      <c r="D331" s="24" t="s">
        <v>305</v>
      </c>
      <c r="E331" s="11">
        <v>2.92</v>
      </c>
      <c r="F331" s="12"/>
      <c r="G331" s="12"/>
      <c r="H331" s="12">
        <v>4.0999999999999996</v>
      </c>
      <c r="I331" s="13">
        <v>1.76</v>
      </c>
      <c r="J331" s="17">
        <v>2018</v>
      </c>
      <c r="K331" s="20" t="s">
        <v>306</v>
      </c>
      <c r="L331" s="4" t="s">
        <v>36</v>
      </c>
      <c r="M331" s="4" t="s">
        <v>21</v>
      </c>
      <c r="N331" s="4"/>
      <c r="O331" s="4" t="s">
        <v>311</v>
      </c>
    </row>
    <row r="332" spans="2:15">
      <c r="B332" s="14"/>
      <c r="C332" s="14"/>
      <c r="D332" s="24" t="s">
        <v>305</v>
      </c>
      <c r="E332" s="11">
        <v>2.67</v>
      </c>
      <c r="F332" s="12"/>
      <c r="G332" s="12"/>
      <c r="H332" s="12">
        <v>3.76</v>
      </c>
      <c r="I332" s="13">
        <v>1.59</v>
      </c>
      <c r="J332" s="17">
        <v>2017</v>
      </c>
      <c r="K332" s="20" t="s">
        <v>306</v>
      </c>
      <c r="L332" s="4" t="s">
        <v>36</v>
      </c>
      <c r="M332" s="4" t="s">
        <v>21</v>
      </c>
      <c r="N332" s="4"/>
      <c r="O332" s="4" t="s">
        <v>312</v>
      </c>
    </row>
    <row r="333" spans="2:15">
      <c r="B333" s="14"/>
      <c r="C333" s="14"/>
      <c r="D333" s="24" t="s">
        <v>305</v>
      </c>
      <c r="E333" s="11">
        <v>2.3199999999999998</v>
      </c>
      <c r="F333" s="12"/>
      <c r="G333" s="12"/>
      <c r="H333" s="12">
        <v>3.34</v>
      </c>
      <c r="I333" s="13">
        <v>1.31</v>
      </c>
      <c r="J333" s="17">
        <v>2016</v>
      </c>
      <c r="K333" s="20" t="s">
        <v>306</v>
      </c>
      <c r="L333" s="4" t="s">
        <v>36</v>
      </c>
      <c r="M333" s="4" t="s">
        <v>21</v>
      </c>
      <c r="N333" s="4"/>
      <c r="O333" s="4" t="s">
        <v>313</v>
      </c>
    </row>
    <row r="334" spans="2:15">
      <c r="B334" s="14"/>
      <c r="C334" s="14"/>
      <c r="D334" s="24" t="s">
        <v>305</v>
      </c>
      <c r="E334" s="11">
        <v>2.25</v>
      </c>
      <c r="F334" s="12"/>
      <c r="G334" s="12"/>
      <c r="H334" s="12">
        <v>3.33</v>
      </c>
      <c r="I334" s="13">
        <v>1.18</v>
      </c>
      <c r="J334" s="17">
        <v>2015</v>
      </c>
      <c r="K334" s="20" t="s">
        <v>306</v>
      </c>
      <c r="L334" s="4" t="s">
        <v>36</v>
      </c>
      <c r="M334" s="4" t="s">
        <v>21</v>
      </c>
      <c r="N334" s="4"/>
      <c r="O334" s="4" t="s">
        <v>314</v>
      </c>
    </row>
    <row r="335" spans="2:15">
      <c r="B335" s="14"/>
      <c r="C335" s="14"/>
      <c r="D335" s="24" t="s">
        <v>305</v>
      </c>
      <c r="E335" s="11">
        <v>2.4</v>
      </c>
      <c r="F335" s="12"/>
      <c r="G335" s="12"/>
      <c r="H335" s="12">
        <v>3.5</v>
      </c>
      <c r="I335" s="13">
        <v>1.3</v>
      </c>
      <c r="J335" s="17">
        <v>2014</v>
      </c>
      <c r="K335" s="20" t="s">
        <v>306</v>
      </c>
      <c r="L335" s="4" t="s">
        <v>36</v>
      </c>
      <c r="M335" s="4" t="s">
        <v>21</v>
      </c>
      <c r="N335" s="4"/>
      <c r="O335" s="4" t="s">
        <v>403</v>
      </c>
    </row>
    <row r="336" spans="2:15">
      <c r="B336" s="14"/>
      <c r="C336" s="14"/>
      <c r="D336" s="24" t="s">
        <v>305</v>
      </c>
      <c r="E336" s="11">
        <v>2.4</v>
      </c>
      <c r="F336" s="12"/>
      <c r="G336" s="12"/>
      <c r="H336" s="12">
        <v>3.3</v>
      </c>
      <c r="I336" s="13">
        <v>1.4</v>
      </c>
      <c r="J336" s="17">
        <v>2013</v>
      </c>
      <c r="K336" s="20" t="s">
        <v>306</v>
      </c>
      <c r="L336" s="4" t="s">
        <v>36</v>
      </c>
      <c r="M336" s="4" t="s">
        <v>21</v>
      </c>
      <c r="N336" s="4"/>
      <c r="O336" s="4" t="s">
        <v>316</v>
      </c>
    </row>
    <row r="337" spans="2:15">
      <c r="B337" s="14"/>
      <c r="C337" s="14"/>
      <c r="D337" s="24" t="s">
        <v>305</v>
      </c>
      <c r="E337" s="11">
        <v>2</v>
      </c>
      <c r="F337" s="12"/>
      <c r="G337" s="12"/>
      <c r="H337" s="12">
        <v>2.8</v>
      </c>
      <c r="I337" s="13">
        <v>1.1000000000000001</v>
      </c>
      <c r="J337" s="17">
        <v>2012</v>
      </c>
      <c r="K337" s="20" t="s">
        <v>306</v>
      </c>
      <c r="L337" s="4" t="s">
        <v>36</v>
      </c>
      <c r="M337" s="4" t="s">
        <v>21</v>
      </c>
      <c r="N337" s="4"/>
      <c r="O337" s="4" t="s">
        <v>325</v>
      </c>
    </row>
    <row r="338" spans="2:15">
      <c r="B338" s="14"/>
      <c r="C338" s="14"/>
      <c r="D338" s="24" t="s">
        <v>305</v>
      </c>
      <c r="E338" s="11">
        <v>2.2000000000000002</v>
      </c>
      <c r="F338" s="12"/>
      <c r="G338" s="12"/>
      <c r="H338" s="12"/>
      <c r="I338" s="13"/>
      <c r="J338" s="17">
        <v>2011</v>
      </c>
      <c r="K338" s="20" t="s">
        <v>306</v>
      </c>
      <c r="L338" s="4" t="s">
        <v>36</v>
      </c>
      <c r="M338" s="4" t="s">
        <v>21</v>
      </c>
      <c r="N338" s="4"/>
      <c r="O338" s="4" t="s">
        <v>404</v>
      </c>
    </row>
    <row r="339" spans="2:15">
      <c r="B339" s="14"/>
      <c r="C339" s="14"/>
      <c r="D339" s="24" t="s">
        <v>305</v>
      </c>
      <c r="E339" s="11">
        <v>2.2000000000000002</v>
      </c>
      <c r="F339" s="12"/>
      <c r="G339" s="12"/>
      <c r="H339" s="12"/>
      <c r="I339" s="13"/>
      <c r="J339" s="17">
        <v>2010</v>
      </c>
      <c r="K339" s="20" t="s">
        <v>306</v>
      </c>
      <c r="L339" s="4" t="s">
        <v>125</v>
      </c>
      <c r="M339" s="4" t="s">
        <v>51</v>
      </c>
      <c r="N339" s="4"/>
      <c r="O339" s="4" t="s">
        <v>322</v>
      </c>
    </row>
    <row r="340" spans="2:15">
      <c r="B340" s="14"/>
      <c r="C340" s="14"/>
      <c r="D340" s="24" t="s">
        <v>320</v>
      </c>
      <c r="E340" s="11">
        <v>1.8</v>
      </c>
      <c r="F340" s="12"/>
      <c r="G340" s="12"/>
      <c r="H340" s="12"/>
      <c r="I340" s="13"/>
      <c r="J340" s="17">
        <v>2014</v>
      </c>
      <c r="K340" s="20" t="s">
        <v>27</v>
      </c>
      <c r="L340" s="4" t="s">
        <v>36</v>
      </c>
      <c r="M340" s="4" t="s">
        <v>21</v>
      </c>
      <c r="N340" s="4"/>
      <c r="O340" s="4" t="s">
        <v>321</v>
      </c>
    </row>
    <row r="341" spans="2:15">
      <c r="B341" s="14"/>
      <c r="C341" s="14"/>
      <c r="D341" s="24" t="s">
        <v>320</v>
      </c>
      <c r="E341" s="11">
        <v>1.5</v>
      </c>
      <c r="F341" s="12"/>
      <c r="G341" s="12"/>
      <c r="H341" s="12"/>
      <c r="I341" s="13"/>
      <c r="J341" s="17">
        <v>2011</v>
      </c>
      <c r="K341" s="20" t="s">
        <v>27</v>
      </c>
      <c r="L341" s="4" t="s">
        <v>36</v>
      </c>
      <c r="M341" s="4" t="s">
        <v>21</v>
      </c>
      <c r="N341" s="4"/>
      <c r="O341" s="4" t="s">
        <v>322</v>
      </c>
    </row>
    <row r="342" spans="2:15">
      <c r="B342" s="14"/>
      <c r="C342" s="14"/>
      <c r="D342" s="24" t="s">
        <v>320</v>
      </c>
      <c r="E342" s="11">
        <v>1.9</v>
      </c>
      <c r="F342" s="12"/>
      <c r="G342" s="12"/>
      <c r="H342" s="12"/>
      <c r="I342" s="13"/>
      <c r="J342" s="17">
        <v>2006</v>
      </c>
      <c r="K342" s="20" t="s">
        <v>27</v>
      </c>
      <c r="L342" s="4" t="s">
        <v>125</v>
      </c>
      <c r="M342" s="4" t="s">
        <v>51</v>
      </c>
      <c r="N342" s="4"/>
      <c r="O342" s="4"/>
    </row>
    <row r="343" spans="2:15">
      <c r="B343" s="14"/>
      <c r="C343" s="14"/>
      <c r="D343" s="24" t="s">
        <v>323</v>
      </c>
      <c r="E343" s="11">
        <v>2.34</v>
      </c>
      <c r="F343" s="12"/>
      <c r="G343" s="12"/>
      <c r="H343" s="12">
        <v>3.82</v>
      </c>
      <c r="I343" s="13">
        <v>0.9</v>
      </c>
      <c r="J343" s="17">
        <v>2014</v>
      </c>
      <c r="K343" s="20" t="s">
        <v>265</v>
      </c>
      <c r="L343" s="4" t="s">
        <v>36</v>
      </c>
      <c r="M343" s="4" t="s">
        <v>21</v>
      </c>
      <c r="N343" s="4"/>
      <c r="O343" s="4" t="s">
        <v>321</v>
      </c>
    </row>
    <row r="344" spans="2:15">
      <c r="B344" s="14"/>
      <c r="C344" s="14"/>
      <c r="D344" s="24" t="s">
        <v>323</v>
      </c>
      <c r="E344" s="11">
        <v>2.2000000000000002</v>
      </c>
      <c r="F344" s="12"/>
      <c r="G344" s="12"/>
      <c r="H344" s="12">
        <v>3.3</v>
      </c>
      <c r="I344" s="13">
        <v>1.1000000000000001</v>
      </c>
      <c r="J344" s="17">
        <v>2012</v>
      </c>
      <c r="K344" s="20" t="s">
        <v>265</v>
      </c>
      <c r="L344" s="4" t="s">
        <v>36</v>
      </c>
      <c r="M344" s="4" t="s">
        <v>21</v>
      </c>
      <c r="N344" s="4"/>
      <c r="O344" s="4" t="s">
        <v>325</v>
      </c>
    </row>
    <row r="345" spans="2:15">
      <c r="B345" s="14"/>
      <c r="C345" s="14"/>
      <c r="D345" s="24" t="s">
        <v>323</v>
      </c>
      <c r="E345" s="11">
        <v>2.4</v>
      </c>
      <c r="F345" s="12"/>
      <c r="G345" s="12"/>
      <c r="H345" s="12"/>
      <c r="I345" s="13"/>
      <c r="J345" s="17">
        <v>2011</v>
      </c>
      <c r="K345" s="20" t="s">
        <v>265</v>
      </c>
      <c r="L345" s="4" t="s">
        <v>36</v>
      </c>
      <c r="M345" s="4" t="s">
        <v>21</v>
      </c>
      <c r="N345" s="4"/>
      <c r="O345" s="4" t="s">
        <v>322</v>
      </c>
    </row>
    <row r="346" spans="2:15">
      <c r="B346" s="14"/>
      <c r="C346" s="14"/>
      <c r="D346" s="24" t="s">
        <v>323</v>
      </c>
      <c r="E346" s="11">
        <v>2.7</v>
      </c>
      <c r="F346" s="12"/>
      <c r="G346" s="12"/>
      <c r="H346" s="12"/>
      <c r="I346" s="13"/>
      <c r="J346" s="17">
        <v>2010</v>
      </c>
      <c r="K346" s="20" t="s">
        <v>265</v>
      </c>
      <c r="L346" s="4" t="s">
        <v>125</v>
      </c>
      <c r="M346" s="4" t="s">
        <v>51</v>
      </c>
      <c r="N346" s="4"/>
      <c r="O346" s="4" t="s">
        <v>326</v>
      </c>
    </row>
    <row r="347" spans="2:15">
      <c r="B347" s="14" t="s">
        <v>327</v>
      </c>
      <c r="C347" s="14" t="s">
        <v>328</v>
      </c>
      <c r="D347" s="24" t="s">
        <v>329</v>
      </c>
      <c r="E347" s="11">
        <v>4.5</v>
      </c>
      <c r="F347" s="12">
        <f>E347-0.4</f>
        <v>4.0999999999999996</v>
      </c>
      <c r="G347" s="12">
        <f>E347+0.4</f>
        <v>4.9000000000000004</v>
      </c>
      <c r="H347" s="12">
        <v>5.3</v>
      </c>
      <c r="I347" s="13">
        <v>3.7</v>
      </c>
      <c r="J347" s="17" t="s">
        <v>330</v>
      </c>
      <c r="K347" s="20" t="s">
        <v>226</v>
      </c>
      <c r="L347" s="4" t="s">
        <v>125</v>
      </c>
      <c r="M347" s="4" t="s">
        <v>21</v>
      </c>
      <c r="N347" s="4"/>
      <c r="O347" s="4"/>
    </row>
    <row r="348" spans="2:15">
      <c r="B348" s="14"/>
      <c r="C348" s="14"/>
      <c r="D348" s="24" t="s">
        <v>329</v>
      </c>
      <c r="E348" s="11">
        <v>4.2</v>
      </c>
      <c r="F348" s="12"/>
      <c r="G348" s="12"/>
      <c r="H348" s="12">
        <v>5.5</v>
      </c>
      <c r="I348" s="13">
        <v>3</v>
      </c>
      <c r="J348" s="17">
        <v>2019</v>
      </c>
      <c r="K348" s="20" t="s">
        <v>226</v>
      </c>
      <c r="L348" s="4" t="s">
        <v>24</v>
      </c>
      <c r="M348" s="4" t="s">
        <v>21</v>
      </c>
      <c r="N348" s="4"/>
      <c r="O348" s="4"/>
    </row>
    <row r="349" spans="2:15">
      <c r="B349" s="14"/>
      <c r="C349" s="14"/>
      <c r="D349" s="24" t="s">
        <v>329</v>
      </c>
      <c r="E349" s="11">
        <v>2.5</v>
      </c>
      <c r="F349" s="12"/>
      <c r="G349" s="12"/>
      <c r="H349" s="12">
        <v>3.1</v>
      </c>
      <c r="I349" s="13">
        <v>2</v>
      </c>
      <c r="J349" s="17">
        <v>2016</v>
      </c>
      <c r="K349" s="20" t="s">
        <v>226</v>
      </c>
      <c r="L349" s="4" t="s">
        <v>24</v>
      </c>
      <c r="M349" s="4" t="s">
        <v>21</v>
      </c>
      <c r="N349" s="4"/>
      <c r="O349" s="4"/>
    </row>
    <row r="350" spans="2:15">
      <c r="B350" s="14"/>
      <c r="C350" s="14"/>
      <c r="D350" s="24" t="s">
        <v>329</v>
      </c>
      <c r="E350" s="11">
        <v>2.1</v>
      </c>
      <c r="F350" s="12"/>
      <c r="G350" s="12"/>
      <c r="H350" s="12">
        <v>2.9</v>
      </c>
      <c r="I350" s="13">
        <v>1.4</v>
      </c>
      <c r="J350" s="17">
        <v>2013</v>
      </c>
      <c r="K350" s="20" t="s">
        <v>226</v>
      </c>
      <c r="L350" s="4" t="s">
        <v>24</v>
      </c>
      <c r="M350" s="4" t="s">
        <v>21</v>
      </c>
      <c r="N350" s="4"/>
      <c r="O350" s="4"/>
    </row>
    <row r="351" spans="2:15">
      <c r="B351" s="14"/>
      <c r="C351" s="14"/>
      <c r="D351" s="24" t="s">
        <v>329</v>
      </c>
      <c r="E351" s="11">
        <v>2.1</v>
      </c>
      <c r="F351" s="12"/>
      <c r="G351" s="12"/>
      <c r="H351" s="12"/>
      <c r="I351" s="13"/>
      <c r="J351" s="17">
        <v>2010</v>
      </c>
      <c r="K351" s="20" t="s">
        <v>226</v>
      </c>
      <c r="L351" s="4" t="s">
        <v>24</v>
      </c>
      <c r="M351" s="4" t="s">
        <v>21</v>
      </c>
      <c r="N351" s="4"/>
      <c r="O351" s="4"/>
    </row>
    <row r="352" spans="2:15">
      <c r="B352" s="14"/>
      <c r="C352" s="14"/>
      <c r="D352" s="24" t="s">
        <v>329</v>
      </c>
      <c r="E352" s="11">
        <v>1.9</v>
      </c>
      <c r="F352" s="12"/>
      <c r="G352" s="12"/>
      <c r="H352" s="12"/>
      <c r="I352" s="13"/>
      <c r="J352" s="17">
        <v>2007</v>
      </c>
      <c r="K352" s="20" t="s">
        <v>27</v>
      </c>
      <c r="L352" s="4" t="s">
        <v>125</v>
      </c>
      <c r="M352" s="4" t="s">
        <v>51</v>
      </c>
      <c r="N352" s="4"/>
      <c r="O352" s="4"/>
    </row>
    <row r="353" spans="2:15">
      <c r="B353" s="14"/>
      <c r="C353" s="14"/>
      <c r="D353" s="24" t="s">
        <v>331</v>
      </c>
      <c r="E353" s="11">
        <v>2.4</v>
      </c>
      <c r="F353" s="12">
        <v>2</v>
      </c>
      <c r="G353" s="12">
        <v>2.9</v>
      </c>
      <c r="H353" s="12">
        <v>3.6</v>
      </c>
      <c r="I353" s="13">
        <v>1.3</v>
      </c>
      <c r="J353" s="17" t="s">
        <v>332</v>
      </c>
      <c r="K353" s="20" t="s">
        <v>50</v>
      </c>
      <c r="L353" s="4" t="s">
        <v>36</v>
      </c>
      <c r="M353" s="4" t="s">
        <v>51</v>
      </c>
      <c r="N353" s="4"/>
      <c r="O353" s="4"/>
    </row>
    <row r="354" spans="2:15">
      <c r="B354" s="14"/>
      <c r="C354" s="14"/>
      <c r="D354" s="24" t="s">
        <v>331</v>
      </c>
      <c r="E354" s="11">
        <v>1.3</v>
      </c>
      <c r="F354" s="12"/>
      <c r="G354" s="12"/>
      <c r="H354" s="12">
        <v>2.2000000000000002</v>
      </c>
      <c r="I354" s="13">
        <v>0.5</v>
      </c>
      <c r="J354" s="17" t="s">
        <v>330</v>
      </c>
      <c r="K354" s="20" t="s">
        <v>50</v>
      </c>
      <c r="L354" s="4" t="s">
        <v>38</v>
      </c>
      <c r="M354" s="4" t="s">
        <v>51</v>
      </c>
      <c r="N354" s="4"/>
      <c r="O354" s="4"/>
    </row>
    <row r="355" spans="2:15">
      <c r="B355" s="14"/>
      <c r="C355" s="14"/>
      <c r="D355" s="24" t="s">
        <v>331</v>
      </c>
      <c r="E355" s="11">
        <v>1.1000000000000001</v>
      </c>
      <c r="F355" s="12"/>
      <c r="G355" s="12"/>
      <c r="H355" s="12"/>
      <c r="I355" s="13"/>
      <c r="J355" s="17">
        <v>2022</v>
      </c>
      <c r="K355" s="20" t="s">
        <v>27</v>
      </c>
      <c r="L355" s="4" t="s">
        <v>24</v>
      </c>
      <c r="M355" s="4" t="s">
        <v>21</v>
      </c>
      <c r="N355" s="4"/>
      <c r="O355" s="4" t="s">
        <v>333</v>
      </c>
    </row>
    <row r="356" spans="2:15">
      <c r="B356" s="14"/>
      <c r="C356" s="14"/>
      <c r="D356" s="24" t="s">
        <v>331</v>
      </c>
      <c r="E356" s="11">
        <v>0.6</v>
      </c>
      <c r="F356" s="12">
        <v>0.3</v>
      </c>
      <c r="G356" s="12">
        <v>0.8</v>
      </c>
      <c r="H356" s="12">
        <v>0.9</v>
      </c>
      <c r="I356" s="13">
        <v>0.3</v>
      </c>
      <c r="J356" s="17">
        <v>2008</v>
      </c>
      <c r="K356" s="20" t="s">
        <v>265</v>
      </c>
      <c r="L356" s="4" t="s">
        <v>36</v>
      </c>
      <c r="M356" s="4" t="s">
        <v>21</v>
      </c>
      <c r="N356" s="4"/>
      <c r="O356" s="4" t="s">
        <v>405</v>
      </c>
    </row>
    <row r="357" spans="2:15">
      <c r="B357" s="14"/>
      <c r="C357" s="14"/>
      <c r="D357" s="24" t="s">
        <v>331</v>
      </c>
      <c r="E357" s="11">
        <v>0.76</v>
      </c>
      <c r="F357" s="12"/>
      <c r="G357" s="12"/>
      <c r="H357" s="12"/>
      <c r="I357" s="13"/>
      <c r="J357" s="17">
        <v>2006</v>
      </c>
      <c r="K357" s="20" t="s">
        <v>27</v>
      </c>
      <c r="L357" s="4" t="s">
        <v>38</v>
      </c>
      <c r="M357" s="4" t="s">
        <v>51</v>
      </c>
      <c r="N357" s="4" t="s">
        <v>342</v>
      </c>
      <c r="O357" s="4"/>
    </row>
    <row r="358" spans="2:15" ht="165.75" customHeight="1">
      <c r="B358" s="83" t="s">
        <v>406</v>
      </c>
      <c r="C358" s="81"/>
      <c r="D358" s="81"/>
      <c r="E358" s="81"/>
      <c r="F358" s="81"/>
      <c r="G358" s="81"/>
      <c r="H358" s="81"/>
      <c r="I358" s="81"/>
      <c r="J358" s="81"/>
      <c r="K358" s="81"/>
      <c r="L358" s="81"/>
      <c r="M358" s="81"/>
      <c r="N358" s="81"/>
      <c r="O358" s="81"/>
    </row>
    <row r="359" spans="2:15">
      <c r="O359"/>
    </row>
    <row r="360" spans="2:15">
      <c r="O360"/>
    </row>
    <row r="361" spans="2:15">
      <c r="O361"/>
    </row>
    <row r="362" spans="2:15">
      <c r="O362"/>
    </row>
    <row r="363" spans="2:15">
      <c r="O363"/>
    </row>
    <row r="364" spans="2:15">
      <c r="O364"/>
    </row>
    <row r="365" spans="2:15">
      <c r="O365"/>
    </row>
    <row r="366" spans="2:15">
      <c r="O366"/>
    </row>
    <row r="367" spans="2:15">
      <c r="O367"/>
    </row>
    <row r="368" spans="2:15">
      <c r="O368"/>
    </row>
    <row r="369" spans="15:15">
      <c r="O369"/>
    </row>
    <row r="370" spans="15:15">
      <c r="O370"/>
    </row>
    <row r="371" spans="15:15">
      <c r="O371"/>
    </row>
    <row r="372" spans="15:15">
      <c r="O372"/>
    </row>
    <row r="373" spans="15:15">
      <c r="O373"/>
    </row>
    <row r="374" spans="15:15">
      <c r="O374"/>
    </row>
    <row r="375" spans="15:15">
      <c r="O375"/>
    </row>
    <row r="376" spans="15:15">
      <c r="O376"/>
    </row>
    <row r="377" spans="15:15">
      <c r="O377"/>
    </row>
    <row r="378" spans="15:15">
      <c r="O378"/>
    </row>
    <row r="379" spans="15:15">
      <c r="O379"/>
    </row>
    <row r="380" spans="15:15">
      <c r="O380"/>
    </row>
    <row r="381" spans="15:15">
      <c r="O381"/>
    </row>
    <row r="382" spans="15:15">
      <c r="O382"/>
    </row>
    <row r="383" spans="15:15">
      <c r="O383"/>
    </row>
    <row r="384" spans="15:15">
      <c r="O384"/>
    </row>
    <row r="385" spans="15:15">
      <c r="O385"/>
    </row>
    <row r="386" spans="15:15">
      <c r="O386"/>
    </row>
    <row r="387" spans="15:15">
      <c r="O387"/>
    </row>
    <row r="388" spans="15:15">
      <c r="O388"/>
    </row>
    <row r="389" spans="15:15">
      <c r="O389"/>
    </row>
    <row r="390" spans="15:15">
      <c r="O390"/>
    </row>
    <row r="391" spans="15:15">
      <c r="O391"/>
    </row>
    <row r="392" spans="15:15">
      <c r="O392"/>
    </row>
    <row r="393" spans="15:15">
      <c r="O393"/>
    </row>
    <row r="394" spans="15:15">
      <c r="O394"/>
    </row>
    <row r="395" spans="15:15">
      <c r="O395"/>
    </row>
    <row r="396" spans="15:15">
      <c r="O396"/>
    </row>
    <row r="397" spans="15:15">
      <c r="O397"/>
    </row>
    <row r="398" spans="15:15">
      <c r="O398"/>
    </row>
    <row r="399" spans="15:15">
      <c r="O399"/>
    </row>
    <row r="400" spans="15:15">
      <c r="O400"/>
    </row>
    <row r="401" spans="15:15">
      <c r="O401"/>
    </row>
    <row r="402" spans="15:15">
      <c r="O402"/>
    </row>
    <row r="403" spans="15:15">
      <c r="O403"/>
    </row>
    <row r="404" spans="15:15">
      <c r="O404"/>
    </row>
    <row r="405" spans="15:15">
      <c r="O405"/>
    </row>
    <row r="406" spans="15:15">
      <c r="O406"/>
    </row>
    <row r="407" spans="15:15">
      <c r="O407"/>
    </row>
    <row r="408" spans="15:15">
      <c r="O408"/>
    </row>
    <row r="409" spans="15:15">
      <c r="O409"/>
    </row>
    <row r="410" spans="15:15">
      <c r="O410"/>
    </row>
    <row r="411" spans="15:15">
      <c r="O411"/>
    </row>
    <row r="412" spans="15:15">
      <c r="O412"/>
    </row>
    <row r="413" spans="15:15">
      <c r="O413"/>
    </row>
    <row r="414" spans="15:15">
      <c r="O414"/>
    </row>
    <row r="415" spans="15:15">
      <c r="O415"/>
    </row>
    <row r="416" spans="15:15">
      <c r="O416"/>
    </row>
    <row r="417" spans="15:15">
      <c r="O417"/>
    </row>
    <row r="418" spans="15:15">
      <c r="O418"/>
    </row>
    <row r="419" spans="15:15">
      <c r="O419"/>
    </row>
    <row r="420" spans="15:15">
      <c r="O420"/>
    </row>
    <row r="421" spans="15:15">
      <c r="O421"/>
    </row>
    <row r="422" spans="15:15">
      <c r="O422"/>
    </row>
    <row r="423" spans="15:15">
      <c r="O423"/>
    </row>
    <row r="424" spans="15:15">
      <c r="O424"/>
    </row>
    <row r="425" spans="15:15">
      <c r="O425"/>
    </row>
    <row r="426" spans="15:15">
      <c r="O426"/>
    </row>
    <row r="427" spans="15:15">
      <c r="O427"/>
    </row>
    <row r="428" spans="15:15">
      <c r="O428"/>
    </row>
    <row r="429" spans="15:15">
      <c r="O429"/>
    </row>
    <row r="430" spans="15:15">
      <c r="O430"/>
    </row>
    <row r="431" spans="15:15">
      <c r="O431"/>
    </row>
    <row r="432" spans="15:15">
      <c r="O432"/>
    </row>
    <row r="433" spans="15:15">
      <c r="O433"/>
    </row>
    <row r="434" spans="15:15">
      <c r="O434"/>
    </row>
    <row r="435" spans="15:15">
      <c r="O435"/>
    </row>
    <row r="436" spans="15:15">
      <c r="O436"/>
    </row>
    <row r="437" spans="15:15">
      <c r="O437"/>
    </row>
    <row r="438" spans="15:15">
      <c r="O438"/>
    </row>
    <row r="439" spans="15:15">
      <c r="O439"/>
    </row>
    <row r="440" spans="15:15">
      <c r="O440"/>
    </row>
    <row r="441" spans="15:15">
      <c r="O441"/>
    </row>
    <row r="442" spans="15:15">
      <c r="O442"/>
    </row>
    <row r="443" spans="15:15">
      <c r="O443"/>
    </row>
    <row r="444" spans="15:15">
      <c r="O444"/>
    </row>
    <row r="445" spans="15:15">
      <c r="O445"/>
    </row>
    <row r="446" spans="15:15">
      <c r="O446"/>
    </row>
    <row r="447" spans="15:15">
      <c r="O447"/>
    </row>
    <row r="448" spans="15:15">
      <c r="O448"/>
    </row>
    <row r="449" spans="15:15">
      <c r="O449"/>
    </row>
    <row r="450" spans="15:15">
      <c r="O450"/>
    </row>
    <row r="451" spans="15:15">
      <c r="O451"/>
    </row>
    <row r="452" spans="15:15">
      <c r="O452"/>
    </row>
    <row r="453" spans="15:15">
      <c r="O453"/>
    </row>
    <row r="454" spans="15:15">
      <c r="O454"/>
    </row>
    <row r="455" spans="15:15">
      <c r="O455"/>
    </row>
    <row r="456" spans="15:15">
      <c r="O456"/>
    </row>
    <row r="457" spans="15:15">
      <c r="O457"/>
    </row>
    <row r="458" spans="15:15">
      <c r="O458"/>
    </row>
    <row r="459" spans="15:15">
      <c r="O459"/>
    </row>
    <row r="460" spans="15:15">
      <c r="O460"/>
    </row>
    <row r="461" spans="15:15">
      <c r="O461"/>
    </row>
    <row r="462" spans="15:15">
      <c r="O462"/>
    </row>
    <row r="463" spans="15:15">
      <c r="O463"/>
    </row>
    <row r="464" spans="15:15">
      <c r="O464"/>
    </row>
    <row r="465" spans="15:15">
      <c r="O465"/>
    </row>
    <row r="466" spans="15:15">
      <c r="O466"/>
    </row>
    <row r="467" spans="15:15">
      <c r="O467"/>
    </row>
    <row r="468" spans="15:15">
      <c r="O468"/>
    </row>
    <row r="469" spans="15:15">
      <c r="O469"/>
    </row>
    <row r="470" spans="15:15">
      <c r="O470"/>
    </row>
    <row r="471" spans="15:15">
      <c r="O471"/>
    </row>
    <row r="472" spans="15:15">
      <c r="O472"/>
    </row>
    <row r="473" spans="15:15">
      <c r="O473"/>
    </row>
    <row r="474" spans="15:15">
      <c r="O474"/>
    </row>
    <row r="475" spans="15:15">
      <c r="O475"/>
    </row>
    <row r="476" spans="15:15">
      <c r="O476"/>
    </row>
    <row r="477" spans="15:15">
      <c r="O477"/>
    </row>
    <row r="478" spans="15:15">
      <c r="O478"/>
    </row>
    <row r="479" spans="15:15">
      <c r="O479"/>
    </row>
    <row r="480" spans="15:15">
      <c r="O480"/>
    </row>
    <row r="481" spans="15:15">
      <c r="O481"/>
    </row>
    <row r="482" spans="15:15">
      <c r="O482"/>
    </row>
    <row r="483" spans="15:15">
      <c r="O483"/>
    </row>
    <row r="484" spans="15:15">
      <c r="O484"/>
    </row>
    <row r="485" spans="15:15">
      <c r="O485"/>
    </row>
    <row r="486" spans="15:15">
      <c r="O486"/>
    </row>
    <row r="487" spans="15:15">
      <c r="O487"/>
    </row>
    <row r="488" spans="15:15">
      <c r="O488"/>
    </row>
    <row r="489" spans="15:15">
      <c r="O489"/>
    </row>
    <row r="490" spans="15:15">
      <c r="O490"/>
    </row>
    <row r="491" spans="15:15">
      <c r="O491"/>
    </row>
    <row r="492" spans="15:15">
      <c r="O492"/>
    </row>
    <row r="493" spans="15:15">
      <c r="O493"/>
    </row>
    <row r="494" spans="15:15">
      <c r="O494"/>
    </row>
    <row r="495" spans="15:15">
      <c r="O495"/>
    </row>
    <row r="496" spans="15:15">
      <c r="O496"/>
    </row>
    <row r="497" spans="15:15">
      <c r="O497"/>
    </row>
    <row r="498" spans="15:15">
      <c r="O498"/>
    </row>
    <row r="499" spans="15:15">
      <c r="O499"/>
    </row>
    <row r="500" spans="15:15">
      <c r="O500"/>
    </row>
    <row r="501" spans="15:15">
      <c r="O501"/>
    </row>
    <row r="502" spans="15:15">
      <c r="O502"/>
    </row>
    <row r="503" spans="15:15">
      <c r="O503"/>
    </row>
    <row r="504" spans="15:15">
      <c r="O504"/>
    </row>
    <row r="505" spans="15:15">
      <c r="O505"/>
    </row>
    <row r="506" spans="15:15">
      <c r="O506"/>
    </row>
    <row r="507" spans="15:15">
      <c r="O507"/>
    </row>
    <row r="508" spans="15:15">
      <c r="O508"/>
    </row>
    <row r="509" spans="15:15">
      <c r="O509"/>
    </row>
    <row r="510" spans="15:15">
      <c r="O510"/>
    </row>
    <row r="511" spans="15:15">
      <c r="O511"/>
    </row>
    <row r="512" spans="15:15">
      <c r="O512"/>
    </row>
    <row r="513" spans="15:15">
      <c r="O513"/>
    </row>
    <row r="514" spans="15:15">
      <c r="O514"/>
    </row>
    <row r="515" spans="15:15">
      <c r="O515"/>
    </row>
    <row r="516" spans="15:15">
      <c r="O516"/>
    </row>
    <row r="517" spans="15:15">
      <c r="O517"/>
    </row>
    <row r="518" spans="15:15">
      <c r="O518"/>
    </row>
    <row r="519" spans="15:15">
      <c r="O519"/>
    </row>
    <row r="520" spans="15:15">
      <c r="O520"/>
    </row>
    <row r="521" spans="15:15">
      <c r="O521"/>
    </row>
    <row r="522" spans="15:15">
      <c r="O522"/>
    </row>
    <row r="523" spans="15:15">
      <c r="O523"/>
    </row>
    <row r="524" spans="15:15">
      <c r="O524"/>
    </row>
    <row r="525" spans="15:15">
      <c r="O525"/>
    </row>
    <row r="526" spans="15:15">
      <c r="O526"/>
    </row>
    <row r="527" spans="15:15">
      <c r="O527"/>
    </row>
    <row r="528" spans="15:15">
      <c r="O528"/>
    </row>
    <row r="529" spans="15:15">
      <c r="O529"/>
    </row>
    <row r="530" spans="15:15">
      <c r="O530"/>
    </row>
    <row r="531" spans="15:15">
      <c r="O531"/>
    </row>
    <row r="532" spans="15:15">
      <c r="O532"/>
    </row>
    <row r="533" spans="15:15">
      <c r="O533"/>
    </row>
    <row r="534" spans="15:15">
      <c r="O534"/>
    </row>
    <row r="535" spans="15:15">
      <c r="O535"/>
    </row>
    <row r="536" spans="15:15">
      <c r="O536"/>
    </row>
    <row r="537" spans="15:15">
      <c r="O537"/>
    </row>
    <row r="538" spans="15:15">
      <c r="O538"/>
    </row>
    <row r="539" spans="15:15">
      <c r="O539"/>
    </row>
    <row r="540" spans="15:15">
      <c r="O540"/>
    </row>
    <row r="541" spans="15:15">
      <c r="O541"/>
    </row>
    <row r="542" spans="15:15">
      <c r="O542"/>
    </row>
    <row r="543" spans="15:15">
      <c r="O543"/>
    </row>
    <row r="544" spans="15:15">
      <c r="O544"/>
    </row>
    <row r="545" spans="15:15">
      <c r="O545"/>
    </row>
    <row r="546" spans="15:15">
      <c r="O546"/>
    </row>
    <row r="547" spans="15:15">
      <c r="O547"/>
    </row>
    <row r="548" spans="15:15">
      <c r="O548"/>
    </row>
    <row r="549" spans="15:15">
      <c r="O549"/>
    </row>
    <row r="550" spans="15:15">
      <c r="O550"/>
    </row>
    <row r="551" spans="15:15">
      <c r="O551"/>
    </row>
    <row r="552" spans="15:15">
      <c r="O552"/>
    </row>
    <row r="553" spans="15:15">
      <c r="O553"/>
    </row>
    <row r="554" spans="15:15">
      <c r="O554"/>
    </row>
    <row r="555" spans="15:15">
      <c r="O555"/>
    </row>
    <row r="556" spans="15:15">
      <c r="O556"/>
    </row>
    <row r="557" spans="15:15">
      <c r="O557"/>
    </row>
    <row r="558" spans="15:15">
      <c r="O558"/>
    </row>
    <row r="559" spans="15:15">
      <c r="O559"/>
    </row>
    <row r="560" spans="15:15">
      <c r="O560"/>
    </row>
    <row r="561" spans="15:15">
      <c r="O561"/>
    </row>
    <row r="562" spans="15:15">
      <c r="O562"/>
    </row>
    <row r="563" spans="15:15">
      <c r="O563"/>
    </row>
    <row r="564" spans="15:15">
      <c r="O564"/>
    </row>
    <row r="565" spans="15:15">
      <c r="O565"/>
    </row>
    <row r="566" spans="15:15">
      <c r="O566"/>
    </row>
    <row r="567" spans="15:15">
      <c r="O567"/>
    </row>
    <row r="568" spans="15:15">
      <c r="O568"/>
    </row>
    <row r="569" spans="15:15">
      <c r="O569"/>
    </row>
    <row r="570" spans="15:15">
      <c r="O570"/>
    </row>
    <row r="571" spans="15:15">
      <c r="O571"/>
    </row>
    <row r="572" spans="15:15">
      <c r="O572"/>
    </row>
    <row r="573" spans="15:15">
      <c r="O573"/>
    </row>
    <row r="574" spans="15:15">
      <c r="O574"/>
    </row>
    <row r="575" spans="15:15">
      <c r="O575"/>
    </row>
    <row r="576" spans="15:15">
      <c r="O576"/>
    </row>
    <row r="577" spans="15:15">
      <c r="O577"/>
    </row>
    <row r="578" spans="15:15">
      <c r="O578"/>
    </row>
    <row r="579" spans="15:15">
      <c r="O579"/>
    </row>
    <row r="580" spans="15:15">
      <c r="O580"/>
    </row>
    <row r="581" spans="15:15">
      <c r="O581"/>
    </row>
    <row r="582" spans="15:15">
      <c r="O582"/>
    </row>
    <row r="583" spans="15:15">
      <c r="O583"/>
    </row>
    <row r="584" spans="15:15">
      <c r="O584"/>
    </row>
    <row r="585" spans="15:15">
      <c r="O585"/>
    </row>
    <row r="586" spans="15:15">
      <c r="O586"/>
    </row>
    <row r="587" spans="15:15">
      <c r="O587"/>
    </row>
    <row r="588" spans="15:15">
      <c r="O588"/>
    </row>
    <row r="589" spans="15:15">
      <c r="O589"/>
    </row>
    <row r="590" spans="15:15">
      <c r="O590"/>
    </row>
    <row r="591" spans="15:15">
      <c r="O591"/>
    </row>
    <row r="592" spans="15:15">
      <c r="O592"/>
    </row>
    <row r="593" spans="15:15">
      <c r="O593"/>
    </row>
    <row r="594" spans="15:15">
      <c r="O594"/>
    </row>
    <row r="595" spans="15:15">
      <c r="O595"/>
    </row>
    <row r="596" spans="15:15">
      <c r="O596"/>
    </row>
    <row r="597" spans="15:15">
      <c r="O597"/>
    </row>
    <row r="598" spans="15:15">
      <c r="O598"/>
    </row>
    <row r="599" spans="15:15">
      <c r="O599"/>
    </row>
    <row r="600" spans="15:15">
      <c r="O600"/>
    </row>
    <row r="601" spans="15:15">
      <c r="O601"/>
    </row>
    <row r="602" spans="15:15">
      <c r="O602"/>
    </row>
    <row r="603" spans="15:15">
      <c r="O603"/>
    </row>
    <row r="604" spans="15:15">
      <c r="O604"/>
    </row>
    <row r="605" spans="15:15">
      <c r="O605"/>
    </row>
    <row r="606" spans="15:15">
      <c r="O606"/>
    </row>
    <row r="607" spans="15:15">
      <c r="O607"/>
    </row>
    <row r="608" spans="15:15">
      <c r="O608"/>
    </row>
    <row r="609" spans="15:15">
      <c r="O609"/>
    </row>
    <row r="610" spans="15:15">
      <c r="O610"/>
    </row>
    <row r="611" spans="15:15">
      <c r="O611"/>
    </row>
    <row r="612" spans="15:15">
      <c r="O612"/>
    </row>
    <row r="613" spans="15:15">
      <c r="O613"/>
    </row>
    <row r="614" spans="15:15">
      <c r="O614"/>
    </row>
    <row r="615" spans="15:15">
      <c r="O615"/>
    </row>
    <row r="616" spans="15:15">
      <c r="O616"/>
    </row>
    <row r="617" spans="15:15">
      <c r="O617"/>
    </row>
    <row r="618" spans="15:15">
      <c r="O618"/>
    </row>
    <row r="619" spans="15:15">
      <c r="O619"/>
    </row>
    <row r="620" spans="15:15">
      <c r="O620"/>
    </row>
    <row r="621" spans="15:15">
      <c r="O621"/>
    </row>
    <row r="622" spans="15:15">
      <c r="O622"/>
    </row>
    <row r="623" spans="15:15">
      <c r="O623"/>
    </row>
    <row r="624" spans="15:15">
      <c r="O624"/>
    </row>
    <row r="625" spans="15:15">
      <c r="O625"/>
    </row>
    <row r="626" spans="15:15">
      <c r="O626"/>
    </row>
    <row r="627" spans="15:15">
      <c r="O627"/>
    </row>
    <row r="628" spans="15:15">
      <c r="O628"/>
    </row>
    <row r="629" spans="15:15">
      <c r="O629"/>
    </row>
    <row r="630" spans="15:15">
      <c r="O630"/>
    </row>
    <row r="631" spans="15:15">
      <c r="O631"/>
    </row>
    <row r="632" spans="15:15">
      <c r="O632"/>
    </row>
    <row r="633" spans="15:15">
      <c r="O633"/>
    </row>
    <row r="634" spans="15:15">
      <c r="O634"/>
    </row>
    <row r="635" spans="15:15">
      <c r="O635"/>
    </row>
    <row r="636" spans="15:15">
      <c r="O636"/>
    </row>
    <row r="637" spans="15:15">
      <c r="O637"/>
    </row>
    <row r="638" spans="15:15">
      <c r="O638"/>
    </row>
    <row r="639" spans="15:15">
      <c r="O639"/>
    </row>
    <row r="640" spans="15:15">
      <c r="O640"/>
    </row>
    <row r="641" spans="15:15">
      <c r="O641"/>
    </row>
    <row r="642" spans="15:15">
      <c r="O642"/>
    </row>
    <row r="643" spans="15:15">
      <c r="O643"/>
    </row>
    <row r="644" spans="15:15">
      <c r="O644"/>
    </row>
    <row r="645" spans="15:15">
      <c r="O645"/>
    </row>
    <row r="646" spans="15:15">
      <c r="O646"/>
    </row>
    <row r="647" spans="15:15">
      <c r="O647"/>
    </row>
    <row r="648" spans="15:15">
      <c r="O648"/>
    </row>
    <row r="649" spans="15:15">
      <c r="O649"/>
    </row>
    <row r="650" spans="15:15">
      <c r="O650"/>
    </row>
    <row r="651" spans="15:15">
      <c r="O651"/>
    </row>
    <row r="652" spans="15:15">
      <c r="O652"/>
    </row>
    <row r="653" spans="15:15">
      <c r="O653"/>
    </row>
    <row r="654" spans="15:15">
      <c r="O654"/>
    </row>
    <row r="655" spans="15:15">
      <c r="O655"/>
    </row>
    <row r="656" spans="15:15">
      <c r="O656"/>
    </row>
    <row r="657" spans="15:15">
      <c r="O657"/>
    </row>
    <row r="658" spans="15:15">
      <c r="O658"/>
    </row>
    <row r="659" spans="15:15">
      <c r="O659"/>
    </row>
    <row r="660" spans="15:15">
      <c r="O660"/>
    </row>
    <row r="661" spans="15:15">
      <c r="O661"/>
    </row>
    <row r="662" spans="15:15">
      <c r="O662"/>
    </row>
    <row r="663" spans="15:15">
      <c r="O663"/>
    </row>
    <row r="664" spans="15:15">
      <c r="O664"/>
    </row>
    <row r="665" spans="15:15">
      <c r="O665"/>
    </row>
    <row r="666" spans="15:15">
      <c r="O666"/>
    </row>
    <row r="667" spans="15:15">
      <c r="O667"/>
    </row>
    <row r="668" spans="15:15">
      <c r="O668"/>
    </row>
    <row r="669" spans="15:15">
      <c r="O669"/>
    </row>
    <row r="670" spans="15:15">
      <c r="O670"/>
    </row>
    <row r="671" spans="15:15">
      <c r="O671"/>
    </row>
    <row r="672" spans="15:15">
      <c r="O672"/>
    </row>
    <row r="673" spans="15:15">
      <c r="O673"/>
    </row>
    <row r="674" spans="15:15">
      <c r="O674"/>
    </row>
    <row r="675" spans="15:15">
      <c r="O675"/>
    </row>
    <row r="676" spans="15:15">
      <c r="O676"/>
    </row>
    <row r="677" spans="15:15">
      <c r="O677"/>
    </row>
    <row r="678" spans="15:15">
      <c r="O678"/>
    </row>
    <row r="679" spans="15:15">
      <c r="O679"/>
    </row>
    <row r="680" spans="15:15">
      <c r="O680"/>
    </row>
    <row r="681" spans="15:15">
      <c r="O681"/>
    </row>
    <row r="682" spans="15:15">
      <c r="O682"/>
    </row>
    <row r="683" spans="15:15">
      <c r="O683"/>
    </row>
    <row r="684" spans="15:15">
      <c r="O684"/>
    </row>
    <row r="685" spans="15:15">
      <c r="O685"/>
    </row>
    <row r="686" spans="15:15">
      <c r="O686"/>
    </row>
    <row r="687" spans="15:15">
      <c r="O687"/>
    </row>
    <row r="688" spans="15:15">
      <c r="O688"/>
    </row>
    <row r="689" spans="15:15">
      <c r="O689"/>
    </row>
    <row r="690" spans="15:15">
      <c r="O690"/>
    </row>
    <row r="691" spans="15:15">
      <c r="O691"/>
    </row>
    <row r="692" spans="15:15">
      <c r="O692"/>
    </row>
    <row r="693" spans="15:15">
      <c r="O693"/>
    </row>
    <row r="694" spans="15:15">
      <c r="O694"/>
    </row>
    <row r="695" spans="15:15">
      <c r="O695"/>
    </row>
    <row r="696" spans="15:15">
      <c r="O696"/>
    </row>
    <row r="697" spans="15:15">
      <c r="O697"/>
    </row>
    <row r="698" spans="15:15">
      <c r="O698"/>
    </row>
    <row r="699" spans="15:15">
      <c r="O699"/>
    </row>
    <row r="700" spans="15:15">
      <c r="O700"/>
    </row>
    <row r="701" spans="15:15">
      <c r="O701"/>
    </row>
    <row r="702" spans="15:15">
      <c r="O702"/>
    </row>
    <row r="703" spans="15:15">
      <c r="O703"/>
    </row>
    <row r="704" spans="15:15">
      <c r="O704"/>
    </row>
    <row r="705" spans="15:15">
      <c r="O705"/>
    </row>
    <row r="706" spans="15:15">
      <c r="O706"/>
    </row>
    <row r="707" spans="15:15">
      <c r="O707"/>
    </row>
    <row r="708" spans="15:15">
      <c r="O708"/>
    </row>
    <row r="709" spans="15:15">
      <c r="O709"/>
    </row>
    <row r="710" spans="15:15">
      <c r="O710"/>
    </row>
    <row r="711" spans="15:15">
      <c r="O711"/>
    </row>
    <row r="712" spans="15:15">
      <c r="O712"/>
    </row>
    <row r="713" spans="15:15">
      <c r="O713"/>
    </row>
    <row r="714" spans="15:15">
      <c r="O714"/>
    </row>
    <row r="715" spans="15:15">
      <c r="O715"/>
    </row>
    <row r="716" spans="15:15">
      <c r="O716"/>
    </row>
    <row r="717" spans="15:15">
      <c r="O717"/>
    </row>
    <row r="718" spans="15:15">
      <c r="O718"/>
    </row>
    <row r="719" spans="15:15">
      <c r="O719"/>
    </row>
    <row r="720" spans="15:15">
      <c r="O720"/>
    </row>
    <row r="721" spans="15:15">
      <c r="O721"/>
    </row>
    <row r="722" spans="15:15">
      <c r="O722"/>
    </row>
    <row r="723" spans="15:15">
      <c r="O723"/>
    </row>
    <row r="724" spans="15:15">
      <c r="O724"/>
    </row>
    <row r="725" spans="15:15">
      <c r="O725"/>
    </row>
    <row r="726" spans="15:15">
      <c r="O726"/>
    </row>
    <row r="727" spans="15:15">
      <c r="O727"/>
    </row>
    <row r="728" spans="15:15">
      <c r="O728"/>
    </row>
    <row r="729" spans="15:15">
      <c r="O729"/>
    </row>
    <row r="730" spans="15:15">
      <c r="O730"/>
    </row>
    <row r="731" spans="15:15">
      <c r="O731"/>
    </row>
    <row r="732" spans="15:15">
      <c r="O732"/>
    </row>
    <row r="733" spans="15:15">
      <c r="O733"/>
    </row>
    <row r="734" spans="15:15">
      <c r="O734"/>
    </row>
    <row r="735" spans="15:15">
      <c r="O735"/>
    </row>
    <row r="736" spans="15:15">
      <c r="O736"/>
    </row>
    <row r="737" spans="15:15">
      <c r="O737"/>
    </row>
    <row r="738" spans="15:15">
      <c r="O738"/>
    </row>
    <row r="739" spans="15:15">
      <c r="O739"/>
    </row>
    <row r="740" spans="15:15">
      <c r="O740"/>
    </row>
    <row r="741" spans="15:15">
      <c r="O741"/>
    </row>
    <row r="742" spans="15:15">
      <c r="O742"/>
    </row>
    <row r="743" spans="15:15">
      <c r="O743"/>
    </row>
    <row r="744" spans="15:15">
      <c r="O744"/>
    </row>
    <row r="745" spans="15:15">
      <c r="O745"/>
    </row>
    <row r="746" spans="15:15">
      <c r="O746"/>
    </row>
    <row r="747" spans="15:15">
      <c r="O747"/>
    </row>
    <row r="748" spans="15:15">
      <c r="O748"/>
    </row>
    <row r="749" spans="15:15">
      <c r="O749"/>
    </row>
    <row r="750" spans="15:15">
      <c r="O750"/>
    </row>
    <row r="751" spans="15:15">
      <c r="O751"/>
    </row>
    <row r="752" spans="15:15">
      <c r="O752"/>
    </row>
    <row r="753" spans="15:15">
      <c r="O753"/>
    </row>
    <row r="754" spans="15:15">
      <c r="O754"/>
    </row>
    <row r="755" spans="15:15">
      <c r="O755"/>
    </row>
    <row r="756" spans="15:15">
      <c r="O756"/>
    </row>
    <row r="757" spans="15:15">
      <c r="O757"/>
    </row>
    <row r="758" spans="15:15">
      <c r="O758"/>
    </row>
    <row r="759" spans="15:15">
      <c r="O759"/>
    </row>
    <row r="760" spans="15:15">
      <c r="O760"/>
    </row>
    <row r="761" spans="15:15">
      <c r="O761"/>
    </row>
    <row r="762" spans="15:15">
      <c r="O762"/>
    </row>
    <row r="763" spans="15:15">
      <c r="O763"/>
    </row>
    <row r="764" spans="15:15">
      <c r="O764"/>
    </row>
    <row r="765" spans="15:15">
      <c r="O765"/>
    </row>
    <row r="766" spans="15:15">
      <c r="O766"/>
    </row>
    <row r="767" spans="15:15">
      <c r="O767"/>
    </row>
    <row r="768" spans="15:15">
      <c r="O768"/>
    </row>
    <row r="769" spans="15:15">
      <c r="O769"/>
    </row>
    <row r="770" spans="15:15">
      <c r="O770"/>
    </row>
    <row r="771" spans="15:15">
      <c r="O771"/>
    </row>
    <row r="772" spans="15:15">
      <c r="O772"/>
    </row>
    <row r="773" spans="15:15">
      <c r="O773"/>
    </row>
    <row r="774" spans="15:15">
      <c r="O774"/>
    </row>
    <row r="775" spans="15:15">
      <c r="O775"/>
    </row>
    <row r="776" spans="15:15">
      <c r="O776"/>
    </row>
    <row r="777" spans="15:15">
      <c r="O777"/>
    </row>
    <row r="778" spans="15:15">
      <c r="O778"/>
    </row>
    <row r="779" spans="15:15">
      <c r="O779"/>
    </row>
    <row r="780" spans="15:15">
      <c r="O780"/>
    </row>
    <row r="781" spans="15:15">
      <c r="O781"/>
    </row>
    <row r="782" spans="15:15">
      <c r="O782"/>
    </row>
    <row r="783" spans="15:15">
      <c r="O783"/>
    </row>
    <row r="784" spans="15:15">
      <c r="O784"/>
    </row>
    <row r="785" spans="15:15">
      <c r="O785"/>
    </row>
    <row r="786" spans="15:15">
      <c r="O786"/>
    </row>
    <row r="787" spans="15:15">
      <c r="O787"/>
    </row>
    <row r="788" spans="15:15">
      <c r="O788"/>
    </row>
    <row r="789" spans="15:15">
      <c r="O789"/>
    </row>
    <row r="790" spans="15:15">
      <c r="O790"/>
    </row>
    <row r="791" spans="15:15">
      <c r="O791"/>
    </row>
    <row r="792" spans="15:15">
      <c r="O792"/>
    </row>
    <row r="793" spans="15:15">
      <c r="O793"/>
    </row>
    <row r="794" spans="15:15">
      <c r="O794"/>
    </row>
    <row r="795" spans="15:15">
      <c r="O795"/>
    </row>
    <row r="796" spans="15:15">
      <c r="O796"/>
    </row>
    <row r="797" spans="15:15">
      <c r="O797"/>
    </row>
    <row r="798" spans="15:15">
      <c r="O798"/>
    </row>
    <row r="799" spans="15:15">
      <c r="O799"/>
    </row>
    <row r="800" spans="15:15">
      <c r="O800"/>
    </row>
    <row r="801" spans="15:15">
      <c r="O801"/>
    </row>
    <row r="802" spans="15:15">
      <c r="O802"/>
    </row>
    <row r="803" spans="15:15">
      <c r="O803"/>
    </row>
    <row r="804" spans="15:15">
      <c r="O804"/>
    </row>
    <row r="805" spans="15:15">
      <c r="O805"/>
    </row>
    <row r="806" spans="15:15">
      <c r="O806"/>
    </row>
    <row r="807" spans="15:15">
      <c r="O807"/>
    </row>
    <row r="808" spans="15:15">
      <c r="O808"/>
    </row>
    <row r="809" spans="15:15">
      <c r="O809"/>
    </row>
    <row r="810" spans="15:15">
      <c r="O810"/>
    </row>
    <row r="811" spans="15:15">
      <c r="O811"/>
    </row>
    <row r="812" spans="15:15">
      <c r="O812"/>
    </row>
    <row r="813" spans="15:15">
      <c r="O813"/>
    </row>
    <row r="814" spans="15:15">
      <c r="O814"/>
    </row>
    <row r="815" spans="15:15">
      <c r="O815"/>
    </row>
    <row r="816" spans="15:15">
      <c r="O816"/>
    </row>
    <row r="817" spans="15:15">
      <c r="O817"/>
    </row>
    <row r="818" spans="15:15">
      <c r="O818"/>
    </row>
    <row r="819" spans="15:15">
      <c r="O819"/>
    </row>
    <row r="820" spans="15:15">
      <c r="O820"/>
    </row>
    <row r="821" spans="15:15">
      <c r="O821"/>
    </row>
    <row r="822" spans="15:15">
      <c r="O822"/>
    </row>
    <row r="823" spans="15:15">
      <c r="O823"/>
    </row>
    <row r="824" spans="15:15">
      <c r="O824"/>
    </row>
    <row r="825" spans="15:15">
      <c r="O825"/>
    </row>
    <row r="826" spans="15:15">
      <c r="O826"/>
    </row>
    <row r="827" spans="15:15">
      <c r="O827"/>
    </row>
    <row r="828" spans="15:15">
      <c r="O828"/>
    </row>
    <row r="829" spans="15:15">
      <c r="O829"/>
    </row>
    <row r="830" spans="15:15">
      <c r="O830"/>
    </row>
    <row r="831" spans="15:15">
      <c r="O831"/>
    </row>
    <row r="832" spans="15:15">
      <c r="O832"/>
    </row>
    <row r="833" spans="15:15">
      <c r="O833"/>
    </row>
    <row r="834" spans="15:15">
      <c r="O834"/>
    </row>
    <row r="835" spans="15:15">
      <c r="O835"/>
    </row>
    <row r="836" spans="15:15">
      <c r="O836"/>
    </row>
    <row r="837" spans="15:15">
      <c r="O837"/>
    </row>
    <row r="838" spans="15:15">
      <c r="O838"/>
    </row>
    <row r="839" spans="15:15">
      <c r="O839"/>
    </row>
    <row r="840" spans="15:15">
      <c r="O840"/>
    </row>
    <row r="841" spans="15:15">
      <c r="O841"/>
    </row>
    <row r="842" spans="15:15">
      <c r="O842"/>
    </row>
    <row r="843" spans="15:15">
      <c r="O843"/>
    </row>
    <row r="844" spans="15:15">
      <c r="O844"/>
    </row>
    <row r="845" spans="15:15">
      <c r="O845"/>
    </row>
    <row r="846" spans="15:15">
      <c r="O846"/>
    </row>
    <row r="847" spans="15:15">
      <c r="O847"/>
    </row>
    <row r="848" spans="15:15">
      <c r="O848"/>
    </row>
    <row r="849" spans="15:15">
      <c r="O849"/>
    </row>
    <row r="850" spans="15:15">
      <c r="O850"/>
    </row>
    <row r="851" spans="15:15">
      <c r="O851"/>
    </row>
    <row r="852" spans="15:15">
      <c r="O852"/>
    </row>
    <row r="853" spans="15:15">
      <c r="O853"/>
    </row>
    <row r="854" spans="15:15">
      <c r="O854"/>
    </row>
    <row r="855" spans="15:15">
      <c r="O855"/>
    </row>
    <row r="856" spans="15:15">
      <c r="O856"/>
    </row>
    <row r="857" spans="15:15">
      <c r="O857"/>
    </row>
    <row r="858" spans="15:15">
      <c r="O858"/>
    </row>
    <row r="859" spans="15:15">
      <c r="O859"/>
    </row>
    <row r="860" spans="15:15">
      <c r="O860"/>
    </row>
    <row r="861" spans="15:15">
      <c r="O861"/>
    </row>
    <row r="862" spans="15:15">
      <c r="O862"/>
    </row>
    <row r="863" spans="15:15">
      <c r="O863"/>
    </row>
    <row r="864" spans="15:15">
      <c r="O864"/>
    </row>
    <row r="865" spans="15:15">
      <c r="O865"/>
    </row>
    <row r="866" spans="15:15">
      <c r="O866"/>
    </row>
    <row r="867" spans="15:15">
      <c r="O867"/>
    </row>
    <row r="868" spans="15:15">
      <c r="O868"/>
    </row>
    <row r="869" spans="15:15">
      <c r="O869"/>
    </row>
    <row r="870" spans="15:15">
      <c r="O870"/>
    </row>
    <row r="871" spans="15:15">
      <c r="O871"/>
    </row>
    <row r="872" spans="15:15">
      <c r="O872"/>
    </row>
    <row r="873" spans="15:15">
      <c r="O873"/>
    </row>
    <row r="874" spans="15:15">
      <c r="O874"/>
    </row>
    <row r="875" spans="15:15">
      <c r="O875"/>
    </row>
    <row r="876" spans="15:15">
      <c r="O876"/>
    </row>
    <row r="877" spans="15:15">
      <c r="O877"/>
    </row>
    <row r="878" spans="15:15">
      <c r="O878"/>
    </row>
    <row r="879" spans="15:15">
      <c r="O879"/>
    </row>
    <row r="880" spans="15:15">
      <c r="O880"/>
    </row>
    <row r="881" spans="15:15">
      <c r="O881"/>
    </row>
    <row r="882" spans="15:15">
      <c r="O882"/>
    </row>
    <row r="883" spans="15:15">
      <c r="O883"/>
    </row>
    <row r="884" spans="15:15">
      <c r="O884"/>
    </row>
    <row r="885" spans="15:15">
      <c r="O885"/>
    </row>
    <row r="886" spans="15:15">
      <c r="O886"/>
    </row>
    <row r="887" spans="15:15">
      <c r="O887"/>
    </row>
    <row r="888" spans="15:15">
      <c r="O888"/>
    </row>
    <row r="889" spans="15:15">
      <c r="O889"/>
    </row>
    <row r="890" spans="15:15">
      <c r="O890"/>
    </row>
    <row r="891" spans="15:15">
      <c r="O891"/>
    </row>
    <row r="892" spans="15:15">
      <c r="O892"/>
    </row>
    <row r="893" spans="15:15">
      <c r="O893"/>
    </row>
    <row r="894" spans="15:15">
      <c r="O894"/>
    </row>
    <row r="895" spans="15:15">
      <c r="O895"/>
    </row>
    <row r="896" spans="15:15">
      <c r="O896"/>
    </row>
    <row r="897" spans="15:15">
      <c r="O897"/>
    </row>
    <row r="898" spans="15:15">
      <c r="O898"/>
    </row>
    <row r="899" spans="15:15">
      <c r="O899"/>
    </row>
    <row r="900" spans="15:15">
      <c r="O900"/>
    </row>
    <row r="901" spans="15:15">
      <c r="O901"/>
    </row>
    <row r="902" spans="15:15">
      <c r="O902"/>
    </row>
    <row r="903" spans="15:15">
      <c r="O903"/>
    </row>
    <row r="904" spans="15:15">
      <c r="O904"/>
    </row>
    <row r="905" spans="15:15">
      <c r="O905"/>
    </row>
    <row r="906" spans="15:15">
      <c r="O906"/>
    </row>
    <row r="907" spans="15:15">
      <c r="O907"/>
    </row>
    <row r="908" spans="15:15">
      <c r="O908"/>
    </row>
    <row r="909" spans="15:15">
      <c r="O909"/>
    </row>
    <row r="910" spans="15:15">
      <c r="O910"/>
    </row>
    <row r="911" spans="15:15">
      <c r="O911"/>
    </row>
    <row r="912" spans="15:15">
      <c r="O912"/>
    </row>
    <row r="913" spans="15:15">
      <c r="O913"/>
    </row>
    <row r="914" spans="15:15">
      <c r="O914"/>
    </row>
    <row r="915" spans="15:15">
      <c r="O915"/>
    </row>
    <row r="916" spans="15:15">
      <c r="O916"/>
    </row>
    <row r="917" spans="15:15">
      <c r="O917"/>
    </row>
    <row r="918" spans="15:15">
      <c r="O918"/>
    </row>
    <row r="919" spans="15:15">
      <c r="O919"/>
    </row>
    <row r="920" spans="15:15">
      <c r="O920"/>
    </row>
    <row r="921" spans="15:15">
      <c r="O921"/>
    </row>
    <row r="922" spans="15:15">
      <c r="O922"/>
    </row>
    <row r="923" spans="15:15">
      <c r="O923"/>
    </row>
    <row r="924" spans="15:15">
      <c r="O924"/>
    </row>
    <row r="925" spans="15:15">
      <c r="O925"/>
    </row>
    <row r="926" spans="15:15">
      <c r="O926"/>
    </row>
    <row r="927" spans="15:15">
      <c r="O927"/>
    </row>
    <row r="928" spans="15:15">
      <c r="O928"/>
    </row>
    <row r="929" spans="15:15">
      <c r="O929"/>
    </row>
    <row r="930" spans="15:15">
      <c r="O930"/>
    </row>
    <row r="931" spans="15:15">
      <c r="O931"/>
    </row>
    <row r="932" spans="15:15">
      <c r="O932"/>
    </row>
    <row r="933" spans="15:15">
      <c r="O933"/>
    </row>
    <row r="934" spans="15:15">
      <c r="O934"/>
    </row>
    <row r="935" spans="15:15">
      <c r="O935"/>
    </row>
    <row r="936" spans="15:15">
      <c r="O936"/>
    </row>
    <row r="937" spans="15:15">
      <c r="O937"/>
    </row>
    <row r="938" spans="15:15">
      <c r="O938"/>
    </row>
    <row r="939" spans="15:15">
      <c r="O939"/>
    </row>
    <row r="940" spans="15:15">
      <c r="O940"/>
    </row>
    <row r="941" spans="15:15">
      <c r="O941"/>
    </row>
    <row r="942" spans="15:15">
      <c r="O942"/>
    </row>
    <row r="943" spans="15:15">
      <c r="O943"/>
    </row>
    <row r="944" spans="15:15">
      <c r="O944"/>
    </row>
    <row r="945" spans="15:15">
      <c r="O945"/>
    </row>
    <row r="946" spans="15:15">
      <c r="O946"/>
    </row>
    <row r="947" spans="15:15">
      <c r="O947"/>
    </row>
    <row r="948" spans="15:15">
      <c r="O948"/>
    </row>
    <row r="949" spans="15:15">
      <c r="O949"/>
    </row>
    <row r="950" spans="15:15">
      <c r="O950"/>
    </row>
    <row r="951" spans="15:15">
      <c r="O951"/>
    </row>
    <row r="952" spans="15:15">
      <c r="O952"/>
    </row>
    <row r="953" spans="15:15">
      <c r="O953"/>
    </row>
    <row r="954" spans="15:15">
      <c r="O954"/>
    </row>
    <row r="955" spans="15:15">
      <c r="O955"/>
    </row>
    <row r="956" spans="15:15">
      <c r="O956"/>
    </row>
    <row r="957" spans="15:15">
      <c r="O957"/>
    </row>
    <row r="958" spans="15:15">
      <c r="O958"/>
    </row>
    <row r="959" spans="15:15">
      <c r="O959"/>
    </row>
    <row r="960" spans="15:15">
      <c r="O960"/>
    </row>
    <row r="961" spans="15:15">
      <c r="O961"/>
    </row>
    <row r="962" spans="15:15">
      <c r="O962"/>
    </row>
    <row r="963" spans="15:15">
      <c r="O963"/>
    </row>
    <row r="964" spans="15:15">
      <c r="O964"/>
    </row>
    <row r="965" spans="15:15">
      <c r="O965"/>
    </row>
    <row r="966" spans="15:15">
      <c r="O966"/>
    </row>
    <row r="967" spans="15:15">
      <c r="O967"/>
    </row>
    <row r="968" spans="15:15">
      <c r="O968"/>
    </row>
    <row r="969" spans="15:15">
      <c r="O969"/>
    </row>
    <row r="970" spans="15:15">
      <c r="O970"/>
    </row>
    <row r="971" spans="15:15">
      <c r="O971"/>
    </row>
    <row r="972" spans="15:15">
      <c r="O972"/>
    </row>
    <row r="973" spans="15:15">
      <c r="O973"/>
    </row>
    <row r="974" spans="15:15">
      <c r="O974"/>
    </row>
    <row r="975" spans="15:15">
      <c r="O975"/>
    </row>
    <row r="976" spans="15:15">
      <c r="O976"/>
    </row>
    <row r="977" spans="15:15">
      <c r="O977"/>
    </row>
    <row r="978" spans="15:15">
      <c r="O978"/>
    </row>
    <row r="979" spans="15:15">
      <c r="O979"/>
    </row>
    <row r="980" spans="15:15">
      <c r="O980"/>
    </row>
    <row r="981" spans="15:15">
      <c r="O981"/>
    </row>
    <row r="982" spans="15:15">
      <c r="O982"/>
    </row>
    <row r="983" spans="15:15">
      <c r="O983"/>
    </row>
    <row r="984" spans="15:15">
      <c r="O984"/>
    </row>
    <row r="985" spans="15:15">
      <c r="O985"/>
    </row>
    <row r="986" spans="15:15">
      <c r="O986"/>
    </row>
    <row r="987" spans="15:15">
      <c r="O987"/>
    </row>
    <row r="988" spans="15:15">
      <c r="O988"/>
    </row>
    <row r="989" spans="15:15">
      <c r="O989"/>
    </row>
    <row r="990" spans="15:15">
      <c r="O990"/>
    </row>
    <row r="991" spans="15:15">
      <c r="O991"/>
    </row>
    <row r="992" spans="15:15">
      <c r="O992"/>
    </row>
    <row r="993" spans="15:15">
      <c r="O993"/>
    </row>
    <row r="994" spans="15:15">
      <c r="O994"/>
    </row>
    <row r="995" spans="15:15">
      <c r="O995"/>
    </row>
    <row r="996" spans="15:15">
      <c r="O996"/>
    </row>
    <row r="997" spans="15:15">
      <c r="O997"/>
    </row>
    <row r="998" spans="15:15">
      <c r="O998"/>
    </row>
    <row r="999" spans="15:15">
      <c r="O999"/>
    </row>
    <row r="1000" spans="15:15">
      <c r="O1000"/>
    </row>
    <row r="1001" spans="15:15">
      <c r="O1001"/>
    </row>
    <row r="1002" spans="15:15">
      <c r="O1002"/>
    </row>
    <row r="1003" spans="15:15">
      <c r="O1003"/>
    </row>
    <row r="1004" spans="15:15">
      <c r="O1004"/>
    </row>
    <row r="1005" spans="15:15">
      <c r="O1005"/>
    </row>
    <row r="1006" spans="15:15">
      <c r="O1006"/>
    </row>
    <row r="1007" spans="15:15">
      <c r="O1007"/>
    </row>
    <row r="1008" spans="15:15">
      <c r="O1008"/>
    </row>
    <row r="1009" spans="15:15">
      <c r="O1009"/>
    </row>
    <row r="1010" spans="15:15">
      <c r="O1010"/>
    </row>
    <row r="1011" spans="15:15">
      <c r="O1011"/>
    </row>
    <row r="1012" spans="15:15">
      <c r="O1012"/>
    </row>
    <row r="1013" spans="15:15">
      <c r="O1013"/>
    </row>
    <row r="1014" spans="15:15">
      <c r="O1014"/>
    </row>
    <row r="1015" spans="15:15">
      <c r="O1015"/>
    </row>
    <row r="1016" spans="15:15">
      <c r="O1016"/>
    </row>
    <row r="1017" spans="15:15">
      <c r="O1017"/>
    </row>
    <row r="1018" spans="15:15">
      <c r="O1018"/>
    </row>
    <row r="1019" spans="15:15">
      <c r="O1019"/>
    </row>
    <row r="1020" spans="15:15">
      <c r="O1020"/>
    </row>
    <row r="1021" spans="15:15">
      <c r="O1021"/>
    </row>
    <row r="1022" spans="15:15">
      <c r="O1022"/>
    </row>
    <row r="1023" spans="15:15">
      <c r="O1023"/>
    </row>
    <row r="1024" spans="15:15">
      <c r="O1024"/>
    </row>
    <row r="1025" spans="15:15">
      <c r="O1025"/>
    </row>
    <row r="1026" spans="15:15">
      <c r="O1026"/>
    </row>
    <row r="1027" spans="15:15">
      <c r="O1027"/>
    </row>
    <row r="1028" spans="15:15">
      <c r="O1028"/>
    </row>
    <row r="1029" spans="15:15">
      <c r="O1029"/>
    </row>
    <row r="1030" spans="15:15">
      <c r="O1030"/>
    </row>
    <row r="1031" spans="15:15">
      <c r="O1031"/>
    </row>
    <row r="1032" spans="15:15">
      <c r="O1032"/>
    </row>
    <row r="1033" spans="15:15">
      <c r="O1033"/>
    </row>
    <row r="1034" spans="15:15">
      <c r="O1034"/>
    </row>
    <row r="1035" spans="15:15">
      <c r="O1035"/>
    </row>
    <row r="1036" spans="15:15">
      <c r="O1036"/>
    </row>
    <row r="1037" spans="15:15">
      <c r="O1037"/>
    </row>
    <row r="1038" spans="15:15">
      <c r="O1038"/>
    </row>
    <row r="1039" spans="15:15">
      <c r="O1039"/>
    </row>
    <row r="1040" spans="15:15">
      <c r="O1040"/>
    </row>
    <row r="1041" spans="15:15">
      <c r="O1041"/>
    </row>
    <row r="1042" spans="15:15">
      <c r="O1042"/>
    </row>
    <row r="1043" spans="15:15">
      <c r="O1043"/>
    </row>
    <row r="1044" spans="15:15">
      <c r="O1044"/>
    </row>
    <row r="1045" spans="15:15">
      <c r="O1045"/>
    </row>
    <row r="1046" spans="15:15">
      <c r="O1046"/>
    </row>
    <row r="1047" spans="15:15">
      <c r="O1047"/>
    </row>
    <row r="1048" spans="15:15">
      <c r="O1048"/>
    </row>
    <row r="1049" spans="15:15">
      <c r="O1049"/>
    </row>
    <row r="1050" spans="15:15">
      <c r="O1050"/>
    </row>
    <row r="1051" spans="15:15">
      <c r="O1051"/>
    </row>
    <row r="1052" spans="15:15">
      <c r="O1052"/>
    </row>
    <row r="1053" spans="15:15">
      <c r="O1053"/>
    </row>
    <row r="1054" spans="15:15">
      <c r="O1054"/>
    </row>
    <row r="1055" spans="15:15">
      <c r="O1055"/>
    </row>
    <row r="1056" spans="15:15">
      <c r="O1056"/>
    </row>
    <row r="1057" spans="15:15">
      <c r="O1057"/>
    </row>
    <row r="1058" spans="15:15">
      <c r="O1058"/>
    </row>
    <row r="1059" spans="15:15">
      <c r="O1059"/>
    </row>
    <row r="1060" spans="15:15">
      <c r="O1060"/>
    </row>
    <row r="1061" spans="15:15">
      <c r="O1061"/>
    </row>
    <row r="1062" spans="15:15">
      <c r="O1062"/>
    </row>
    <row r="1063" spans="15:15">
      <c r="O1063"/>
    </row>
    <row r="1064" spans="15:15">
      <c r="O1064"/>
    </row>
    <row r="1065" spans="15:15">
      <c r="O1065"/>
    </row>
    <row r="1066" spans="15:15">
      <c r="O1066"/>
    </row>
    <row r="1067" spans="15:15">
      <c r="O1067"/>
    </row>
    <row r="1068" spans="15:15">
      <c r="O1068"/>
    </row>
    <row r="1069" spans="15:15">
      <c r="O1069"/>
    </row>
    <row r="1070" spans="15:15">
      <c r="O1070"/>
    </row>
    <row r="1071" spans="15:15">
      <c r="O1071"/>
    </row>
    <row r="1072" spans="15:15">
      <c r="O1072"/>
    </row>
    <row r="1073" spans="15:15">
      <c r="O1073"/>
    </row>
    <row r="1074" spans="15:15">
      <c r="O1074"/>
    </row>
    <row r="1075" spans="15:15">
      <c r="O1075"/>
    </row>
    <row r="1076" spans="15:15">
      <c r="O1076"/>
    </row>
    <row r="1077" spans="15:15">
      <c r="O1077"/>
    </row>
    <row r="1078" spans="15:15">
      <c r="O1078"/>
    </row>
    <row r="1079" spans="15:15">
      <c r="O1079"/>
    </row>
    <row r="1080" spans="15:15">
      <c r="O1080"/>
    </row>
    <row r="1081" spans="15:15">
      <c r="O1081"/>
    </row>
    <row r="1082" spans="15:15">
      <c r="O1082"/>
    </row>
    <row r="1083" spans="15:15">
      <c r="O1083"/>
    </row>
    <row r="1084" spans="15:15">
      <c r="O1084"/>
    </row>
    <row r="1085" spans="15:15">
      <c r="O1085"/>
    </row>
    <row r="1086" spans="15:15">
      <c r="O1086"/>
    </row>
    <row r="1087" spans="15:15">
      <c r="O1087"/>
    </row>
    <row r="1088" spans="15:15">
      <c r="O1088"/>
    </row>
    <row r="1089" spans="15:15">
      <c r="O1089"/>
    </row>
    <row r="1090" spans="15:15">
      <c r="O1090"/>
    </row>
    <row r="1091" spans="15:15">
      <c r="O1091"/>
    </row>
    <row r="1092" spans="15:15">
      <c r="O1092"/>
    </row>
    <row r="1093" spans="15:15">
      <c r="O1093"/>
    </row>
    <row r="1094" spans="15:15">
      <c r="O1094"/>
    </row>
    <row r="1095" spans="15:15">
      <c r="O1095"/>
    </row>
    <row r="1096" spans="15:15">
      <c r="O1096"/>
    </row>
    <row r="1097" spans="15:15">
      <c r="O1097"/>
    </row>
    <row r="1098" spans="15:15">
      <c r="O1098"/>
    </row>
    <row r="1099" spans="15:15">
      <c r="O1099"/>
    </row>
    <row r="1100" spans="15:15">
      <c r="O1100"/>
    </row>
    <row r="1101" spans="15:15">
      <c r="O1101"/>
    </row>
    <row r="1102" spans="15:15">
      <c r="O1102"/>
    </row>
    <row r="1103" spans="15:15">
      <c r="O1103"/>
    </row>
    <row r="1104" spans="15:15">
      <c r="O1104"/>
    </row>
    <row r="1105" spans="15:15">
      <c r="O1105"/>
    </row>
    <row r="1106" spans="15:15">
      <c r="O1106"/>
    </row>
    <row r="1107" spans="15:15">
      <c r="O1107"/>
    </row>
    <row r="1108" spans="15:15">
      <c r="O1108"/>
    </row>
    <row r="1109" spans="15:15">
      <c r="O1109"/>
    </row>
    <row r="1110" spans="15:15">
      <c r="O1110"/>
    </row>
    <row r="1111" spans="15:15">
      <c r="O1111"/>
    </row>
    <row r="1112" spans="15:15">
      <c r="O1112"/>
    </row>
    <row r="1113" spans="15:15">
      <c r="O1113"/>
    </row>
    <row r="1114" spans="15:15">
      <c r="O1114"/>
    </row>
    <row r="1115" spans="15:15">
      <c r="O1115"/>
    </row>
    <row r="1116" spans="15:15">
      <c r="O1116"/>
    </row>
    <row r="1117" spans="15:15">
      <c r="O1117"/>
    </row>
    <row r="1118" spans="15:15">
      <c r="O1118"/>
    </row>
    <row r="1119" spans="15:15">
      <c r="O1119"/>
    </row>
    <row r="1120" spans="15:15">
      <c r="O1120"/>
    </row>
    <row r="1121" spans="15:15">
      <c r="O1121"/>
    </row>
    <row r="1122" spans="15:15">
      <c r="O1122"/>
    </row>
    <row r="1123" spans="15:15">
      <c r="O1123"/>
    </row>
    <row r="1124" spans="15:15">
      <c r="O1124"/>
    </row>
    <row r="1125" spans="15:15">
      <c r="O1125"/>
    </row>
    <row r="1126" spans="15:15">
      <c r="O1126"/>
    </row>
    <row r="1127" spans="15:15">
      <c r="O1127"/>
    </row>
    <row r="1128" spans="15:15">
      <c r="O1128"/>
    </row>
    <row r="1129" spans="15:15">
      <c r="O1129"/>
    </row>
    <row r="1130" spans="15:15">
      <c r="O1130"/>
    </row>
    <row r="1131" spans="15:15">
      <c r="O1131"/>
    </row>
    <row r="1132" spans="15:15">
      <c r="O1132"/>
    </row>
    <row r="1133" spans="15:15">
      <c r="O1133"/>
    </row>
    <row r="1134" spans="15:15">
      <c r="O1134"/>
    </row>
    <row r="1135" spans="15:15">
      <c r="O1135"/>
    </row>
    <row r="1136" spans="15:15">
      <c r="O1136"/>
    </row>
    <row r="1137" spans="15:15">
      <c r="O1137"/>
    </row>
    <row r="1138" spans="15:15">
      <c r="O1138"/>
    </row>
    <row r="1139" spans="15:15">
      <c r="O1139"/>
    </row>
    <row r="1140" spans="15:15">
      <c r="O1140"/>
    </row>
    <row r="1141" spans="15:15">
      <c r="O1141"/>
    </row>
    <row r="1142" spans="15:15">
      <c r="O1142"/>
    </row>
    <row r="1143" spans="15:15">
      <c r="O1143"/>
    </row>
    <row r="1144" spans="15:15">
      <c r="O1144"/>
    </row>
    <row r="1145" spans="15:15">
      <c r="O1145"/>
    </row>
    <row r="1146" spans="15:15">
      <c r="O1146"/>
    </row>
    <row r="1147" spans="15:15">
      <c r="O1147"/>
    </row>
    <row r="1148" spans="15:15">
      <c r="O1148"/>
    </row>
    <row r="1149" spans="15:15">
      <c r="O1149"/>
    </row>
    <row r="1150" spans="15:15">
      <c r="O1150"/>
    </row>
    <row r="1151" spans="15:15">
      <c r="O1151"/>
    </row>
    <row r="1152" spans="15:15">
      <c r="O1152"/>
    </row>
    <row r="1153" spans="15:15">
      <c r="O1153"/>
    </row>
    <row r="1154" spans="15:15">
      <c r="O1154"/>
    </row>
    <row r="1155" spans="15:15">
      <c r="O1155"/>
    </row>
    <row r="1156" spans="15:15">
      <c r="O1156"/>
    </row>
    <row r="1157" spans="15:15">
      <c r="O1157"/>
    </row>
    <row r="1158" spans="15:15">
      <c r="O1158"/>
    </row>
    <row r="1159" spans="15:15">
      <c r="O1159"/>
    </row>
    <row r="1160" spans="15:15">
      <c r="O1160"/>
    </row>
    <row r="1161" spans="15:15">
      <c r="O1161"/>
    </row>
    <row r="1162" spans="15:15">
      <c r="O1162"/>
    </row>
    <row r="1163" spans="15:15">
      <c r="O1163"/>
    </row>
    <row r="1164" spans="15:15">
      <c r="O1164"/>
    </row>
    <row r="1165" spans="15:15">
      <c r="O1165"/>
    </row>
    <row r="1166" spans="15:15">
      <c r="O1166"/>
    </row>
    <row r="1167" spans="15:15">
      <c r="O1167"/>
    </row>
    <row r="1168" spans="15:15">
      <c r="O1168"/>
    </row>
    <row r="1169" spans="15:15">
      <c r="O1169"/>
    </row>
    <row r="1170" spans="15:15">
      <c r="O1170"/>
    </row>
    <row r="1171" spans="15:15">
      <c r="O1171"/>
    </row>
    <row r="1172" spans="15:15">
      <c r="O1172"/>
    </row>
    <row r="1173" spans="15:15">
      <c r="O1173"/>
    </row>
    <row r="1174" spans="15:15">
      <c r="O1174"/>
    </row>
    <row r="1175" spans="15:15">
      <c r="O1175"/>
    </row>
    <row r="1176" spans="15:15">
      <c r="O1176"/>
    </row>
    <row r="1177" spans="15:15">
      <c r="O1177"/>
    </row>
    <row r="1178" spans="15:15">
      <c r="O1178"/>
    </row>
    <row r="1179" spans="15:15">
      <c r="O1179"/>
    </row>
    <row r="1180" spans="15:15">
      <c r="O1180"/>
    </row>
    <row r="1181" spans="15:15">
      <c r="O1181"/>
    </row>
    <row r="1182" spans="15:15">
      <c r="O1182"/>
    </row>
    <row r="1183" spans="15:15">
      <c r="O1183"/>
    </row>
    <row r="1184" spans="15:15">
      <c r="O1184"/>
    </row>
    <row r="1185" spans="15:15">
      <c r="O1185"/>
    </row>
    <row r="1186" spans="15:15">
      <c r="O1186"/>
    </row>
    <row r="1187" spans="15:15">
      <c r="O1187"/>
    </row>
    <row r="1188" spans="15:15">
      <c r="O1188"/>
    </row>
    <row r="1189" spans="15:15">
      <c r="O1189"/>
    </row>
    <row r="1190" spans="15:15">
      <c r="O1190"/>
    </row>
    <row r="1191" spans="15:15">
      <c r="O1191"/>
    </row>
    <row r="1192" spans="15:15">
      <c r="O1192"/>
    </row>
    <row r="1193" spans="15:15">
      <c r="O1193"/>
    </row>
    <row r="1194" spans="15:15">
      <c r="O1194"/>
    </row>
    <row r="1195" spans="15:15">
      <c r="O1195"/>
    </row>
    <row r="1196" spans="15:15">
      <c r="O1196"/>
    </row>
    <row r="1197" spans="15:15">
      <c r="O1197"/>
    </row>
    <row r="1198" spans="15:15">
      <c r="O1198"/>
    </row>
    <row r="1199" spans="15:15">
      <c r="O1199"/>
    </row>
    <row r="1200" spans="15:15">
      <c r="O1200"/>
    </row>
    <row r="1201" spans="15:15">
      <c r="O1201"/>
    </row>
    <row r="1202" spans="15:15">
      <c r="O1202"/>
    </row>
    <row r="1203" spans="15:15">
      <c r="O1203"/>
    </row>
    <row r="1204" spans="15:15">
      <c r="O1204"/>
    </row>
    <row r="1205" spans="15:15">
      <c r="O1205"/>
    </row>
    <row r="1206" spans="15:15">
      <c r="O1206"/>
    </row>
    <row r="1207" spans="15:15">
      <c r="O1207"/>
    </row>
    <row r="1208" spans="15:15">
      <c r="O1208"/>
    </row>
    <row r="1209" spans="15:15">
      <c r="O1209"/>
    </row>
    <row r="1210" spans="15:15">
      <c r="O1210"/>
    </row>
    <row r="1211" spans="15:15">
      <c r="O1211"/>
    </row>
    <row r="1212" spans="15:15">
      <c r="O1212"/>
    </row>
    <row r="1213" spans="15:15">
      <c r="O1213"/>
    </row>
    <row r="1214" spans="15:15">
      <c r="O1214"/>
    </row>
    <row r="1215" spans="15:15">
      <c r="O1215"/>
    </row>
    <row r="1216" spans="15:15">
      <c r="O1216"/>
    </row>
    <row r="1217" spans="15:15">
      <c r="O1217"/>
    </row>
    <row r="1218" spans="15:15">
      <c r="O1218"/>
    </row>
    <row r="1219" spans="15:15">
      <c r="O1219"/>
    </row>
    <row r="1220" spans="15:15">
      <c r="O1220"/>
    </row>
    <row r="1221" spans="15:15">
      <c r="O1221"/>
    </row>
    <row r="1222" spans="15:15">
      <c r="O1222"/>
    </row>
    <row r="1223" spans="15:15">
      <c r="O1223"/>
    </row>
    <row r="1224" spans="15:15">
      <c r="O1224"/>
    </row>
    <row r="1225" spans="15:15">
      <c r="O1225"/>
    </row>
    <row r="1226" spans="15:15">
      <c r="O1226"/>
    </row>
    <row r="1227" spans="15:15">
      <c r="O1227"/>
    </row>
    <row r="1228" spans="15:15">
      <c r="O1228"/>
    </row>
    <row r="1229" spans="15:15">
      <c r="O1229"/>
    </row>
    <row r="1230" spans="15:15">
      <c r="O1230"/>
    </row>
    <row r="1231" spans="15:15">
      <c r="O1231"/>
    </row>
    <row r="1232" spans="15:15">
      <c r="O1232"/>
    </row>
    <row r="1233" spans="15:15">
      <c r="O1233"/>
    </row>
    <row r="1234" spans="15:15">
      <c r="O1234"/>
    </row>
    <row r="1235" spans="15:15">
      <c r="O1235"/>
    </row>
    <row r="1236" spans="15:15">
      <c r="O1236"/>
    </row>
    <row r="1237" spans="15:15">
      <c r="O1237"/>
    </row>
    <row r="1238" spans="15:15">
      <c r="O1238"/>
    </row>
    <row r="1239" spans="15:15">
      <c r="O1239"/>
    </row>
    <row r="1240" spans="15:15">
      <c r="O1240"/>
    </row>
    <row r="1241" spans="15:15">
      <c r="O1241"/>
    </row>
    <row r="1242" spans="15:15">
      <c r="O1242"/>
    </row>
    <row r="1243" spans="15:15">
      <c r="O1243"/>
    </row>
    <row r="1244" spans="15:15">
      <c r="O1244"/>
    </row>
    <row r="1245" spans="15:15">
      <c r="O1245"/>
    </row>
    <row r="1246" spans="15:15">
      <c r="O1246"/>
    </row>
    <row r="1247" spans="15:15">
      <c r="O1247"/>
    </row>
    <row r="1248" spans="15:15">
      <c r="O1248"/>
    </row>
    <row r="1249" spans="15:15">
      <c r="O1249"/>
    </row>
    <row r="1250" spans="15:15">
      <c r="O1250"/>
    </row>
    <row r="1251" spans="15:15">
      <c r="O1251"/>
    </row>
    <row r="1252" spans="15:15">
      <c r="O1252"/>
    </row>
    <row r="1253" spans="15:15">
      <c r="O1253"/>
    </row>
    <row r="1254" spans="15:15">
      <c r="O1254"/>
    </row>
    <row r="1255" spans="15:15">
      <c r="O1255"/>
    </row>
    <row r="1256" spans="15:15">
      <c r="O1256"/>
    </row>
    <row r="1257" spans="15:15">
      <c r="O1257"/>
    </row>
    <row r="1258" spans="15:15">
      <c r="O1258"/>
    </row>
    <row r="1259" spans="15:15">
      <c r="O1259"/>
    </row>
    <row r="1260" spans="15:15">
      <c r="O1260"/>
    </row>
    <row r="1261" spans="15:15">
      <c r="O1261"/>
    </row>
    <row r="1262" spans="15:15">
      <c r="O1262"/>
    </row>
    <row r="1263" spans="15:15">
      <c r="O1263"/>
    </row>
    <row r="1264" spans="15:15">
      <c r="O1264"/>
    </row>
    <row r="1265" spans="15:15">
      <c r="O1265"/>
    </row>
    <row r="1266" spans="15:15">
      <c r="O1266"/>
    </row>
    <row r="1267" spans="15:15">
      <c r="O1267"/>
    </row>
    <row r="1268" spans="15:15">
      <c r="O1268"/>
    </row>
    <row r="1269" spans="15:15">
      <c r="O1269"/>
    </row>
    <row r="1270" spans="15:15">
      <c r="O1270"/>
    </row>
    <row r="1271" spans="15:15">
      <c r="O1271"/>
    </row>
    <row r="1272" spans="15:15">
      <c r="O1272"/>
    </row>
    <row r="1273" spans="15:15">
      <c r="O1273"/>
    </row>
    <row r="1274" spans="15:15">
      <c r="O1274"/>
    </row>
    <row r="1275" spans="15:15">
      <c r="O1275"/>
    </row>
    <row r="1276" spans="15:15">
      <c r="O1276"/>
    </row>
    <row r="1277" spans="15:15">
      <c r="O1277"/>
    </row>
    <row r="1278" spans="15:15">
      <c r="O1278"/>
    </row>
    <row r="1279" spans="15:15">
      <c r="O1279"/>
    </row>
    <row r="1280" spans="15:15">
      <c r="O1280"/>
    </row>
    <row r="1281" spans="15:15">
      <c r="O1281"/>
    </row>
    <row r="1282" spans="15:15">
      <c r="O1282"/>
    </row>
    <row r="1283" spans="15:15">
      <c r="O1283"/>
    </row>
    <row r="1284" spans="15:15">
      <c r="O1284"/>
    </row>
    <row r="1285" spans="15:15">
      <c r="O1285"/>
    </row>
    <row r="1286" spans="15:15">
      <c r="O1286"/>
    </row>
    <row r="1287" spans="15:15">
      <c r="O1287"/>
    </row>
    <row r="1288" spans="15:15">
      <c r="O1288"/>
    </row>
    <row r="1289" spans="15:15">
      <c r="O1289"/>
    </row>
    <row r="1290" spans="15:15">
      <c r="O1290"/>
    </row>
    <row r="1291" spans="15:15">
      <c r="O1291"/>
    </row>
    <row r="1292" spans="15:15">
      <c r="O1292"/>
    </row>
    <row r="1293" spans="15:15">
      <c r="O1293"/>
    </row>
    <row r="1294" spans="15:15">
      <c r="O1294"/>
    </row>
    <row r="1295" spans="15:15">
      <c r="O1295"/>
    </row>
    <row r="1296" spans="15:15">
      <c r="O1296"/>
    </row>
    <row r="1297" spans="15:15">
      <c r="O1297"/>
    </row>
    <row r="1298" spans="15:15">
      <c r="O1298"/>
    </row>
    <row r="1299" spans="15:15">
      <c r="O1299"/>
    </row>
    <row r="1300" spans="15:15">
      <c r="O1300"/>
    </row>
    <row r="1301" spans="15:15">
      <c r="O1301"/>
    </row>
    <row r="1302" spans="15:15">
      <c r="O1302"/>
    </row>
    <row r="1303" spans="15:15">
      <c r="O1303"/>
    </row>
    <row r="1304" spans="15:15">
      <c r="O1304"/>
    </row>
    <row r="1305" spans="15:15">
      <c r="O1305"/>
    </row>
    <row r="1306" spans="15:15">
      <c r="O1306"/>
    </row>
    <row r="1307" spans="15:15">
      <c r="O1307"/>
    </row>
    <row r="1308" spans="15:15">
      <c r="O1308"/>
    </row>
    <row r="1309" spans="15:15">
      <c r="O1309"/>
    </row>
    <row r="1310" spans="15:15">
      <c r="O1310"/>
    </row>
    <row r="1311" spans="15:15">
      <c r="O1311"/>
    </row>
    <row r="1312" spans="15:15">
      <c r="O1312"/>
    </row>
    <row r="1313" spans="15:15">
      <c r="O1313"/>
    </row>
    <row r="1314" spans="15:15">
      <c r="O1314"/>
    </row>
    <row r="1315" spans="15:15">
      <c r="O1315"/>
    </row>
    <row r="1316" spans="15:15">
      <c r="O1316"/>
    </row>
    <row r="1317" spans="15:15">
      <c r="O1317"/>
    </row>
    <row r="1318" spans="15:15">
      <c r="O1318"/>
    </row>
    <row r="1319" spans="15:15">
      <c r="O1319"/>
    </row>
    <row r="1320" spans="15:15">
      <c r="O1320"/>
    </row>
    <row r="1321" spans="15:15">
      <c r="O1321"/>
    </row>
    <row r="1322" spans="15:15">
      <c r="O1322"/>
    </row>
    <row r="1323" spans="15:15">
      <c r="O1323"/>
    </row>
    <row r="1324" spans="15:15">
      <c r="O1324"/>
    </row>
    <row r="1325" spans="15:15">
      <c r="O1325"/>
    </row>
    <row r="1326" spans="15:15">
      <c r="O1326"/>
    </row>
    <row r="1327" spans="15:15">
      <c r="O1327"/>
    </row>
    <row r="1328" spans="15:15">
      <c r="O1328"/>
    </row>
    <row r="1329" spans="15:15">
      <c r="O1329"/>
    </row>
    <row r="1330" spans="15:15">
      <c r="O1330"/>
    </row>
    <row r="1331" spans="15:15">
      <c r="O1331"/>
    </row>
    <row r="1332" spans="15:15">
      <c r="O1332"/>
    </row>
    <row r="1333" spans="15:15">
      <c r="O1333"/>
    </row>
    <row r="1334" spans="15:15">
      <c r="O1334"/>
    </row>
    <row r="1335" spans="15:15">
      <c r="O1335"/>
    </row>
    <row r="1336" spans="15:15">
      <c r="O1336"/>
    </row>
    <row r="1337" spans="15:15">
      <c r="O1337"/>
    </row>
    <row r="1338" spans="15:15">
      <c r="O1338"/>
    </row>
    <row r="1339" spans="15:15">
      <c r="O1339"/>
    </row>
    <row r="1340" spans="15:15">
      <c r="O1340"/>
    </row>
    <row r="1341" spans="15:15">
      <c r="O1341"/>
    </row>
    <row r="1342" spans="15:15">
      <c r="O1342"/>
    </row>
    <row r="1343" spans="15:15">
      <c r="O1343"/>
    </row>
    <row r="1344" spans="15:15">
      <c r="O1344"/>
    </row>
    <row r="1345" spans="15:15">
      <c r="O1345"/>
    </row>
    <row r="1346" spans="15:15">
      <c r="O1346"/>
    </row>
    <row r="1347" spans="15:15">
      <c r="O1347"/>
    </row>
    <row r="1348" spans="15:15">
      <c r="O1348"/>
    </row>
    <row r="1349" spans="15:15">
      <c r="O1349"/>
    </row>
    <row r="1350" spans="15:15">
      <c r="O1350"/>
    </row>
    <row r="1351" spans="15:15">
      <c r="O1351"/>
    </row>
    <row r="1352" spans="15:15">
      <c r="O1352"/>
    </row>
    <row r="1353" spans="15:15">
      <c r="O1353"/>
    </row>
    <row r="1354" spans="15:15">
      <c r="O1354"/>
    </row>
    <row r="1355" spans="15:15">
      <c r="O1355"/>
    </row>
    <row r="1356" spans="15:15">
      <c r="O1356"/>
    </row>
    <row r="1357" spans="15:15">
      <c r="O1357"/>
    </row>
    <row r="1358" spans="15:15">
      <c r="O1358"/>
    </row>
    <row r="1359" spans="15:15">
      <c r="O1359"/>
    </row>
    <row r="1360" spans="15:15">
      <c r="O1360"/>
    </row>
    <row r="1361" spans="15:15">
      <c r="O1361"/>
    </row>
    <row r="1362" spans="15:15">
      <c r="O1362"/>
    </row>
    <row r="1363" spans="15:15">
      <c r="O1363"/>
    </row>
    <row r="1364" spans="15:15">
      <c r="O1364"/>
    </row>
    <row r="1365" spans="15:15">
      <c r="O1365"/>
    </row>
    <row r="1366" spans="15:15">
      <c r="O1366"/>
    </row>
    <row r="1367" spans="15:15">
      <c r="O1367"/>
    </row>
    <row r="1368" spans="15:15">
      <c r="O1368"/>
    </row>
    <row r="1369" spans="15:15">
      <c r="O1369"/>
    </row>
    <row r="1370" spans="15:15">
      <c r="O1370"/>
    </row>
    <row r="1371" spans="15:15">
      <c r="O1371"/>
    </row>
    <row r="1372" spans="15:15">
      <c r="O1372"/>
    </row>
    <row r="1373" spans="15:15">
      <c r="O1373"/>
    </row>
    <row r="1374" spans="15:15">
      <c r="O1374"/>
    </row>
    <row r="1375" spans="15:15">
      <c r="O1375"/>
    </row>
    <row r="1376" spans="15:15">
      <c r="O1376"/>
    </row>
    <row r="1377" spans="15:15">
      <c r="O1377"/>
    </row>
    <row r="1378" spans="15:15">
      <c r="O1378"/>
    </row>
    <row r="1379" spans="15:15">
      <c r="O1379"/>
    </row>
    <row r="1380" spans="15:15">
      <c r="O1380"/>
    </row>
    <row r="1381" spans="15:15">
      <c r="O1381"/>
    </row>
    <row r="1382" spans="15:15">
      <c r="O1382"/>
    </row>
    <row r="1383" spans="15:15">
      <c r="O1383"/>
    </row>
    <row r="1384" spans="15:15">
      <c r="O1384"/>
    </row>
    <row r="1385" spans="15:15">
      <c r="O1385"/>
    </row>
    <row r="1386" spans="15:15">
      <c r="O1386"/>
    </row>
    <row r="1387" spans="15:15">
      <c r="O1387"/>
    </row>
    <row r="1388" spans="15:15">
      <c r="O1388"/>
    </row>
    <row r="1389" spans="15:15">
      <c r="O1389"/>
    </row>
    <row r="1390" spans="15:15">
      <c r="O1390"/>
    </row>
    <row r="1391" spans="15:15">
      <c r="O1391"/>
    </row>
    <row r="1392" spans="15:15">
      <c r="O1392"/>
    </row>
    <row r="1393" spans="15:15">
      <c r="O1393"/>
    </row>
    <row r="1394" spans="15:15">
      <c r="O1394"/>
    </row>
    <row r="1395" spans="15:15">
      <c r="O1395"/>
    </row>
    <row r="1396" spans="15:15">
      <c r="O1396"/>
    </row>
    <row r="1397" spans="15:15">
      <c r="O1397"/>
    </row>
    <row r="1398" spans="15:15">
      <c r="O1398"/>
    </row>
    <row r="1399" spans="15:15">
      <c r="O1399"/>
    </row>
    <row r="1400" spans="15:15">
      <c r="O1400"/>
    </row>
    <row r="1401" spans="15:15">
      <c r="O1401"/>
    </row>
    <row r="1402" spans="15:15">
      <c r="O1402"/>
    </row>
    <row r="1403" spans="15:15">
      <c r="O1403"/>
    </row>
    <row r="1404" spans="15:15">
      <c r="O1404"/>
    </row>
    <row r="1405" spans="15:15">
      <c r="O1405"/>
    </row>
    <row r="1406" spans="15:15">
      <c r="O1406"/>
    </row>
    <row r="1407" spans="15:15">
      <c r="O1407"/>
    </row>
    <row r="1408" spans="15:15">
      <c r="O1408"/>
    </row>
    <row r="1409" spans="15:15">
      <c r="O1409"/>
    </row>
    <row r="1410" spans="15:15">
      <c r="O1410"/>
    </row>
    <row r="1411" spans="15:15">
      <c r="O1411"/>
    </row>
    <row r="1412" spans="15:15">
      <c r="O1412"/>
    </row>
    <row r="1413" spans="15:15">
      <c r="O1413"/>
    </row>
    <row r="1414" spans="15:15">
      <c r="O1414"/>
    </row>
    <row r="1415" spans="15:15">
      <c r="O1415"/>
    </row>
    <row r="1416" spans="15:15">
      <c r="O1416"/>
    </row>
    <row r="1417" spans="15:15">
      <c r="O1417"/>
    </row>
    <row r="1418" spans="15:15">
      <c r="O1418"/>
    </row>
    <row r="1419" spans="15:15">
      <c r="O1419"/>
    </row>
    <row r="1420" spans="15:15">
      <c r="O1420"/>
    </row>
    <row r="1421" spans="15:15">
      <c r="O1421"/>
    </row>
    <row r="1422" spans="15:15">
      <c r="O1422"/>
    </row>
    <row r="1423" spans="15:15">
      <c r="O1423"/>
    </row>
    <row r="1424" spans="15:15">
      <c r="O1424"/>
    </row>
    <row r="1425" spans="15:15">
      <c r="O1425"/>
    </row>
    <row r="1426" spans="15:15">
      <c r="O1426"/>
    </row>
    <row r="1427" spans="15:15">
      <c r="O1427"/>
    </row>
    <row r="1428" spans="15:15">
      <c r="O1428"/>
    </row>
    <row r="1429" spans="15:15">
      <c r="O1429"/>
    </row>
    <row r="1430" spans="15:15">
      <c r="O1430"/>
    </row>
    <row r="1431" spans="15:15">
      <c r="O1431"/>
    </row>
    <row r="1432" spans="15:15">
      <c r="O1432"/>
    </row>
    <row r="1433" spans="15:15">
      <c r="O1433"/>
    </row>
    <row r="1434" spans="15:15">
      <c r="O1434"/>
    </row>
    <row r="1435" spans="15:15">
      <c r="O1435"/>
    </row>
    <row r="1436" spans="15:15">
      <c r="O1436"/>
    </row>
    <row r="1437" spans="15:15">
      <c r="O1437"/>
    </row>
    <row r="1438" spans="15:15">
      <c r="O1438"/>
    </row>
    <row r="1439" spans="15:15">
      <c r="O1439"/>
    </row>
    <row r="1440" spans="15:15">
      <c r="O1440"/>
    </row>
    <row r="1441" spans="15:15">
      <c r="O1441"/>
    </row>
    <row r="1442" spans="15:15">
      <c r="O1442"/>
    </row>
    <row r="1443" spans="15:15">
      <c r="O1443"/>
    </row>
    <row r="1444" spans="15:15">
      <c r="O1444"/>
    </row>
    <row r="1445" spans="15:15">
      <c r="O1445"/>
    </row>
    <row r="1446" spans="15:15">
      <c r="O1446"/>
    </row>
    <row r="1447" spans="15:15">
      <c r="O1447"/>
    </row>
    <row r="1448" spans="15:15">
      <c r="O1448"/>
    </row>
    <row r="1449" spans="15:15">
      <c r="O1449"/>
    </row>
    <row r="1450" spans="15:15">
      <c r="O1450"/>
    </row>
    <row r="1451" spans="15:15">
      <c r="O1451"/>
    </row>
    <row r="1452" spans="15:15">
      <c r="O1452"/>
    </row>
    <row r="1453" spans="15:15">
      <c r="O1453"/>
    </row>
    <row r="1454" spans="15:15">
      <c r="O1454"/>
    </row>
    <row r="1455" spans="15:15">
      <c r="O1455"/>
    </row>
    <row r="1456" spans="15:15">
      <c r="O1456"/>
    </row>
    <row r="1457" spans="15:15">
      <c r="O1457"/>
    </row>
    <row r="1458" spans="15:15">
      <c r="O1458"/>
    </row>
    <row r="1459" spans="15:15">
      <c r="O1459"/>
    </row>
    <row r="1460" spans="15:15">
      <c r="O1460"/>
    </row>
    <row r="1461" spans="15:15">
      <c r="O1461"/>
    </row>
    <row r="1462" spans="15:15">
      <c r="O1462"/>
    </row>
    <row r="1463" spans="15:15">
      <c r="O1463"/>
    </row>
    <row r="1464" spans="15:15">
      <c r="O1464"/>
    </row>
    <row r="1465" spans="15:15">
      <c r="O1465"/>
    </row>
    <row r="1466" spans="15:15">
      <c r="O1466"/>
    </row>
    <row r="1467" spans="15:15">
      <c r="O1467"/>
    </row>
    <row r="1468" spans="15:15">
      <c r="O1468"/>
    </row>
    <row r="1469" spans="15:15">
      <c r="O1469"/>
    </row>
    <row r="1470" spans="15:15">
      <c r="O1470"/>
    </row>
    <row r="1471" spans="15:15">
      <c r="O1471"/>
    </row>
    <row r="1472" spans="15:15">
      <c r="O1472"/>
    </row>
    <row r="1473" spans="15:15">
      <c r="O1473"/>
    </row>
    <row r="1474" spans="15:15">
      <c r="O1474"/>
    </row>
    <row r="1475" spans="15:15">
      <c r="O1475"/>
    </row>
    <row r="1476" spans="15:15">
      <c r="O1476"/>
    </row>
    <row r="1477" spans="15:15">
      <c r="O1477"/>
    </row>
    <row r="1478" spans="15:15">
      <c r="O1478"/>
    </row>
    <row r="1479" spans="15:15">
      <c r="O1479"/>
    </row>
    <row r="1480" spans="15:15">
      <c r="O1480"/>
    </row>
    <row r="1481" spans="15:15">
      <c r="O1481"/>
    </row>
    <row r="1482" spans="15:15">
      <c r="O1482"/>
    </row>
    <row r="1483" spans="15:15">
      <c r="O1483"/>
    </row>
    <row r="1484" spans="15:15">
      <c r="O1484"/>
    </row>
    <row r="1485" spans="15:15">
      <c r="O1485"/>
    </row>
    <row r="1486" spans="15:15">
      <c r="O1486"/>
    </row>
    <row r="1487" spans="15:15">
      <c r="O1487"/>
    </row>
    <row r="1488" spans="15:15">
      <c r="O1488"/>
    </row>
    <row r="1489" spans="15:15">
      <c r="O1489"/>
    </row>
    <row r="1490" spans="15:15">
      <c r="O1490"/>
    </row>
    <row r="1491" spans="15:15">
      <c r="O1491"/>
    </row>
    <row r="1492" spans="15:15">
      <c r="O1492"/>
    </row>
    <row r="1493" spans="15:15">
      <c r="O1493"/>
    </row>
    <row r="1494" spans="15:15">
      <c r="O1494"/>
    </row>
    <row r="1495" spans="15:15">
      <c r="O1495"/>
    </row>
    <row r="1496" spans="15:15">
      <c r="O1496"/>
    </row>
    <row r="1497" spans="15:15">
      <c r="O1497"/>
    </row>
    <row r="1498" spans="15:15">
      <c r="O1498"/>
    </row>
    <row r="1499" spans="15:15">
      <c r="O1499"/>
    </row>
    <row r="1500" spans="15:15">
      <c r="O1500"/>
    </row>
    <row r="1501" spans="15:15">
      <c r="O1501"/>
    </row>
    <row r="1502" spans="15:15">
      <c r="O1502"/>
    </row>
    <row r="1503" spans="15:15">
      <c r="O1503"/>
    </row>
    <row r="1504" spans="15:15">
      <c r="O1504"/>
    </row>
    <row r="1505" spans="15:15">
      <c r="O1505"/>
    </row>
    <row r="1506" spans="15:15">
      <c r="O1506"/>
    </row>
    <row r="1507" spans="15:15">
      <c r="O1507"/>
    </row>
    <row r="1508" spans="15:15">
      <c r="O1508"/>
    </row>
    <row r="1509" spans="15:15">
      <c r="O1509"/>
    </row>
    <row r="1510" spans="15:15">
      <c r="O1510"/>
    </row>
    <row r="1511" spans="15:15">
      <c r="O1511"/>
    </row>
    <row r="1512" spans="15:15">
      <c r="O1512"/>
    </row>
    <row r="1513" spans="15:15">
      <c r="O1513"/>
    </row>
    <row r="1514" spans="15:15">
      <c r="O1514"/>
    </row>
    <row r="1515" spans="15:15">
      <c r="O1515"/>
    </row>
    <row r="1516" spans="15:15">
      <c r="O1516"/>
    </row>
    <row r="1517" spans="15:15">
      <c r="O1517"/>
    </row>
    <row r="1518" spans="15:15">
      <c r="O1518"/>
    </row>
    <row r="1519" spans="15:15">
      <c r="O1519"/>
    </row>
    <row r="1520" spans="15:15">
      <c r="O1520"/>
    </row>
    <row r="1521" spans="15:15">
      <c r="O1521"/>
    </row>
    <row r="1522" spans="15:15">
      <c r="O1522"/>
    </row>
    <row r="1523" spans="15:15">
      <c r="O1523"/>
    </row>
    <row r="1524" spans="15:15">
      <c r="O1524"/>
    </row>
    <row r="1525" spans="15:15">
      <c r="O1525"/>
    </row>
    <row r="1526" spans="15:15">
      <c r="O1526"/>
    </row>
    <row r="1527" spans="15:15">
      <c r="O1527"/>
    </row>
    <row r="1528" spans="15:15">
      <c r="O1528"/>
    </row>
    <row r="1529" spans="15:15">
      <c r="O1529"/>
    </row>
    <row r="1530" spans="15:15">
      <c r="O1530"/>
    </row>
    <row r="1531" spans="15:15">
      <c r="O1531"/>
    </row>
    <row r="1532" spans="15:15">
      <c r="O1532"/>
    </row>
    <row r="1533" spans="15:15">
      <c r="O1533"/>
    </row>
    <row r="1534" spans="15:15">
      <c r="O1534"/>
    </row>
    <row r="1535" spans="15:15">
      <c r="O1535"/>
    </row>
    <row r="1536" spans="15:15">
      <c r="O1536"/>
    </row>
    <row r="1537" spans="15:15">
      <c r="O1537"/>
    </row>
    <row r="1538" spans="15:15">
      <c r="O1538"/>
    </row>
    <row r="1539" spans="15:15">
      <c r="O1539"/>
    </row>
    <row r="1540" spans="15:15">
      <c r="O1540"/>
    </row>
    <row r="1541" spans="15:15">
      <c r="O1541"/>
    </row>
    <row r="1542" spans="15:15">
      <c r="O1542"/>
    </row>
    <row r="1543" spans="15:15">
      <c r="O1543"/>
    </row>
    <row r="1544" spans="15:15">
      <c r="O1544"/>
    </row>
    <row r="1545" spans="15:15">
      <c r="O1545"/>
    </row>
    <row r="1546" spans="15:15">
      <c r="O1546"/>
    </row>
    <row r="1547" spans="15:15">
      <c r="O1547"/>
    </row>
    <row r="1548" spans="15:15">
      <c r="O1548"/>
    </row>
    <row r="1549" spans="15:15">
      <c r="O1549"/>
    </row>
    <row r="1550" spans="15:15">
      <c r="O1550"/>
    </row>
    <row r="1551" spans="15:15">
      <c r="O1551"/>
    </row>
    <row r="1552" spans="15:15">
      <c r="O1552"/>
    </row>
    <row r="1553" spans="15:15">
      <c r="O1553"/>
    </row>
    <row r="1554" spans="15:15">
      <c r="O1554"/>
    </row>
    <row r="1555" spans="15:15">
      <c r="O1555"/>
    </row>
    <row r="1556" spans="15:15">
      <c r="O1556"/>
    </row>
    <row r="1557" spans="15:15">
      <c r="O1557"/>
    </row>
    <row r="1558" spans="15:15">
      <c r="O1558"/>
    </row>
    <row r="1559" spans="15:15">
      <c r="O1559"/>
    </row>
    <row r="1560" spans="15:15">
      <c r="O1560"/>
    </row>
    <row r="1561" spans="15:15">
      <c r="O1561"/>
    </row>
    <row r="1562" spans="15:15">
      <c r="O1562"/>
    </row>
    <row r="1563" spans="15:15">
      <c r="O1563"/>
    </row>
    <row r="1564" spans="15:15">
      <c r="O1564"/>
    </row>
    <row r="1565" spans="15:15">
      <c r="O1565"/>
    </row>
    <row r="1566" spans="15:15">
      <c r="O1566"/>
    </row>
    <row r="1567" spans="15:15">
      <c r="O1567"/>
    </row>
    <row r="1568" spans="15:15">
      <c r="O1568"/>
    </row>
    <row r="1569" spans="15:15">
      <c r="O1569"/>
    </row>
    <row r="1570" spans="15:15">
      <c r="O1570"/>
    </row>
    <row r="1571" spans="15:15">
      <c r="O1571"/>
    </row>
    <row r="1572" spans="15:15">
      <c r="O1572"/>
    </row>
    <row r="1573" spans="15:15">
      <c r="O1573"/>
    </row>
    <row r="1574" spans="15:15">
      <c r="O1574"/>
    </row>
    <row r="1575" spans="15:15">
      <c r="O1575"/>
    </row>
    <row r="1576" spans="15:15">
      <c r="O1576"/>
    </row>
    <row r="1577" spans="15:15">
      <c r="O1577"/>
    </row>
    <row r="1578" spans="15:15">
      <c r="O1578"/>
    </row>
    <row r="1579" spans="15:15">
      <c r="O1579"/>
    </row>
    <row r="1580" spans="15:15">
      <c r="O1580"/>
    </row>
    <row r="1581" spans="15:15">
      <c r="O1581"/>
    </row>
    <row r="1582" spans="15:15">
      <c r="O1582"/>
    </row>
    <row r="1583" spans="15:15">
      <c r="O1583"/>
    </row>
    <row r="1584" spans="15:15">
      <c r="O1584"/>
    </row>
    <row r="1585" spans="15:15">
      <c r="O1585"/>
    </row>
    <row r="1586" spans="15:15">
      <c r="O1586"/>
    </row>
    <row r="1587" spans="15:15">
      <c r="O1587"/>
    </row>
    <row r="1588" spans="15:15">
      <c r="O1588"/>
    </row>
    <row r="1589" spans="15:15">
      <c r="O1589"/>
    </row>
    <row r="1590" spans="15:15">
      <c r="O1590"/>
    </row>
    <row r="1591" spans="15:15">
      <c r="O1591"/>
    </row>
    <row r="1592" spans="15:15">
      <c r="O1592"/>
    </row>
    <row r="1593" spans="15:15">
      <c r="O1593"/>
    </row>
    <row r="1594" spans="15:15">
      <c r="O1594"/>
    </row>
    <row r="1595" spans="15:15">
      <c r="O1595"/>
    </row>
    <row r="1596" spans="15:15">
      <c r="O1596"/>
    </row>
    <row r="1597" spans="15:15">
      <c r="O1597"/>
    </row>
    <row r="1598" spans="15:15">
      <c r="O1598"/>
    </row>
    <row r="1599" spans="15:15">
      <c r="O1599"/>
    </row>
    <row r="1600" spans="15:15">
      <c r="O1600"/>
    </row>
    <row r="1601" spans="15:15">
      <c r="O1601"/>
    </row>
    <row r="1602" spans="15:15">
      <c r="O1602"/>
    </row>
    <row r="1603" spans="15:15">
      <c r="O1603"/>
    </row>
    <row r="1604" spans="15:15">
      <c r="O1604"/>
    </row>
    <row r="1605" spans="15:15">
      <c r="O1605"/>
    </row>
    <row r="1606" spans="15:15">
      <c r="O1606"/>
    </row>
    <row r="1607" spans="15:15">
      <c r="O1607"/>
    </row>
    <row r="1608" spans="15:15">
      <c r="O1608"/>
    </row>
    <row r="1609" spans="15:15">
      <c r="O1609"/>
    </row>
    <row r="1610" spans="15:15">
      <c r="O1610"/>
    </row>
    <row r="1611" spans="15:15">
      <c r="O1611"/>
    </row>
    <row r="1612" spans="15:15">
      <c r="O1612"/>
    </row>
    <row r="1613" spans="15:15">
      <c r="O1613"/>
    </row>
    <row r="1614" spans="15:15">
      <c r="O1614"/>
    </row>
    <row r="1615" spans="15:15">
      <c r="O1615"/>
    </row>
    <row r="1616" spans="15:15">
      <c r="O1616"/>
    </row>
    <row r="1617" spans="15:15">
      <c r="O1617"/>
    </row>
    <row r="1618" spans="15:15">
      <c r="O1618"/>
    </row>
    <row r="1619" spans="15:15">
      <c r="O1619"/>
    </row>
    <row r="1620" spans="15:15">
      <c r="O1620"/>
    </row>
    <row r="1621" spans="15:15">
      <c r="O1621"/>
    </row>
    <row r="1622" spans="15:15">
      <c r="O1622"/>
    </row>
    <row r="1623" spans="15:15">
      <c r="O1623"/>
    </row>
    <row r="1624" spans="15:15">
      <c r="O1624"/>
    </row>
    <row r="1625" spans="15:15">
      <c r="O1625"/>
    </row>
    <row r="1626" spans="15:15">
      <c r="O1626"/>
    </row>
    <row r="1627" spans="15:15">
      <c r="O1627"/>
    </row>
    <row r="1628" spans="15:15">
      <c r="O1628"/>
    </row>
    <row r="1629" spans="15:15">
      <c r="O1629"/>
    </row>
    <row r="1630" spans="15:15">
      <c r="O1630"/>
    </row>
    <row r="1631" spans="15:15">
      <c r="O1631"/>
    </row>
    <row r="1632" spans="15:15">
      <c r="O1632"/>
    </row>
    <row r="1633" spans="15:15">
      <c r="O1633"/>
    </row>
    <row r="1634" spans="15:15">
      <c r="O1634"/>
    </row>
    <row r="1635" spans="15:15">
      <c r="O1635"/>
    </row>
    <row r="1636" spans="15:15">
      <c r="O1636"/>
    </row>
    <row r="1637" spans="15:15">
      <c r="O1637"/>
    </row>
    <row r="1638" spans="15:15">
      <c r="O1638"/>
    </row>
    <row r="1639" spans="15:15">
      <c r="O1639"/>
    </row>
    <row r="1640" spans="15:15">
      <c r="O1640"/>
    </row>
    <row r="1641" spans="15:15">
      <c r="O1641"/>
    </row>
    <row r="1642" spans="15:15">
      <c r="O1642"/>
    </row>
    <row r="1643" spans="15:15">
      <c r="O1643"/>
    </row>
    <row r="1644" spans="15:15">
      <c r="O1644"/>
    </row>
    <row r="1645" spans="15:15">
      <c r="O1645"/>
    </row>
    <row r="1646" spans="15:15">
      <c r="O1646"/>
    </row>
    <row r="1647" spans="15:15">
      <c r="O1647"/>
    </row>
    <row r="1648" spans="15:15">
      <c r="O1648"/>
    </row>
    <row r="1649" spans="15:15">
      <c r="O1649"/>
    </row>
    <row r="1650" spans="15:15">
      <c r="O1650"/>
    </row>
    <row r="1651" spans="15:15">
      <c r="O1651"/>
    </row>
    <row r="1652" spans="15:15">
      <c r="O1652"/>
    </row>
    <row r="1653" spans="15:15">
      <c r="O1653"/>
    </row>
    <row r="1654" spans="15:15">
      <c r="O1654"/>
    </row>
    <row r="1655" spans="15:15">
      <c r="O1655"/>
    </row>
    <row r="1656" spans="15:15">
      <c r="O1656"/>
    </row>
    <row r="1657" spans="15:15">
      <c r="O1657"/>
    </row>
    <row r="1658" spans="15:15">
      <c r="O1658"/>
    </row>
    <row r="1659" spans="15:15">
      <c r="O1659"/>
    </row>
    <row r="1660" spans="15:15">
      <c r="O1660"/>
    </row>
    <row r="1661" spans="15:15">
      <c r="O1661"/>
    </row>
    <row r="1662" spans="15:15">
      <c r="O1662"/>
    </row>
    <row r="1663" spans="15:15">
      <c r="O1663"/>
    </row>
    <row r="1664" spans="15:15">
      <c r="O1664"/>
    </row>
    <row r="1665" spans="15:15">
      <c r="O1665"/>
    </row>
    <row r="1666" spans="15:15">
      <c r="O1666"/>
    </row>
    <row r="1667" spans="15:15">
      <c r="O1667"/>
    </row>
    <row r="1668" spans="15:15">
      <c r="O1668"/>
    </row>
    <row r="1669" spans="15:15">
      <c r="O1669"/>
    </row>
    <row r="1670" spans="15:15">
      <c r="O1670"/>
    </row>
    <row r="1671" spans="15:15">
      <c r="O1671"/>
    </row>
    <row r="1672" spans="15:15">
      <c r="O1672"/>
    </row>
    <row r="1673" spans="15:15">
      <c r="O1673"/>
    </row>
    <row r="1674" spans="15:15">
      <c r="O1674"/>
    </row>
    <row r="1675" spans="15:15">
      <c r="O1675"/>
    </row>
    <row r="1676" spans="15:15">
      <c r="O1676"/>
    </row>
    <row r="1677" spans="15:15">
      <c r="O1677"/>
    </row>
    <row r="1678" spans="15:15">
      <c r="O1678"/>
    </row>
    <row r="1679" spans="15:15">
      <c r="O1679"/>
    </row>
    <row r="1680" spans="15:15">
      <c r="O1680"/>
    </row>
    <row r="1681" spans="15:15">
      <c r="O1681"/>
    </row>
    <row r="1682" spans="15:15">
      <c r="O1682"/>
    </row>
    <row r="1683" spans="15:15">
      <c r="O1683"/>
    </row>
    <row r="1684" spans="15:15">
      <c r="O1684"/>
    </row>
    <row r="1685" spans="15:15">
      <c r="O1685"/>
    </row>
    <row r="1686" spans="15:15">
      <c r="O1686"/>
    </row>
    <row r="1687" spans="15:15">
      <c r="O1687"/>
    </row>
    <row r="1688" spans="15:15">
      <c r="O1688"/>
    </row>
    <row r="1689" spans="15:15">
      <c r="O1689"/>
    </row>
    <row r="1690" spans="15:15">
      <c r="O1690"/>
    </row>
    <row r="1691" spans="15:15">
      <c r="O1691"/>
    </row>
    <row r="1692" spans="15:15">
      <c r="O1692"/>
    </row>
    <row r="1693" spans="15:15">
      <c r="O1693"/>
    </row>
    <row r="1694" spans="15:15">
      <c r="O1694"/>
    </row>
    <row r="1695" spans="15:15">
      <c r="O1695"/>
    </row>
    <row r="1696" spans="15:15">
      <c r="O1696"/>
    </row>
    <row r="1697" spans="15:15">
      <c r="O1697"/>
    </row>
    <row r="1698" spans="15:15">
      <c r="O1698"/>
    </row>
    <row r="1699" spans="15:15">
      <c r="O1699"/>
    </row>
    <row r="1700" spans="15:15">
      <c r="O1700"/>
    </row>
    <row r="1701" spans="15:15">
      <c r="O1701"/>
    </row>
    <row r="1702" spans="15:15">
      <c r="O1702"/>
    </row>
    <row r="1703" spans="15:15">
      <c r="O1703"/>
    </row>
    <row r="1704" spans="15:15">
      <c r="O1704"/>
    </row>
    <row r="1705" spans="15:15">
      <c r="O1705"/>
    </row>
    <row r="1706" spans="15:15">
      <c r="O1706"/>
    </row>
    <row r="1707" spans="15:15">
      <c r="O1707"/>
    </row>
    <row r="1708" spans="15:15">
      <c r="O1708"/>
    </row>
    <row r="1709" spans="15:15">
      <c r="O1709"/>
    </row>
    <row r="1710" spans="15:15">
      <c r="O1710"/>
    </row>
    <row r="1711" spans="15:15">
      <c r="O1711"/>
    </row>
    <row r="1712" spans="15:15">
      <c r="O1712"/>
    </row>
    <row r="1713" spans="15:15">
      <c r="O1713"/>
    </row>
    <row r="1714" spans="15:15">
      <c r="O1714"/>
    </row>
    <row r="1715" spans="15:15">
      <c r="O1715"/>
    </row>
    <row r="1716" spans="15:15">
      <c r="O1716"/>
    </row>
    <row r="1717" spans="15:15">
      <c r="O1717"/>
    </row>
    <row r="1718" spans="15:15">
      <c r="O1718"/>
    </row>
    <row r="1719" spans="15:15">
      <c r="O1719"/>
    </row>
    <row r="1720" spans="15:15">
      <c r="O1720"/>
    </row>
    <row r="1721" spans="15:15">
      <c r="O1721"/>
    </row>
    <row r="1722" spans="15:15">
      <c r="O1722"/>
    </row>
    <row r="1723" spans="15:15">
      <c r="O1723"/>
    </row>
    <row r="1724" spans="15:15">
      <c r="O1724"/>
    </row>
    <row r="1725" spans="15:15">
      <c r="O1725"/>
    </row>
    <row r="1726" spans="15:15">
      <c r="O1726"/>
    </row>
    <row r="1727" spans="15:15">
      <c r="O1727"/>
    </row>
    <row r="1728" spans="15:15">
      <c r="O1728"/>
    </row>
    <row r="1729" spans="15:15">
      <c r="O1729"/>
    </row>
    <row r="1730" spans="15:15">
      <c r="O1730"/>
    </row>
    <row r="1731" spans="15:15">
      <c r="O1731"/>
    </row>
    <row r="1732" spans="15:15">
      <c r="O1732"/>
    </row>
    <row r="1733" spans="15:15">
      <c r="O1733"/>
    </row>
    <row r="1734" spans="15:15">
      <c r="O1734"/>
    </row>
    <row r="1735" spans="15:15">
      <c r="O1735"/>
    </row>
    <row r="1736" spans="15:15">
      <c r="O1736"/>
    </row>
    <row r="1737" spans="15:15">
      <c r="O1737"/>
    </row>
    <row r="1738" spans="15:15">
      <c r="O1738"/>
    </row>
    <row r="1739" spans="15:15">
      <c r="O1739"/>
    </row>
    <row r="1740" spans="15:15">
      <c r="O1740"/>
    </row>
    <row r="1741" spans="15:15">
      <c r="O1741"/>
    </row>
    <row r="1742" spans="15:15">
      <c r="O1742"/>
    </row>
    <row r="1743" spans="15:15">
      <c r="O1743"/>
    </row>
    <row r="1744" spans="15:15">
      <c r="O1744"/>
    </row>
    <row r="1745" spans="15:15">
      <c r="O1745"/>
    </row>
    <row r="1746" spans="15:15">
      <c r="O1746"/>
    </row>
    <row r="1747" spans="15:15">
      <c r="O1747"/>
    </row>
    <row r="1748" spans="15:15">
      <c r="O1748"/>
    </row>
    <row r="1749" spans="15:15">
      <c r="O1749"/>
    </row>
    <row r="1750" spans="15:15">
      <c r="O1750"/>
    </row>
    <row r="1751" spans="15:15">
      <c r="O1751"/>
    </row>
    <row r="1752" spans="15:15">
      <c r="O1752"/>
    </row>
    <row r="1753" spans="15:15">
      <c r="O1753"/>
    </row>
    <row r="1754" spans="15:15">
      <c r="O1754"/>
    </row>
    <row r="1755" spans="15:15">
      <c r="O1755"/>
    </row>
    <row r="1756" spans="15:15">
      <c r="O1756"/>
    </row>
    <row r="1757" spans="15:15">
      <c r="O1757"/>
    </row>
    <row r="1758" spans="15:15">
      <c r="O1758"/>
    </row>
    <row r="1759" spans="15:15">
      <c r="O1759"/>
    </row>
    <row r="1760" spans="15:15">
      <c r="O1760"/>
    </row>
    <row r="1761" spans="15:15">
      <c r="O1761"/>
    </row>
    <row r="1762" spans="15:15">
      <c r="O1762"/>
    </row>
    <row r="1763" spans="15:15">
      <c r="O1763"/>
    </row>
    <row r="1764" spans="15:15">
      <c r="O1764"/>
    </row>
    <row r="1765" spans="15:15">
      <c r="O1765"/>
    </row>
    <row r="1766" spans="15:15">
      <c r="O1766"/>
    </row>
    <row r="1767" spans="15:15">
      <c r="O1767"/>
    </row>
    <row r="1768" spans="15:15">
      <c r="O1768"/>
    </row>
    <row r="1769" spans="15:15">
      <c r="O1769"/>
    </row>
    <row r="1770" spans="15:15">
      <c r="O1770"/>
    </row>
    <row r="1771" spans="15:15">
      <c r="O1771"/>
    </row>
    <row r="1772" spans="15:15">
      <c r="O1772"/>
    </row>
    <row r="1773" spans="15:15">
      <c r="O1773"/>
    </row>
    <row r="1774" spans="15:15">
      <c r="O1774"/>
    </row>
    <row r="1775" spans="15:15">
      <c r="O1775"/>
    </row>
    <row r="1776" spans="15:15">
      <c r="O1776"/>
    </row>
    <row r="1777" spans="15:15">
      <c r="O1777"/>
    </row>
    <row r="1778" spans="15:15">
      <c r="O1778"/>
    </row>
    <row r="1779" spans="15:15">
      <c r="O1779"/>
    </row>
    <row r="1780" spans="15:15">
      <c r="O1780"/>
    </row>
    <row r="1781" spans="15:15">
      <c r="O1781"/>
    </row>
    <row r="1782" spans="15:15">
      <c r="O1782"/>
    </row>
    <row r="1783" spans="15:15">
      <c r="O1783"/>
    </row>
    <row r="1784" spans="15:15">
      <c r="O1784"/>
    </row>
    <row r="1785" spans="15:15">
      <c r="O1785"/>
    </row>
    <row r="1786" spans="15:15">
      <c r="O1786"/>
    </row>
    <row r="1787" spans="15:15">
      <c r="O1787"/>
    </row>
    <row r="1788" spans="15:15">
      <c r="O1788"/>
    </row>
    <row r="1789" spans="15:15">
      <c r="O1789"/>
    </row>
    <row r="1790" spans="15:15">
      <c r="O1790"/>
    </row>
    <row r="1791" spans="15:15">
      <c r="O1791"/>
    </row>
    <row r="1792" spans="15:15">
      <c r="O1792"/>
    </row>
    <row r="1793" spans="15:15">
      <c r="O1793"/>
    </row>
    <row r="1794" spans="15:15">
      <c r="O1794"/>
    </row>
    <row r="1795" spans="15:15">
      <c r="O1795"/>
    </row>
    <row r="1796" spans="15:15">
      <c r="O1796"/>
    </row>
    <row r="1797" spans="15:15">
      <c r="O1797"/>
    </row>
    <row r="1798" spans="15:15">
      <c r="O1798"/>
    </row>
    <row r="1799" spans="15:15">
      <c r="O1799"/>
    </row>
    <row r="1800" spans="15:15">
      <c r="O1800"/>
    </row>
    <row r="1801" spans="15:15">
      <c r="O1801"/>
    </row>
    <row r="1802" spans="15:15">
      <c r="O1802"/>
    </row>
    <row r="1803" spans="15:15">
      <c r="O1803"/>
    </row>
    <row r="1804" spans="15:15">
      <c r="O1804"/>
    </row>
    <row r="1805" spans="15:15">
      <c r="O1805"/>
    </row>
    <row r="1806" spans="15:15">
      <c r="O1806"/>
    </row>
    <row r="1807" spans="15:15">
      <c r="O1807"/>
    </row>
    <row r="1808" spans="15:15">
      <c r="O1808"/>
    </row>
    <row r="1809" spans="15:15">
      <c r="O1809"/>
    </row>
    <row r="1810" spans="15:15">
      <c r="O1810"/>
    </row>
    <row r="1811" spans="15:15">
      <c r="O1811"/>
    </row>
    <row r="1812" spans="15:15">
      <c r="O1812"/>
    </row>
    <row r="1813" spans="15:15">
      <c r="O1813"/>
    </row>
    <row r="1814" spans="15:15">
      <c r="O1814"/>
    </row>
    <row r="1815" spans="15:15">
      <c r="O1815"/>
    </row>
    <row r="1816" spans="15:15">
      <c r="O1816"/>
    </row>
    <row r="1817" spans="15:15">
      <c r="O1817"/>
    </row>
    <row r="1818" spans="15:15">
      <c r="O1818"/>
    </row>
    <row r="1819" spans="15:15">
      <c r="O1819"/>
    </row>
    <row r="1820" spans="15:15">
      <c r="O1820"/>
    </row>
    <row r="1821" spans="15:15">
      <c r="O1821"/>
    </row>
    <row r="1822" spans="15:15">
      <c r="O1822"/>
    </row>
    <row r="1823" spans="15:15">
      <c r="O1823"/>
    </row>
    <row r="1824" spans="15:15">
      <c r="O1824"/>
    </row>
    <row r="1825" spans="15:15">
      <c r="O1825"/>
    </row>
    <row r="1826" spans="15:15">
      <c r="O1826"/>
    </row>
    <row r="1827" spans="15:15">
      <c r="O1827"/>
    </row>
    <row r="1828" spans="15:15">
      <c r="O1828"/>
    </row>
    <row r="1829" spans="15:15">
      <c r="O1829"/>
    </row>
    <row r="1830" spans="15:15">
      <c r="O1830"/>
    </row>
    <row r="1831" spans="15:15">
      <c r="O1831"/>
    </row>
    <row r="1832" spans="15:15">
      <c r="O1832"/>
    </row>
    <row r="1833" spans="15:15">
      <c r="O1833"/>
    </row>
    <row r="1834" spans="15:15">
      <c r="O1834"/>
    </row>
    <row r="1835" spans="15:15">
      <c r="O1835"/>
    </row>
    <row r="1836" spans="15:15">
      <c r="O1836"/>
    </row>
    <row r="1837" spans="15:15">
      <c r="O1837"/>
    </row>
    <row r="1838" spans="15:15">
      <c r="O1838"/>
    </row>
    <row r="1839" spans="15:15">
      <c r="O1839"/>
    </row>
    <row r="1840" spans="15:15">
      <c r="O1840"/>
    </row>
    <row r="1841" spans="15:15">
      <c r="O1841"/>
    </row>
    <row r="1842" spans="15:15">
      <c r="O1842"/>
    </row>
    <row r="1843" spans="15:15">
      <c r="O1843"/>
    </row>
    <row r="1844" spans="15:15">
      <c r="O1844"/>
    </row>
    <row r="1845" spans="15:15">
      <c r="O1845"/>
    </row>
    <row r="1846" spans="15:15">
      <c r="O1846"/>
    </row>
    <row r="1847" spans="15:15">
      <c r="O1847"/>
    </row>
    <row r="1848" spans="15:15">
      <c r="O1848"/>
    </row>
    <row r="1849" spans="15:15">
      <c r="O1849"/>
    </row>
    <row r="1850" spans="15:15">
      <c r="O1850"/>
    </row>
    <row r="1851" spans="15:15">
      <c r="O1851"/>
    </row>
    <row r="1852" spans="15:15">
      <c r="O1852"/>
    </row>
    <row r="1853" spans="15:15">
      <c r="O1853"/>
    </row>
    <row r="1854" spans="15:15">
      <c r="O1854"/>
    </row>
    <row r="1855" spans="15:15">
      <c r="O1855"/>
    </row>
    <row r="1856" spans="15:15">
      <c r="O1856"/>
    </row>
    <row r="1857" spans="15:15">
      <c r="O1857"/>
    </row>
    <row r="1858" spans="15:15">
      <c r="O1858"/>
    </row>
    <row r="1859" spans="15:15">
      <c r="O1859"/>
    </row>
    <row r="1860" spans="15:15">
      <c r="O1860"/>
    </row>
    <row r="1861" spans="15:15">
      <c r="O1861"/>
    </row>
    <row r="1862" spans="15:15">
      <c r="O1862"/>
    </row>
    <row r="1863" spans="15:15">
      <c r="O1863"/>
    </row>
    <row r="1864" spans="15:15">
      <c r="O1864"/>
    </row>
    <row r="1865" spans="15:15">
      <c r="O1865"/>
    </row>
    <row r="1866" spans="15:15">
      <c r="O1866"/>
    </row>
    <row r="1867" spans="15:15">
      <c r="O1867"/>
    </row>
    <row r="1868" spans="15:15">
      <c r="O1868"/>
    </row>
    <row r="1869" spans="15:15">
      <c r="O1869"/>
    </row>
    <row r="1870" spans="15:15">
      <c r="O1870"/>
    </row>
    <row r="1871" spans="15:15">
      <c r="O1871"/>
    </row>
    <row r="1872" spans="15:15">
      <c r="O1872"/>
    </row>
    <row r="1873" spans="15:15">
      <c r="O1873"/>
    </row>
    <row r="1874" spans="15:15">
      <c r="O1874"/>
    </row>
    <row r="1875" spans="15:15">
      <c r="O1875"/>
    </row>
    <row r="1876" spans="15:15">
      <c r="O1876"/>
    </row>
    <row r="1877" spans="15:15">
      <c r="O1877"/>
    </row>
    <row r="1878" spans="15:15">
      <c r="O1878"/>
    </row>
    <row r="1879" spans="15:15">
      <c r="O1879"/>
    </row>
    <row r="1880" spans="15:15">
      <c r="O1880"/>
    </row>
    <row r="1881" spans="15:15">
      <c r="O1881"/>
    </row>
    <row r="1882" spans="15:15">
      <c r="O1882"/>
    </row>
    <row r="1883" spans="15:15">
      <c r="O1883"/>
    </row>
    <row r="1884" spans="15:15">
      <c r="O1884"/>
    </row>
    <row r="1885" spans="15:15">
      <c r="O1885"/>
    </row>
    <row r="1886" spans="15:15">
      <c r="O1886"/>
    </row>
    <row r="1887" spans="15:15">
      <c r="O1887"/>
    </row>
    <row r="1888" spans="15:15">
      <c r="O1888"/>
    </row>
    <row r="1889" spans="15:15">
      <c r="O1889"/>
    </row>
    <row r="1890" spans="15:15">
      <c r="O1890"/>
    </row>
    <row r="1891" spans="15:15">
      <c r="O1891"/>
    </row>
    <row r="1892" spans="15:15">
      <c r="O1892"/>
    </row>
    <row r="1893" spans="15:15">
      <c r="O1893"/>
    </row>
    <row r="1894" spans="15:15">
      <c r="O1894"/>
    </row>
    <row r="1895" spans="15:15">
      <c r="O1895"/>
    </row>
    <row r="1896" spans="15:15">
      <c r="O1896"/>
    </row>
    <row r="1897" spans="15:15">
      <c r="O1897"/>
    </row>
    <row r="1898" spans="15:15">
      <c r="O1898"/>
    </row>
    <row r="1899" spans="15:15">
      <c r="O1899"/>
    </row>
    <row r="1900" spans="15:15">
      <c r="O1900"/>
    </row>
    <row r="1901" spans="15:15">
      <c r="O1901"/>
    </row>
    <row r="1902" spans="15:15">
      <c r="O1902"/>
    </row>
    <row r="1903" spans="15:15">
      <c r="O1903"/>
    </row>
    <row r="1904" spans="15:15">
      <c r="O1904"/>
    </row>
    <row r="1905" spans="15:15">
      <c r="O1905"/>
    </row>
    <row r="1906" spans="15:15">
      <c r="O1906"/>
    </row>
    <row r="1907" spans="15:15">
      <c r="O1907"/>
    </row>
    <row r="1908" spans="15:15">
      <c r="O1908"/>
    </row>
    <row r="1909" spans="15:15">
      <c r="O1909"/>
    </row>
    <row r="1910" spans="15:15">
      <c r="O1910"/>
    </row>
    <row r="1911" spans="15:15">
      <c r="O1911"/>
    </row>
    <row r="1912" spans="15:15">
      <c r="O1912"/>
    </row>
    <row r="1913" spans="15:15">
      <c r="O1913"/>
    </row>
    <row r="1914" spans="15:15">
      <c r="O1914"/>
    </row>
    <row r="1915" spans="15:15">
      <c r="O1915"/>
    </row>
    <row r="1916" spans="15:15">
      <c r="O1916"/>
    </row>
    <row r="1917" spans="15:15">
      <c r="O1917"/>
    </row>
    <row r="1918" spans="15:15">
      <c r="O1918"/>
    </row>
    <row r="1919" spans="15:15">
      <c r="O1919"/>
    </row>
    <row r="1920" spans="15:15">
      <c r="O1920"/>
    </row>
    <row r="1921" spans="15:15">
      <c r="O1921"/>
    </row>
    <row r="1922" spans="15:15">
      <c r="O1922"/>
    </row>
    <row r="1923" spans="15:15">
      <c r="O1923"/>
    </row>
    <row r="1924" spans="15:15">
      <c r="O1924"/>
    </row>
    <row r="1925" spans="15:15">
      <c r="O1925"/>
    </row>
    <row r="1926" spans="15:15">
      <c r="O1926"/>
    </row>
    <row r="1927" spans="15:15">
      <c r="O1927"/>
    </row>
    <row r="1928" spans="15:15">
      <c r="O1928"/>
    </row>
    <row r="1929" spans="15:15">
      <c r="O1929"/>
    </row>
    <row r="1930" spans="15:15">
      <c r="O1930"/>
    </row>
    <row r="1931" spans="15:15">
      <c r="O1931"/>
    </row>
    <row r="1932" spans="15:15">
      <c r="O1932"/>
    </row>
    <row r="1933" spans="15:15">
      <c r="O1933"/>
    </row>
    <row r="1934" spans="15:15">
      <c r="O1934"/>
    </row>
    <row r="1935" spans="15:15">
      <c r="O1935"/>
    </row>
    <row r="1936" spans="15:15">
      <c r="O1936"/>
    </row>
    <row r="1937" spans="15:15">
      <c r="O1937"/>
    </row>
    <row r="1938" spans="15:15">
      <c r="O1938"/>
    </row>
    <row r="1939" spans="15:15">
      <c r="O1939"/>
    </row>
    <row r="1940" spans="15:15">
      <c r="O1940"/>
    </row>
    <row r="1941" spans="15:15">
      <c r="O1941"/>
    </row>
    <row r="1942" spans="15:15">
      <c r="O1942"/>
    </row>
    <row r="1943" spans="15:15">
      <c r="O1943"/>
    </row>
    <row r="1944" spans="15:15">
      <c r="O1944"/>
    </row>
    <row r="1945" spans="15:15">
      <c r="O1945"/>
    </row>
    <row r="1946" spans="15:15">
      <c r="O1946"/>
    </row>
    <row r="1947" spans="15:15">
      <c r="O1947"/>
    </row>
    <row r="1948" spans="15:15">
      <c r="O1948"/>
    </row>
    <row r="1949" spans="15:15">
      <c r="O1949"/>
    </row>
    <row r="1950" spans="15:15">
      <c r="O1950"/>
    </row>
    <row r="1951" spans="15:15">
      <c r="O1951"/>
    </row>
    <row r="1952" spans="15:15">
      <c r="O1952"/>
    </row>
    <row r="1953" spans="15:15">
      <c r="O1953"/>
    </row>
    <row r="1954" spans="15:15">
      <c r="O1954"/>
    </row>
    <row r="1955" spans="15:15">
      <c r="O1955"/>
    </row>
    <row r="1956" spans="15:15">
      <c r="O1956"/>
    </row>
    <row r="1957" spans="15:15">
      <c r="O1957"/>
    </row>
    <row r="1958" spans="15:15">
      <c r="O1958"/>
    </row>
    <row r="1959" spans="15:15">
      <c r="O1959"/>
    </row>
    <row r="1960" spans="15:15">
      <c r="O1960"/>
    </row>
    <row r="1961" spans="15:15">
      <c r="O1961"/>
    </row>
    <row r="1962" spans="15:15">
      <c r="O1962"/>
    </row>
    <row r="1963" spans="15:15">
      <c r="O1963"/>
    </row>
    <row r="1964" spans="15:15">
      <c r="O1964"/>
    </row>
    <row r="1965" spans="15:15">
      <c r="O1965"/>
    </row>
    <row r="1966" spans="15:15">
      <c r="O1966"/>
    </row>
    <row r="1967" spans="15:15">
      <c r="O1967"/>
    </row>
    <row r="1968" spans="15:15">
      <c r="O1968"/>
    </row>
    <row r="1969" spans="15:15">
      <c r="O1969"/>
    </row>
    <row r="1970" spans="15:15">
      <c r="O1970"/>
    </row>
    <row r="1971" spans="15:15">
      <c r="O1971"/>
    </row>
    <row r="1972" spans="15:15">
      <c r="O1972"/>
    </row>
    <row r="1973" spans="15:15">
      <c r="O1973"/>
    </row>
    <row r="1974" spans="15:15">
      <c r="O1974"/>
    </row>
    <row r="1975" spans="15:15">
      <c r="O1975"/>
    </row>
    <row r="1976" spans="15:15">
      <c r="O1976"/>
    </row>
    <row r="1977" spans="15:15">
      <c r="O1977"/>
    </row>
    <row r="1978" spans="15:15">
      <c r="O1978"/>
    </row>
    <row r="1979" spans="15:15">
      <c r="O1979"/>
    </row>
    <row r="1980" spans="15:15">
      <c r="O1980"/>
    </row>
    <row r="1981" spans="15:15">
      <c r="O1981"/>
    </row>
    <row r="1982" spans="15:15">
      <c r="O1982"/>
    </row>
    <row r="1983" spans="15:15">
      <c r="O1983"/>
    </row>
    <row r="1984" spans="15:15">
      <c r="O1984"/>
    </row>
    <row r="1985" spans="15:15">
      <c r="O1985"/>
    </row>
    <row r="1986" spans="15:15">
      <c r="O1986"/>
    </row>
    <row r="1987" spans="15:15">
      <c r="O1987"/>
    </row>
    <row r="1988" spans="15:15">
      <c r="O1988"/>
    </row>
    <row r="1989" spans="15:15">
      <c r="O1989"/>
    </row>
    <row r="1990" spans="15:15">
      <c r="O1990"/>
    </row>
    <row r="1991" spans="15:15">
      <c r="O1991"/>
    </row>
    <row r="1992" spans="15:15">
      <c r="O1992"/>
    </row>
    <row r="1993" spans="15:15">
      <c r="O1993"/>
    </row>
    <row r="1994" spans="15:15">
      <c r="O1994"/>
    </row>
    <row r="1995" spans="15:15">
      <c r="O1995"/>
    </row>
    <row r="1996" spans="15:15">
      <c r="O1996"/>
    </row>
    <row r="1997" spans="15:15">
      <c r="O1997"/>
    </row>
    <row r="1998" spans="15:15">
      <c r="O1998"/>
    </row>
    <row r="1999" spans="15:15">
      <c r="O1999"/>
    </row>
    <row r="2000" spans="15:15">
      <c r="O2000"/>
    </row>
    <row r="2001" spans="15:15">
      <c r="O2001"/>
    </row>
    <row r="2002" spans="15:15">
      <c r="O2002"/>
    </row>
    <row r="2003" spans="15:15">
      <c r="O2003"/>
    </row>
    <row r="2004" spans="15:15">
      <c r="O2004"/>
    </row>
    <row r="2005" spans="15:15">
      <c r="O2005"/>
    </row>
    <row r="2006" spans="15:15">
      <c r="O2006"/>
    </row>
    <row r="2007" spans="15:15">
      <c r="O2007"/>
    </row>
    <row r="2008" spans="15:15">
      <c r="O2008"/>
    </row>
    <row r="2009" spans="15:15">
      <c r="O2009"/>
    </row>
    <row r="2010" spans="15:15">
      <c r="O2010"/>
    </row>
    <row r="2011" spans="15:15">
      <c r="O2011"/>
    </row>
    <row r="2012" spans="15:15">
      <c r="O2012"/>
    </row>
    <row r="2013" spans="15:15">
      <c r="O2013"/>
    </row>
    <row r="2014" spans="15:15">
      <c r="O2014"/>
    </row>
    <row r="2015" spans="15:15">
      <c r="O2015"/>
    </row>
    <row r="2016" spans="15:15">
      <c r="O2016"/>
    </row>
    <row r="2017" spans="15:15">
      <c r="O2017"/>
    </row>
    <row r="2018" spans="15:15">
      <c r="O2018"/>
    </row>
    <row r="2019" spans="15:15">
      <c r="O2019"/>
    </row>
    <row r="2020" spans="15:15">
      <c r="O2020"/>
    </row>
    <row r="2021" spans="15:15">
      <c r="O2021"/>
    </row>
    <row r="2022" spans="15:15">
      <c r="O2022"/>
    </row>
    <row r="2023" spans="15:15">
      <c r="O2023"/>
    </row>
    <row r="2024" spans="15:15">
      <c r="O2024"/>
    </row>
    <row r="2025" spans="15:15">
      <c r="O2025"/>
    </row>
    <row r="2026" spans="15:15">
      <c r="O2026"/>
    </row>
    <row r="2027" spans="15:15">
      <c r="O2027"/>
    </row>
    <row r="2028" spans="15:15">
      <c r="O2028"/>
    </row>
    <row r="2029" spans="15:15">
      <c r="O2029"/>
    </row>
    <row r="2030" spans="15:15">
      <c r="O2030"/>
    </row>
    <row r="2031" spans="15:15">
      <c r="O2031"/>
    </row>
    <row r="2032" spans="15:15">
      <c r="O2032"/>
    </row>
    <row r="2033" spans="15:15">
      <c r="O2033"/>
    </row>
    <row r="2034" spans="15:15">
      <c r="O2034"/>
    </row>
    <row r="2035" spans="15:15">
      <c r="O2035"/>
    </row>
    <row r="2036" spans="15:15">
      <c r="O2036"/>
    </row>
    <row r="2037" spans="15:15">
      <c r="O2037"/>
    </row>
    <row r="2038" spans="15:15">
      <c r="O2038"/>
    </row>
    <row r="2039" spans="15:15">
      <c r="O2039"/>
    </row>
    <row r="2040" spans="15:15">
      <c r="O2040"/>
    </row>
    <row r="2041" spans="15:15">
      <c r="O2041"/>
    </row>
    <row r="2042" spans="15:15">
      <c r="O2042"/>
    </row>
    <row r="2043" spans="15:15">
      <c r="O2043"/>
    </row>
    <row r="2044" spans="15:15">
      <c r="O2044"/>
    </row>
    <row r="2045" spans="15:15">
      <c r="O2045"/>
    </row>
    <row r="2046" spans="15:15">
      <c r="O2046"/>
    </row>
    <row r="2047" spans="15:15">
      <c r="O2047"/>
    </row>
    <row r="2048" spans="15:15">
      <c r="O2048"/>
    </row>
    <row r="2049" spans="15:15">
      <c r="O2049"/>
    </row>
    <row r="2050" spans="15:15">
      <c r="O2050"/>
    </row>
    <row r="2051" spans="15:15">
      <c r="O2051"/>
    </row>
    <row r="2052" spans="15:15">
      <c r="O2052"/>
    </row>
    <row r="2053" spans="15:15">
      <c r="O2053"/>
    </row>
    <row r="2054" spans="15:15">
      <c r="O2054"/>
    </row>
    <row r="2055" spans="15:15">
      <c r="O2055"/>
    </row>
    <row r="2056" spans="15:15">
      <c r="O2056"/>
    </row>
    <row r="2057" spans="15:15">
      <c r="O2057"/>
    </row>
    <row r="2058" spans="15:15">
      <c r="O2058"/>
    </row>
    <row r="2059" spans="15:15">
      <c r="O2059"/>
    </row>
    <row r="2060" spans="15:15">
      <c r="O2060"/>
    </row>
    <row r="2061" spans="15:15">
      <c r="O2061"/>
    </row>
    <row r="2062" spans="15:15">
      <c r="O2062"/>
    </row>
    <row r="2063" spans="15:15">
      <c r="O2063"/>
    </row>
    <row r="2064" spans="15:15">
      <c r="O2064"/>
    </row>
    <row r="2065" spans="15:15">
      <c r="O2065"/>
    </row>
    <row r="2066" spans="15:15">
      <c r="O2066"/>
    </row>
    <row r="2067" spans="15:15">
      <c r="O2067"/>
    </row>
    <row r="2068" spans="15:15">
      <c r="O2068"/>
    </row>
    <row r="2069" spans="15:15">
      <c r="O2069"/>
    </row>
    <row r="2070" spans="15:15">
      <c r="O2070"/>
    </row>
    <row r="2071" spans="15:15">
      <c r="O2071"/>
    </row>
    <row r="2072" spans="15:15">
      <c r="O2072"/>
    </row>
    <row r="2073" spans="15:15">
      <c r="O2073"/>
    </row>
    <row r="2074" spans="15:15">
      <c r="O2074"/>
    </row>
    <row r="2075" spans="15:15">
      <c r="O2075"/>
    </row>
    <row r="2076" spans="15:15">
      <c r="O2076"/>
    </row>
    <row r="2077" spans="15:15">
      <c r="O2077"/>
    </row>
    <row r="2078" spans="15:15">
      <c r="O2078"/>
    </row>
    <row r="2079" spans="15:15">
      <c r="O2079"/>
    </row>
    <row r="2080" spans="15:15">
      <c r="O2080"/>
    </row>
    <row r="2081" spans="15:15">
      <c r="O2081"/>
    </row>
    <row r="2082" spans="15:15">
      <c r="O2082"/>
    </row>
    <row r="2083" spans="15:15">
      <c r="O2083"/>
    </row>
    <row r="2084" spans="15:15">
      <c r="O2084"/>
    </row>
    <row r="2085" spans="15:15">
      <c r="O2085"/>
    </row>
    <row r="2086" spans="15:15">
      <c r="O2086"/>
    </row>
    <row r="2087" spans="15:15">
      <c r="O2087"/>
    </row>
    <row r="2088" spans="15:15">
      <c r="O2088"/>
    </row>
    <row r="2089" spans="15:15">
      <c r="O2089"/>
    </row>
    <row r="2090" spans="15:15">
      <c r="O2090"/>
    </row>
    <row r="2091" spans="15:15">
      <c r="O2091"/>
    </row>
    <row r="2092" spans="15:15">
      <c r="O2092"/>
    </row>
    <row r="2093" spans="15:15">
      <c r="O2093"/>
    </row>
    <row r="2094" spans="15:15">
      <c r="O2094"/>
    </row>
    <row r="2095" spans="15:15">
      <c r="O2095"/>
    </row>
    <row r="2096" spans="15:15">
      <c r="O2096"/>
    </row>
    <row r="2097" spans="15:15">
      <c r="O2097"/>
    </row>
    <row r="2098" spans="15:15">
      <c r="O2098"/>
    </row>
    <row r="2099" spans="15:15">
      <c r="O2099"/>
    </row>
    <row r="2100" spans="15:15">
      <c r="O2100"/>
    </row>
    <row r="2101" spans="15:15">
      <c r="O2101"/>
    </row>
    <row r="2102" spans="15:15">
      <c r="O2102"/>
    </row>
    <row r="2103" spans="15:15">
      <c r="O2103"/>
    </row>
    <row r="2104" spans="15:15">
      <c r="O2104"/>
    </row>
    <row r="2105" spans="15:15">
      <c r="O2105"/>
    </row>
    <row r="2106" spans="15:15">
      <c r="O2106"/>
    </row>
    <row r="2107" spans="15:15">
      <c r="O2107"/>
    </row>
    <row r="2108" spans="15:15">
      <c r="O2108"/>
    </row>
    <row r="2109" spans="15:15">
      <c r="O2109"/>
    </row>
    <row r="2110" spans="15:15">
      <c r="O2110"/>
    </row>
    <row r="2111" spans="15:15">
      <c r="O2111"/>
    </row>
    <row r="2112" spans="15:15">
      <c r="O2112"/>
    </row>
    <row r="2113" spans="15:15">
      <c r="O2113"/>
    </row>
    <row r="2114" spans="15:15">
      <c r="O2114"/>
    </row>
    <row r="2115" spans="15:15">
      <c r="O2115"/>
    </row>
    <row r="2116" spans="15:15">
      <c r="O2116"/>
    </row>
    <row r="2117" spans="15:15">
      <c r="O2117"/>
    </row>
    <row r="2118" spans="15:15">
      <c r="O2118"/>
    </row>
    <row r="2119" spans="15:15">
      <c r="O2119"/>
    </row>
    <row r="2120" spans="15:15">
      <c r="O2120"/>
    </row>
    <row r="2121" spans="15:15">
      <c r="O2121"/>
    </row>
    <row r="2122" spans="15:15">
      <c r="O2122"/>
    </row>
    <row r="2123" spans="15:15">
      <c r="O2123"/>
    </row>
    <row r="2124" spans="15:15">
      <c r="O2124"/>
    </row>
    <row r="2125" spans="15:15">
      <c r="O2125"/>
    </row>
    <row r="2126" spans="15:15">
      <c r="O2126"/>
    </row>
    <row r="2127" spans="15:15">
      <c r="O2127"/>
    </row>
    <row r="2128" spans="15:15">
      <c r="O2128"/>
    </row>
    <row r="2129" spans="15:15">
      <c r="O2129"/>
    </row>
    <row r="2130" spans="15:15">
      <c r="O2130"/>
    </row>
    <row r="2131" spans="15:15">
      <c r="O2131"/>
    </row>
    <row r="2132" spans="15:15">
      <c r="O2132"/>
    </row>
    <row r="2133" spans="15:15">
      <c r="O2133"/>
    </row>
    <row r="2134" spans="15:15">
      <c r="O2134"/>
    </row>
    <row r="2135" spans="15:15">
      <c r="O2135"/>
    </row>
    <row r="2136" spans="15:15">
      <c r="O2136"/>
    </row>
    <row r="2137" spans="15:15">
      <c r="O2137"/>
    </row>
    <row r="2138" spans="15:15">
      <c r="O2138"/>
    </row>
    <row r="2139" spans="15:15">
      <c r="O2139"/>
    </row>
    <row r="2140" spans="15:15">
      <c r="O2140"/>
    </row>
    <row r="2141" spans="15:15">
      <c r="O2141"/>
    </row>
    <row r="2142" spans="15:15">
      <c r="O2142"/>
    </row>
    <row r="2143" spans="15:15">
      <c r="O2143"/>
    </row>
    <row r="2144" spans="15:15">
      <c r="O2144"/>
    </row>
    <row r="2145" spans="15:15">
      <c r="O2145"/>
    </row>
    <row r="2146" spans="15:15">
      <c r="O2146"/>
    </row>
    <row r="2147" spans="15:15">
      <c r="O2147"/>
    </row>
    <row r="2148" spans="15:15">
      <c r="O2148"/>
    </row>
    <row r="2149" spans="15:15">
      <c r="O2149"/>
    </row>
    <row r="2150" spans="15:15">
      <c r="O2150"/>
    </row>
    <row r="2151" spans="15:15">
      <c r="O2151"/>
    </row>
    <row r="2152" spans="15:15">
      <c r="O2152"/>
    </row>
    <row r="2153" spans="15:15">
      <c r="O2153"/>
    </row>
    <row r="2154" spans="15:15">
      <c r="O2154"/>
    </row>
    <row r="2155" spans="15:15">
      <c r="O2155"/>
    </row>
    <row r="2156" spans="15:15">
      <c r="O2156"/>
    </row>
    <row r="2157" spans="15:15">
      <c r="O2157"/>
    </row>
    <row r="2158" spans="15:15">
      <c r="O2158"/>
    </row>
    <row r="2159" spans="15:15">
      <c r="O2159"/>
    </row>
    <row r="2160" spans="15:15">
      <c r="O2160"/>
    </row>
    <row r="2161" spans="15:15">
      <c r="O2161"/>
    </row>
    <row r="2162" spans="15:15">
      <c r="O2162"/>
    </row>
    <row r="2163" spans="15:15">
      <c r="O2163"/>
    </row>
    <row r="2164" spans="15:15">
      <c r="O2164"/>
    </row>
    <row r="2165" spans="15:15">
      <c r="O2165"/>
    </row>
    <row r="2166" spans="15:15">
      <c r="O2166"/>
    </row>
    <row r="2167" spans="15:15">
      <c r="O2167"/>
    </row>
    <row r="2168" spans="15:15">
      <c r="O2168"/>
    </row>
    <row r="2169" spans="15:15">
      <c r="O2169"/>
    </row>
    <row r="2170" spans="15:15">
      <c r="O2170"/>
    </row>
    <row r="2171" spans="15:15">
      <c r="O2171"/>
    </row>
    <row r="2172" spans="15:15">
      <c r="O2172"/>
    </row>
    <row r="2173" spans="15:15">
      <c r="O2173"/>
    </row>
    <row r="2174" spans="15:15">
      <c r="O2174"/>
    </row>
    <row r="2175" spans="15:15">
      <c r="O2175"/>
    </row>
    <row r="2176" spans="15:15">
      <c r="O2176"/>
    </row>
    <row r="2177" spans="15:15">
      <c r="O2177"/>
    </row>
    <row r="2178" spans="15:15">
      <c r="O2178"/>
    </row>
    <row r="2179" spans="15:15">
      <c r="O2179"/>
    </row>
    <row r="2180" spans="15:15">
      <c r="O2180"/>
    </row>
    <row r="2181" spans="15:15">
      <c r="O2181"/>
    </row>
    <row r="2182" spans="15:15">
      <c r="O2182"/>
    </row>
    <row r="2183" spans="15:15">
      <c r="O2183"/>
    </row>
    <row r="2184" spans="15:15">
      <c r="O2184"/>
    </row>
    <row r="2185" spans="15:15">
      <c r="O2185"/>
    </row>
    <row r="2186" spans="15:15">
      <c r="O2186"/>
    </row>
    <row r="2187" spans="15:15">
      <c r="O2187"/>
    </row>
    <row r="2188" spans="15:15">
      <c r="O2188"/>
    </row>
    <row r="2189" spans="15:15">
      <c r="O2189"/>
    </row>
    <row r="2190" spans="15:15">
      <c r="O2190"/>
    </row>
    <row r="2191" spans="15:15">
      <c r="O2191"/>
    </row>
    <row r="2192" spans="15:15">
      <c r="O2192"/>
    </row>
    <row r="2193" spans="15:15">
      <c r="O2193"/>
    </row>
    <row r="2194" spans="15:15">
      <c r="O2194"/>
    </row>
    <row r="2195" spans="15:15">
      <c r="O2195"/>
    </row>
    <row r="2196" spans="15:15">
      <c r="O2196"/>
    </row>
    <row r="2197" spans="15:15">
      <c r="O2197"/>
    </row>
    <row r="2198" spans="15:15">
      <c r="O2198"/>
    </row>
    <row r="2199" spans="15:15">
      <c r="O2199"/>
    </row>
    <row r="2200" spans="15:15">
      <c r="O2200"/>
    </row>
    <row r="2201" spans="15:15">
      <c r="O2201"/>
    </row>
    <row r="2202" spans="15:15">
      <c r="O2202"/>
    </row>
    <row r="2203" spans="15:15">
      <c r="O2203"/>
    </row>
    <row r="2204" spans="15:15">
      <c r="O2204"/>
    </row>
    <row r="2205" spans="15:15">
      <c r="O2205"/>
    </row>
    <row r="2206" spans="15:15">
      <c r="O2206"/>
    </row>
    <row r="2207" spans="15:15">
      <c r="O2207"/>
    </row>
    <row r="2208" spans="15:15">
      <c r="O2208"/>
    </row>
    <row r="2209" spans="15:15">
      <c r="O2209"/>
    </row>
    <row r="2210" spans="15:15">
      <c r="O2210"/>
    </row>
    <row r="2211" spans="15:15">
      <c r="O2211"/>
    </row>
    <row r="2212" spans="15:15">
      <c r="O2212"/>
    </row>
    <row r="2213" spans="15:15">
      <c r="O2213"/>
    </row>
    <row r="2214" spans="15:15">
      <c r="O2214"/>
    </row>
    <row r="2215" spans="15:15">
      <c r="O2215"/>
    </row>
    <row r="2216" spans="15:15">
      <c r="O2216"/>
    </row>
    <row r="2217" spans="15:15">
      <c r="O2217"/>
    </row>
    <row r="2218" spans="15:15">
      <c r="O2218"/>
    </row>
    <row r="2219" spans="15:15">
      <c r="O2219"/>
    </row>
    <row r="2220" spans="15:15">
      <c r="O2220"/>
    </row>
    <row r="2221" spans="15:15">
      <c r="O2221"/>
    </row>
    <row r="2222" spans="15:15">
      <c r="O2222"/>
    </row>
    <row r="2223" spans="15:15">
      <c r="O2223"/>
    </row>
    <row r="2224" spans="15:15">
      <c r="O2224"/>
    </row>
    <row r="2225" spans="15:15">
      <c r="O2225"/>
    </row>
    <row r="2226" spans="15:15">
      <c r="O2226"/>
    </row>
    <row r="2227" spans="15:15">
      <c r="O2227"/>
    </row>
    <row r="2228" spans="15:15">
      <c r="O2228"/>
    </row>
    <row r="2229" spans="15:15">
      <c r="O2229"/>
    </row>
    <row r="2230" spans="15:15">
      <c r="O2230"/>
    </row>
    <row r="2231" spans="15:15">
      <c r="O2231"/>
    </row>
    <row r="2232" spans="15:15">
      <c r="O2232"/>
    </row>
    <row r="2233" spans="15:15">
      <c r="O2233"/>
    </row>
    <row r="2234" spans="15:15">
      <c r="O2234"/>
    </row>
    <row r="2235" spans="15:15">
      <c r="O2235"/>
    </row>
    <row r="2236" spans="15:15">
      <c r="O2236"/>
    </row>
    <row r="2237" spans="15:15">
      <c r="O2237"/>
    </row>
    <row r="2238" spans="15:15">
      <c r="O2238"/>
    </row>
    <row r="2239" spans="15:15">
      <c r="O2239"/>
    </row>
    <row r="2240" spans="15:15">
      <c r="O2240"/>
    </row>
    <row r="2241" spans="15:15">
      <c r="O2241"/>
    </row>
    <row r="2242" spans="15:15">
      <c r="O2242"/>
    </row>
    <row r="2243" spans="15:15">
      <c r="O2243"/>
    </row>
    <row r="2244" spans="15:15">
      <c r="O2244"/>
    </row>
    <row r="2245" spans="15:15">
      <c r="O2245"/>
    </row>
    <row r="2246" spans="15:15">
      <c r="O2246"/>
    </row>
    <row r="2247" spans="15:15">
      <c r="O2247"/>
    </row>
    <row r="2248" spans="15:15">
      <c r="O2248"/>
    </row>
    <row r="2249" spans="15:15">
      <c r="O2249"/>
    </row>
    <row r="2250" spans="15:15">
      <c r="O2250"/>
    </row>
    <row r="2251" spans="15:15">
      <c r="O2251"/>
    </row>
    <row r="2252" spans="15:15">
      <c r="O2252"/>
    </row>
    <row r="2253" spans="15:15">
      <c r="O2253"/>
    </row>
    <row r="2254" spans="15:15">
      <c r="O2254"/>
    </row>
    <row r="2255" spans="15:15">
      <c r="O2255"/>
    </row>
    <row r="2256" spans="15:15">
      <c r="O2256"/>
    </row>
    <row r="2257" spans="15:15">
      <c r="O2257"/>
    </row>
    <row r="2258" spans="15:15">
      <c r="O2258"/>
    </row>
    <row r="2259" spans="15:15">
      <c r="O2259"/>
    </row>
    <row r="2260" spans="15:15">
      <c r="O2260"/>
    </row>
    <row r="2261" spans="15:15">
      <c r="O2261"/>
    </row>
    <row r="2262" spans="15:15">
      <c r="O2262"/>
    </row>
    <row r="2263" spans="15:15">
      <c r="O2263"/>
    </row>
    <row r="2264" spans="15:15">
      <c r="O2264"/>
    </row>
    <row r="2265" spans="15:15">
      <c r="O2265"/>
    </row>
    <row r="2266" spans="15:15">
      <c r="O2266"/>
    </row>
    <row r="2267" spans="15:15">
      <c r="O2267"/>
    </row>
    <row r="2268" spans="15:15">
      <c r="O2268"/>
    </row>
    <row r="2269" spans="15:15">
      <c r="O2269"/>
    </row>
    <row r="2270" spans="15:15">
      <c r="O2270"/>
    </row>
    <row r="2271" spans="15:15">
      <c r="O2271"/>
    </row>
    <row r="2272" spans="15:15">
      <c r="O2272"/>
    </row>
    <row r="2273" spans="15:15">
      <c r="O2273"/>
    </row>
    <row r="2274" spans="15:15">
      <c r="O2274"/>
    </row>
    <row r="2275" spans="15:15">
      <c r="O2275"/>
    </row>
    <row r="2276" spans="15:15">
      <c r="O2276"/>
    </row>
    <row r="2277" spans="15:15">
      <c r="O2277"/>
    </row>
    <row r="2278" spans="15:15">
      <c r="O2278"/>
    </row>
    <row r="2279" spans="15:15">
      <c r="O2279"/>
    </row>
    <row r="2280" spans="15:15">
      <c r="O2280"/>
    </row>
    <row r="2281" spans="15:15">
      <c r="O2281"/>
    </row>
    <row r="2282" spans="15:15">
      <c r="O2282"/>
    </row>
    <row r="2283" spans="15:15">
      <c r="O2283"/>
    </row>
    <row r="2284" spans="15:15">
      <c r="O2284"/>
    </row>
    <row r="2285" spans="15:15">
      <c r="O2285"/>
    </row>
    <row r="2286" spans="15:15">
      <c r="O2286"/>
    </row>
    <row r="2287" spans="15:15">
      <c r="O2287"/>
    </row>
    <row r="2288" spans="15:15">
      <c r="O2288"/>
    </row>
    <row r="2289" spans="15:15">
      <c r="O2289"/>
    </row>
    <row r="2290" spans="15:15">
      <c r="O2290"/>
    </row>
    <row r="2291" spans="15:15">
      <c r="O2291"/>
    </row>
    <row r="2292" spans="15:15">
      <c r="O2292"/>
    </row>
    <row r="2293" spans="15:15">
      <c r="O2293"/>
    </row>
    <row r="2294" spans="15:15">
      <c r="O2294"/>
    </row>
    <row r="2295" spans="15:15">
      <c r="O2295"/>
    </row>
    <row r="2296" spans="15:15">
      <c r="O2296"/>
    </row>
    <row r="2297" spans="15:15">
      <c r="O2297"/>
    </row>
    <row r="2298" spans="15:15">
      <c r="O2298"/>
    </row>
    <row r="2299" spans="15:15">
      <c r="O2299"/>
    </row>
    <row r="2300" spans="15:15">
      <c r="O2300"/>
    </row>
    <row r="2301" spans="15:15">
      <c r="O2301"/>
    </row>
    <row r="2302" spans="15:15">
      <c r="O2302"/>
    </row>
    <row r="2303" spans="15:15">
      <c r="O2303"/>
    </row>
    <row r="2304" spans="15:15">
      <c r="O2304"/>
    </row>
    <row r="2305" spans="15:15">
      <c r="O2305"/>
    </row>
    <row r="2306" spans="15:15">
      <c r="O2306"/>
    </row>
    <row r="2307" spans="15:15">
      <c r="O2307"/>
    </row>
    <row r="2308" spans="15:15">
      <c r="O2308"/>
    </row>
    <row r="2309" spans="15:15">
      <c r="O2309"/>
    </row>
    <row r="2310" spans="15:15">
      <c r="O2310"/>
    </row>
    <row r="2311" spans="15:15">
      <c r="O2311"/>
    </row>
    <row r="2312" spans="15:15">
      <c r="O2312"/>
    </row>
    <row r="2313" spans="15:15">
      <c r="O2313"/>
    </row>
    <row r="2314" spans="15:15">
      <c r="O2314"/>
    </row>
    <row r="2315" spans="15:15">
      <c r="O2315"/>
    </row>
    <row r="2316" spans="15:15">
      <c r="O2316"/>
    </row>
    <row r="2317" spans="15:15">
      <c r="O2317"/>
    </row>
    <row r="2318" spans="15:15">
      <c r="O2318"/>
    </row>
    <row r="2319" spans="15:15">
      <c r="O2319"/>
    </row>
    <row r="2320" spans="15:15">
      <c r="O2320"/>
    </row>
    <row r="2321" spans="15:15">
      <c r="O2321"/>
    </row>
    <row r="2322" spans="15:15">
      <c r="O2322"/>
    </row>
    <row r="2323" spans="15:15">
      <c r="O2323"/>
    </row>
    <row r="2324" spans="15:15">
      <c r="O2324"/>
    </row>
    <row r="2325" spans="15:15">
      <c r="O2325"/>
    </row>
    <row r="2326" spans="15:15">
      <c r="O2326"/>
    </row>
    <row r="2327" spans="15:15">
      <c r="O2327"/>
    </row>
    <row r="2328" spans="15:15">
      <c r="O2328"/>
    </row>
    <row r="2329" spans="15:15">
      <c r="O2329"/>
    </row>
    <row r="2330" spans="15:15">
      <c r="O2330"/>
    </row>
    <row r="2331" spans="15:15">
      <c r="O2331"/>
    </row>
    <row r="2332" spans="15:15">
      <c r="O2332"/>
    </row>
    <row r="2333" spans="15:15">
      <c r="O2333"/>
    </row>
    <row r="2334" spans="15:15">
      <c r="O2334"/>
    </row>
    <row r="2335" spans="15:15">
      <c r="O2335"/>
    </row>
    <row r="2336" spans="15:15">
      <c r="O2336"/>
    </row>
    <row r="2337" spans="15:15">
      <c r="O2337"/>
    </row>
    <row r="2338" spans="15:15">
      <c r="O2338"/>
    </row>
    <row r="2339" spans="15:15">
      <c r="O2339"/>
    </row>
    <row r="2340" spans="15:15">
      <c r="O2340"/>
    </row>
    <row r="2341" spans="15:15">
      <c r="O2341"/>
    </row>
    <row r="2342" spans="15:15">
      <c r="O2342"/>
    </row>
    <row r="2343" spans="15:15">
      <c r="O2343"/>
    </row>
    <row r="2344" spans="15:15">
      <c r="O2344"/>
    </row>
    <row r="2345" spans="15:15">
      <c r="O2345"/>
    </row>
    <row r="2346" spans="15:15">
      <c r="O2346"/>
    </row>
    <row r="2347" spans="15:15">
      <c r="O2347"/>
    </row>
    <row r="2348" spans="15:15">
      <c r="O2348"/>
    </row>
    <row r="2349" spans="15:15">
      <c r="O2349"/>
    </row>
    <row r="2350" spans="15:15">
      <c r="O2350"/>
    </row>
    <row r="2351" spans="15:15">
      <c r="O2351"/>
    </row>
    <row r="2352" spans="15:15">
      <c r="O2352"/>
    </row>
    <row r="2353" spans="15:15">
      <c r="O2353"/>
    </row>
    <row r="2354" spans="15:15">
      <c r="O2354"/>
    </row>
    <row r="2355" spans="15:15">
      <c r="O2355"/>
    </row>
    <row r="2356" spans="15:15">
      <c r="O2356"/>
    </row>
    <row r="2357" spans="15:15">
      <c r="O2357"/>
    </row>
    <row r="2358" spans="15:15">
      <c r="O2358"/>
    </row>
    <row r="2359" spans="15:15">
      <c r="O2359"/>
    </row>
    <row r="2360" spans="15:15">
      <c r="O2360"/>
    </row>
    <row r="2361" spans="15:15">
      <c r="O2361"/>
    </row>
    <row r="2362" spans="15:15">
      <c r="O2362"/>
    </row>
    <row r="2363" spans="15:15">
      <c r="O2363"/>
    </row>
    <row r="2364" spans="15:15">
      <c r="O2364"/>
    </row>
    <row r="2365" spans="15:15">
      <c r="O2365"/>
    </row>
    <row r="2366" spans="15:15">
      <c r="O2366"/>
    </row>
    <row r="2367" spans="15:15">
      <c r="O2367"/>
    </row>
    <row r="2368" spans="15:15">
      <c r="O2368"/>
    </row>
    <row r="2369" spans="15:15">
      <c r="O2369"/>
    </row>
    <row r="2370" spans="15:15">
      <c r="O2370"/>
    </row>
    <row r="2371" spans="15:15">
      <c r="O2371"/>
    </row>
    <row r="2372" spans="15:15">
      <c r="O2372"/>
    </row>
    <row r="2373" spans="15:15">
      <c r="O2373"/>
    </row>
    <row r="2374" spans="15:15">
      <c r="O2374"/>
    </row>
    <row r="2375" spans="15:15">
      <c r="O2375"/>
    </row>
    <row r="2376" spans="15:15">
      <c r="O2376"/>
    </row>
    <row r="2377" spans="15:15">
      <c r="O2377"/>
    </row>
    <row r="2378" spans="15:15">
      <c r="O2378"/>
    </row>
    <row r="2379" spans="15:15">
      <c r="O2379"/>
    </row>
    <row r="2380" spans="15:15">
      <c r="O2380"/>
    </row>
    <row r="2381" spans="15:15">
      <c r="O2381"/>
    </row>
    <row r="2382" spans="15:15">
      <c r="O2382"/>
    </row>
    <row r="2383" spans="15:15">
      <c r="O2383"/>
    </row>
    <row r="2384" spans="15:15">
      <c r="O2384"/>
    </row>
    <row r="2385" spans="15:15">
      <c r="O2385"/>
    </row>
    <row r="2386" spans="15:15">
      <c r="O2386"/>
    </row>
    <row r="2387" spans="15:15">
      <c r="O2387"/>
    </row>
    <row r="2388" spans="15:15">
      <c r="O2388"/>
    </row>
    <row r="2389" spans="15:15">
      <c r="O2389"/>
    </row>
    <row r="2390" spans="15:15">
      <c r="O2390"/>
    </row>
    <row r="2391" spans="15:15">
      <c r="O2391"/>
    </row>
    <row r="2392" spans="15:15">
      <c r="O2392"/>
    </row>
    <row r="2393" spans="15:15">
      <c r="O2393"/>
    </row>
    <row r="2394" spans="15:15">
      <c r="O2394"/>
    </row>
    <row r="2395" spans="15:15">
      <c r="O2395"/>
    </row>
    <row r="2396" spans="15:15">
      <c r="O2396"/>
    </row>
    <row r="2397" spans="15:15">
      <c r="O2397"/>
    </row>
    <row r="2398" spans="15:15">
      <c r="O2398"/>
    </row>
    <row r="2399" spans="15:15">
      <c r="O2399"/>
    </row>
    <row r="2400" spans="15:15">
      <c r="O2400"/>
    </row>
    <row r="2401" spans="15:15">
      <c r="O2401"/>
    </row>
    <row r="2402" spans="15:15">
      <c r="O2402"/>
    </row>
    <row r="2403" spans="15:15">
      <c r="O2403"/>
    </row>
    <row r="2404" spans="15:15">
      <c r="O2404"/>
    </row>
    <row r="2405" spans="15:15">
      <c r="O2405"/>
    </row>
    <row r="2406" spans="15:15">
      <c r="O2406"/>
    </row>
    <row r="2407" spans="15:15">
      <c r="O2407"/>
    </row>
    <row r="2408" spans="15:15">
      <c r="O2408"/>
    </row>
    <row r="2409" spans="15:15">
      <c r="O2409"/>
    </row>
    <row r="2410" spans="15:15">
      <c r="O2410"/>
    </row>
    <row r="2411" spans="15:15">
      <c r="O2411"/>
    </row>
    <row r="2412" spans="15:15">
      <c r="O2412"/>
    </row>
    <row r="2413" spans="15:15">
      <c r="O2413"/>
    </row>
    <row r="2414" spans="15:15">
      <c r="O2414"/>
    </row>
    <row r="2415" spans="15:15">
      <c r="O2415"/>
    </row>
    <row r="2416" spans="15:15">
      <c r="O2416"/>
    </row>
    <row r="2417" spans="15:15">
      <c r="O2417"/>
    </row>
    <row r="2418" spans="15:15">
      <c r="O2418"/>
    </row>
    <row r="2419" spans="15:15">
      <c r="O2419"/>
    </row>
    <row r="2420" spans="15:15">
      <c r="O2420"/>
    </row>
    <row r="2421" spans="15:15">
      <c r="O2421"/>
    </row>
    <row r="2422" spans="15:15">
      <c r="O2422"/>
    </row>
    <row r="2423" spans="15:15">
      <c r="O2423"/>
    </row>
    <row r="2424" spans="15:15">
      <c r="O2424"/>
    </row>
    <row r="2425" spans="15:15">
      <c r="O2425"/>
    </row>
    <row r="2426" spans="15:15">
      <c r="O2426"/>
    </row>
    <row r="2427" spans="15:15">
      <c r="O2427"/>
    </row>
    <row r="2428" spans="15:15">
      <c r="O2428"/>
    </row>
    <row r="2429" spans="15:15">
      <c r="O2429"/>
    </row>
    <row r="2430" spans="15:15">
      <c r="O2430"/>
    </row>
    <row r="2431" spans="15:15">
      <c r="O2431"/>
    </row>
    <row r="2432" spans="15:15">
      <c r="O2432"/>
    </row>
    <row r="2433" spans="15:15">
      <c r="O2433"/>
    </row>
    <row r="2434" spans="15:15">
      <c r="O2434"/>
    </row>
    <row r="2435" spans="15:15">
      <c r="O2435"/>
    </row>
    <row r="2436" spans="15:15">
      <c r="O2436"/>
    </row>
    <row r="2437" spans="15:15">
      <c r="O2437"/>
    </row>
    <row r="2438" spans="15:15">
      <c r="O2438"/>
    </row>
    <row r="2439" spans="15:15">
      <c r="O2439"/>
    </row>
    <row r="2440" spans="15:15">
      <c r="O2440"/>
    </row>
    <row r="2441" spans="15:15">
      <c r="O2441"/>
    </row>
    <row r="2442" spans="15:15">
      <c r="O2442"/>
    </row>
    <row r="2443" spans="15:15">
      <c r="O2443"/>
    </row>
    <row r="2444" spans="15:15">
      <c r="O2444"/>
    </row>
    <row r="2445" spans="15:15">
      <c r="O2445"/>
    </row>
    <row r="2446" spans="15:15">
      <c r="O2446"/>
    </row>
    <row r="2447" spans="15:15">
      <c r="O2447"/>
    </row>
    <row r="2448" spans="15:15">
      <c r="O2448"/>
    </row>
    <row r="2449" spans="15:15">
      <c r="O2449"/>
    </row>
    <row r="2450" spans="15:15">
      <c r="O2450"/>
    </row>
    <row r="2451" spans="15:15">
      <c r="O2451"/>
    </row>
    <row r="2452" spans="15:15">
      <c r="O2452"/>
    </row>
    <row r="2453" spans="15:15">
      <c r="O2453"/>
    </row>
    <row r="2454" spans="15:15">
      <c r="O2454"/>
    </row>
    <row r="2455" spans="15:15">
      <c r="O2455"/>
    </row>
    <row r="2456" spans="15:15">
      <c r="O2456"/>
    </row>
    <row r="2457" spans="15:15">
      <c r="O2457"/>
    </row>
    <row r="2458" spans="15:15">
      <c r="O2458"/>
    </row>
    <row r="2459" spans="15:15">
      <c r="O2459"/>
    </row>
    <row r="2460" spans="15:15">
      <c r="O2460"/>
    </row>
    <row r="2461" spans="15:15">
      <c r="O2461"/>
    </row>
    <row r="2462" spans="15:15">
      <c r="O2462"/>
    </row>
    <row r="2463" spans="15:15">
      <c r="O2463"/>
    </row>
    <row r="2464" spans="15:15">
      <c r="O2464"/>
    </row>
    <row r="2465" spans="15:15">
      <c r="O2465"/>
    </row>
    <row r="2466" spans="15:15">
      <c r="O2466"/>
    </row>
    <row r="2467" spans="15:15">
      <c r="O2467"/>
    </row>
    <row r="2468" spans="15:15">
      <c r="O2468"/>
    </row>
    <row r="2469" spans="15:15">
      <c r="O2469"/>
    </row>
    <row r="2470" spans="15:15">
      <c r="O2470"/>
    </row>
    <row r="2471" spans="15:15">
      <c r="O2471"/>
    </row>
    <row r="2472" spans="15:15">
      <c r="O2472"/>
    </row>
    <row r="2473" spans="15:15">
      <c r="O2473"/>
    </row>
    <row r="2474" spans="15:15">
      <c r="O2474"/>
    </row>
    <row r="2475" spans="15:15">
      <c r="O2475"/>
    </row>
    <row r="2476" spans="15:15">
      <c r="O2476"/>
    </row>
    <row r="2477" spans="15:15">
      <c r="O2477"/>
    </row>
    <row r="2478" spans="15:15">
      <c r="O2478"/>
    </row>
    <row r="2479" spans="15:15">
      <c r="O2479"/>
    </row>
    <row r="2480" spans="15:15">
      <c r="O2480"/>
    </row>
    <row r="2481" spans="15:15">
      <c r="O2481"/>
    </row>
    <row r="2482" spans="15:15">
      <c r="O2482"/>
    </row>
    <row r="2483" spans="15:15">
      <c r="O2483"/>
    </row>
    <row r="2484" spans="15:15">
      <c r="O2484"/>
    </row>
    <row r="2485" spans="15:15">
      <c r="O2485"/>
    </row>
    <row r="2486" spans="15:15">
      <c r="O2486"/>
    </row>
    <row r="2487" spans="15:15">
      <c r="O2487"/>
    </row>
    <row r="2488" spans="15:15">
      <c r="O2488"/>
    </row>
    <row r="2489" spans="15:15">
      <c r="O2489"/>
    </row>
    <row r="2490" spans="15:15">
      <c r="O2490"/>
    </row>
    <row r="2491" spans="15:15">
      <c r="O2491"/>
    </row>
    <row r="2492" spans="15:15">
      <c r="O2492"/>
    </row>
    <row r="2493" spans="15:15">
      <c r="O2493"/>
    </row>
    <row r="2494" spans="15:15">
      <c r="O2494"/>
    </row>
    <row r="2495" spans="15:15">
      <c r="O2495"/>
    </row>
    <row r="2496" spans="15:15">
      <c r="O2496"/>
    </row>
    <row r="2497" spans="15:15">
      <c r="O2497"/>
    </row>
    <row r="2498" spans="15:15">
      <c r="O2498"/>
    </row>
    <row r="2499" spans="15:15">
      <c r="O2499"/>
    </row>
    <row r="2500" spans="15:15">
      <c r="O2500"/>
    </row>
    <row r="2501" spans="15:15">
      <c r="O2501"/>
    </row>
    <row r="2502" spans="15:15">
      <c r="O2502"/>
    </row>
    <row r="2503" spans="15:15">
      <c r="O2503"/>
    </row>
    <row r="2504" spans="15:15">
      <c r="O2504"/>
    </row>
    <row r="2505" spans="15:15">
      <c r="O2505"/>
    </row>
    <row r="2506" spans="15:15">
      <c r="O2506"/>
    </row>
    <row r="2507" spans="15:15">
      <c r="O2507"/>
    </row>
    <row r="2508" spans="15:15">
      <c r="O2508"/>
    </row>
    <row r="2509" spans="15:15">
      <c r="O2509"/>
    </row>
    <row r="2510" spans="15:15">
      <c r="O2510"/>
    </row>
    <row r="2511" spans="15:15">
      <c r="O2511"/>
    </row>
    <row r="2512" spans="15:15">
      <c r="O2512"/>
    </row>
    <row r="2513" spans="15:15">
      <c r="O2513"/>
    </row>
    <row r="2514" spans="15:15">
      <c r="O2514"/>
    </row>
    <row r="2515" spans="15:15">
      <c r="O2515"/>
    </row>
    <row r="2516" spans="15:15">
      <c r="O2516"/>
    </row>
    <row r="2517" spans="15:15">
      <c r="O2517"/>
    </row>
    <row r="2518" spans="15:15">
      <c r="O2518"/>
    </row>
    <row r="2519" spans="15:15">
      <c r="O2519"/>
    </row>
    <row r="2520" spans="15:15">
      <c r="O2520"/>
    </row>
    <row r="2521" spans="15:15">
      <c r="O2521"/>
    </row>
    <row r="2522" spans="15:15">
      <c r="O2522"/>
    </row>
    <row r="2523" spans="15:15">
      <c r="O2523"/>
    </row>
    <row r="2524" spans="15:15">
      <c r="O2524"/>
    </row>
    <row r="2525" spans="15:15">
      <c r="O2525"/>
    </row>
    <row r="2526" spans="15:15">
      <c r="O2526"/>
    </row>
    <row r="2527" spans="15:15">
      <c r="O2527"/>
    </row>
    <row r="2528" spans="15:15">
      <c r="O2528"/>
    </row>
    <row r="2529" spans="15:15">
      <c r="O2529"/>
    </row>
    <row r="2530" spans="15:15">
      <c r="O2530"/>
    </row>
    <row r="2531" spans="15:15">
      <c r="O2531"/>
    </row>
    <row r="2532" spans="15:15">
      <c r="O2532"/>
    </row>
    <row r="2533" spans="15:15">
      <c r="O2533"/>
    </row>
    <row r="2534" spans="15:15">
      <c r="O2534"/>
    </row>
    <row r="2535" spans="15:15">
      <c r="O2535"/>
    </row>
    <row r="2536" spans="15:15">
      <c r="O2536"/>
    </row>
    <row r="2537" spans="15:15">
      <c r="O2537"/>
    </row>
    <row r="2538" spans="15:15">
      <c r="O2538"/>
    </row>
    <row r="2539" spans="15:15">
      <c r="O2539"/>
    </row>
    <row r="2540" spans="15:15">
      <c r="O2540"/>
    </row>
    <row r="2541" spans="15:15">
      <c r="O2541"/>
    </row>
    <row r="2542" spans="15:15">
      <c r="O2542"/>
    </row>
    <row r="2543" spans="15:15">
      <c r="O2543"/>
    </row>
    <row r="2544" spans="15:15">
      <c r="O2544"/>
    </row>
    <row r="2545" spans="15:15">
      <c r="O2545"/>
    </row>
    <row r="2546" spans="15:15">
      <c r="O2546"/>
    </row>
    <row r="2547" spans="15:15">
      <c r="O2547"/>
    </row>
    <row r="2548" spans="15:15">
      <c r="O2548"/>
    </row>
    <row r="2549" spans="15:15">
      <c r="O2549"/>
    </row>
    <row r="2550" spans="15:15">
      <c r="O2550"/>
    </row>
    <row r="2551" spans="15:15">
      <c r="O2551"/>
    </row>
    <row r="2552" spans="15:15">
      <c r="O2552"/>
    </row>
    <row r="2553" spans="15:15">
      <c r="O2553"/>
    </row>
    <row r="2554" spans="15:15">
      <c r="O2554"/>
    </row>
    <row r="2555" spans="15:15">
      <c r="O2555"/>
    </row>
    <row r="2556" spans="15:15">
      <c r="O2556"/>
    </row>
    <row r="2557" spans="15:15">
      <c r="O2557"/>
    </row>
    <row r="2558" spans="15:15">
      <c r="O2558"/>
    </row>
    <row r="2559" spans="15:15">
      <c r="O2559"/>
    </row>
    <row r="2560" spans="15:15">
      <c r="O2560"/>
    </row>
    <row r="2561" spans="15:15">
      <c r="O2561"/>
    </row>
    <row r="2562" spans="15:15">
      <c r="O2562"/>
    </row>
    <row r="2563" spans="15:15">
      <c r="O2563"/>
    </row>
    <row r="2564" spans="15:15">
      <c r="O2564"/>
    </row>
    <row r="2565" spans="15:15">
      <c r="O2565"/>
    </row>
    <row r="2566" spans="15:15">
      <c r="O2566"/>
    </row>
    <row r="2567" spans="15:15">
      <c r="O2567"/>
    </row>
    <row r="2568" spans="15:15">
      <c r="O2568"/>
    </row>
    <row r="2569" spans="15:15">
      <c r="O2569"/>
    </row>
    <row r="2570" spans="15:15">
      <c r="O2570"/>
    </row>
    <row r="2571" spans="15:15">
      <c r="O2571"/>
    </row>
    <row r="2572" spans="15:15">
      <c r="O2572"/>
    </row>
    <row r="2573" spans="15:15">
      <c r="O2573"/>
    </row>
    <row r="2574" spans="15:15">
      <c r="O2574"/>
    </row>
    <row r="2575" spans="15:15">
      <c r="O2575"/>
    </row>
    <row r="2576" spans="15:15">
      <c r="O2576"/>
    </row>
    <row r="2577" spans="15:15">
      <c r="O2577"/>
    </row>
    <row r="2578" spans="15:15">
      <c r="O2578"/>
    </row>
    <row r="2579" spans="15:15">
      <c r="O2579"/>
    </row>
    <row r="2580" spans="15:15">
      <c r="O2580"/>
    </row>
    <row r="2581" spans="15:15">
      <c r="O2581"/>
    </row>
    <row r="2582" spans="15:15">
      <c r="O2582"/>
    </row>
    <row r="2583" spans="15:15">
      <c r="O2583"/>
    </row>
    <row r="2584" spans="15:15">
      <c r="O2584"/>
    </row>
    <row r="2585" spans="15:15">
      <c r="O2585"/>
    </row>
    <row r="2586" spans="15:15">
      <c r="O2586"/>
    </row>
    <row r="2587" spans="15:15">
      <c r="O2587"/>
    </row>
    <row r="2588" spans="15:15">
      <c r="O2588"/>
    </row>
    <row r="2589" spans="15:15">
      <c r="O2589"/>
    </row>
    <row r="2590" spans="15:15">
      <c r="O2590"/>
    </row>
    <row r="2591" spans="15:15">
      <c r="O2591"/>
    </row>
    <row r="2592" spans="15:15">
      <c r="O2592"/>
    </row>
    <row r="2593" spans="15:15">
      <c r="O2593"/>
    </row>
    <row r="2594" spans="15:15">
      <c r="O2594"/>
    </row>
    <row r="2595" spans="15:15">
      <c r="O2595"/>
    </row>
    <row r="2596" spans="15:15">
      <c r="O2596"/>
    </row>
    <row r="2597" spans="15:15">
      <c r="O2597"/>
    </row>
    <row r="2598" spans="15:15">
      <c r="O2598"/>
    </row>
    <row r="2599" spans="15:15">
      <c r="O2599"/>
    </row>
    <row r="2600" spans="15:15">
      <c r="O2600"/>
    </row>
    <row r="2601" spans="15:15">
      <c r="O2601"/>
    </row>
    <row r="2602" spans="15:15">
      <c r="O2602"/>
    </row>
    <row r="2603" spans="15:15">
      <c r="O2603"/>
    </row>
    <row r="2604" spans="15:15">
      <c r="O2604"/>
    </row>
    <row r="2605" spans="15:15">
      <c r="O2605"/>
    </row>
    <row r="2606" spans="15:15">
      <c r="O2606"/>
    </row>
    <row r="2607" spans="15:15">
      <c r="O2607"/>
    </row>
    <row r="2608" spans="15:15">
      <c r="O2608"/>
    </row>
    <row r="2609" spans="15:15">
      <c r="O2609"/>
    </row>
    <row r="2610" spans="15:15">
      <c r="O2610"/>
    </row>
    <row r="2611" spans="15:15">
      <c r="O2611"/>
    </row>
    <row r="2612" spans="15:15">
      <c r="O2612"/>
    </row>
    <row r="2613" spans="15:15">
      <c r="O2613"/>
    </row>
    <row r="2614" spans="15:15">
      <c r="O2614"/>
    </row>
    <row r="2615" spans="15:15">
      <c r="O2615"/>
    </row>
    <row r="2616" spans="15:15">
      <c r="O2616"/>
    </row>
    <row r="2617" spans="15:15">
      <c r="O2617"/>
    </row>
    <row r="2618" spans="15:15">
      <c r="O2618"/>
    </row>
    <row r="2619" spans="15:15">
      <c r="O2619"/>
    </row>
    <row r="2620" spans="15:15">
      <c r="O2620"/>
    </row>
    <row r="2621" spans="15:15">
      <c r="O2621"/>
    </row>
    <row r="2622" spans="15:15">
      <c r="O2622"/>
    </row>
    <row r="2623" spans="15:15">
      <c r="O2623"/>
    </row>
    <row r="2624" spans="15:15">
      <c r="O2624"/>
    </row>
    <row r="2625" spans="15:15">
      <c r="O2625"/>
    </row>
    <row r="2626" spans="15:15">
      <c r="O2626"/>
    </row>
    <row r="2627" spans="15:15">
      <c r="O2627"/>
    </row>
    <row r="2628" spans="15:15">
      <c r="O2628"/>
    </row>
    <row r="2629" spans="15:15">
      <c r="O2629"/>
    </row>
    <row r="2630" spans="15:15">
      <c r="O2630"/>
    </row>
    <row r="2631" spans="15:15">
      <c r="O2631"/>
    </row>
    <row r="2632" spans="15:15">
      <c r="O2632"/>
    </row>
    <row r="2633" spans="15:15">
      <c r="O2633"/>
    </row>
    <row r="2634" spans="15:15">
      <c r="O2634"/>
    </row>
    <row r="2635" spans="15:15">
      <c r="O2635"/>
    </row>
    <row r="2636" spans="15:15">
      <c r="O2636"/>
    </row>
    <row r="2637" spans="15:15">
      <c r="O2637"/>
    </row>
    <row r="2638" spans="15:15">
      <c r="O2638"/>
    </row>
    <row r="2639" spans="15:15">
      <c r="O2639"/>
    </row>
    <row r="2640" spans="15:15">
      <c r="O2640"/>
    </row>
    <row r="2641" spans="15:15">
      <c r="O2641"/>
    </row>
    <row r="2642" spans="15:15">
      <c r="O2642"/>
    </row>
    <row r="2643" spans="15:15">
      <c r="O2643"/>
    </row>
    <row r="2644" spans="15:15">
      <c r="O2644"/>
    </row>
    <row r="2645" spans="15:15">
      <c r="O2645"/>
    </row>
    <row r="2646" spans="15:15">
      <c r="O2646"/>
    </row>
    <row r="2647" spans="15:15">
      <c r="O2647"/>
    </row>
    <row r="2648" spans="15:15">
      <c r="O2648"/>
    </row>
    <row r="2649" spans="15:15">
      <c r="O2649"/>
    </row>
    <row r="2650" spans="15:15">
      <c r="O2650"/>
    </row>
    <row r="2651" spans="15:15">
      <c r="O2651"/>
    </row>
    <row r="2652" spans="15:15">
      <c r="O2652"/>
    </row>
    <row r="2653" spans="15:15">
      <c r="O2653"/>
    </row>
    <row r="2654" spans="15:15">
      <c r="O2654"/>
    </row>
    <row r="2655" spans="15:15">
      <c r="O2655"/>
    </row>
    <row r="2656" spans="15:15">
      <c r="O2656"/>
    </row>
    <row r="2657" spans="15:15">
      <c r="O2657"/>
    </row>
    <row r="2658" spans="15:15">
      <c r="O2658"/>
    </row>
    <row r="2659" spans="15:15">
      <c r="O2659"/>
    </row>
    <row r="2660" spans="15:15">
      <c r="O2660"/>
    </row>
    <row r="2661" spans="15:15">
      <c r="O2661"/>
    </row>
    <row r="2662" spans="15:15">
      <c r="O2662"/>
    </row>
    <row r="2663" spans="15:15">
      <c r="O2663"/>
    </row>
    <row r="2664" spans="15:15">
      <c r="O2664"/>
    </row>
    <row r="2665" spans="15:15">
      <c r="O2665"/>
    </row>
    <row r="2666" spans="15:15">
      <c r="O2666"/>
    </row>
    <row r="2667" spans="15:15">
      <c r="O2667"/>
    </row>
    <row r="2668" spans="15:15">
      <c r="O2668"/>
    </row>
    <row r="2669" spans="15:15">
      <c r="O2669"/>
    </row>
    <row r="2670" spans="15:15">
      <c r="O2670"/>
    </row>
    <row r="2671" spans="15:15">
      <c r="O2671"/>
    </row>
    <row r="2672" spans="15:15">
      <c r="O2672"/>
    </row>
    <row r="2673" spans="15:15">
      <c r="O2673"/>
    </row>
    <row r="2674" spans="15:15">
      <c r="O2674"/>
    </row>
    <row r="2675" spans="15:15">
      <c r="O2675"/>
    </row>
    <row r="2676" spans="15:15">
      <c r="O2676"/>
    </row>
    <row r="2677" spans="15:15">
      <c r="O2677"/>
    </row>
    <row r="2678" spans="15:15">
      <c r="O2678"/>
    </row>
    <row r="2679" spans="15:15">
      <c r="O2679"/>
    </row>
    <row r="2680" spans="15:15">
      <c r="O2680"/>
    </row>
    <row r="2681" spans="15:15">
      <c r="O2681"/>
    </row>
    <row r="2682" spans="15:15">
      <c r="O2682"/>
    </row>
    <row r="2683" spans="15:15">
      <c r="O2683"/>
    </row>
    <row r="2684" spans="15:15">
      <c r="O2684"/>
    </row>
    <row r="2685" spans="15:15">
      <c r="O2685"/>
    </row>
    <row r="2686" spans="15:15">
      <c r="O2686"/>
    </row>
    <row r="2687" spans="15:15">
      <c r="O2687"/>
    </row>
    <row r="2688" spans="15:15">
      <c r="O2688"/>
    </row>
    <row r="2689" spans="15:15">
      <c r="O2689"/>
    </row>
    <row r="2690" spans="15:15">
      <c r="O2690"/>
    </row>
    <row r="2691" spans="15:15">
      <c r="O2691"/>
    </row>
    <row r="2692" spans="15:15">
      <c r="O2692"/>
    </row>
    <row r="2693" spans="15:15">
      <c r="O2693"/>
    </row>
    <row r="2694" spans="15:15">
      <c r="O2694"/>
    </row>
    <row r="2695" spans="15:15">
      <c r="O2695"/>
    </row>
    <row r="2696" spans="15:15">
      <c r="O2696"/>
    </row>
    <row r="2697" spans="15:15">
      <c r="O2697"/>
    </row>
    <row r="2698" spans="15:15">
      <c r="O2698"/>
    </row>
    <row r="2699" spans="15:15">
      <c r="O2699"/>
    </row>
    <row r="2700" spans="15:15">
      <c r="O2700"/>
    </row>
    <row r="2701" spans="15:15">
      <c r="O2701"/>
    </row>
    <row r="2702" spans="15:15">
      <c r="O2702"/>
    </row>
    <row r="2703" spans="15:15">
      <c r="O2703"/>
    </row>
    <row r="2704" spans="15:15">
      <c r="O2704"/>
    </row>
    <row r="2705" spans="15:15">
      <c r="O2705"/>
    </row>
    <row r="2706" spans="15:15">
      <c r="O2706"/>
    </row>
    <row r="2707" spans="15:15">
      <c r="O2707"/>
    </row>
    <row r="2708" spans="15:15">
      <c r="O2708"/>
    </row>
    <row r="2709" spans="15:15">
      <c r="O2709"/>
    </row>
    <row r="2710" spans="15:15">
      <c r="O2710"/>
    </row>
    <row r="2711" spans="15:15">
      <c r="O2711"/>
    </row>
    <row r="2712" spans="15:15">
      <c r="O2712"/>
    </row>
    <row r="2713" spans="15:15">
      <c r="O2713"/>
    </row>
    <row r="2714" spans="15:15">
      <c r="O2714"/>
    </row>
    <row r="2715" spans="15:15">
      <c r="O2715"/>
    </row>
    <row r="2716" spans="15:15">
      <c r="O2716"/>
    </row>
    <row r="2717" spans="15:15">
      <c r="O2717"/>
    </row>
    <row r="2718" spans="15:15">
      <c r="O2718"/>
    </row>
    <row r="2719" spans="15:15">
      <c r="O2719"/>
    </row>
    <row r="2720" spans="15:15">
      <c r="O2720"/>
    </row>
    <row r="2721" spans="15:15">
      <c r="O2721"/>
    </row>
    <row r="2722" spans="15:15">
      <c r="O2722"/>
    </row>
    <row r="2723" spans="15:15">
      <c r="O2723"/>
    </row>
    <row r="2724" spans="15:15">
      <c r="O2724"/>
    </row>
    <row r="2725" spans="15:15">
      <c r="O2725"/>
    </row>
    <row r="2726" spans="15:15">
      <c r="O2726"/>
    </row>
    <row r="2727" spans="15:15">
      <c r="O2727"/>
    </row>
    <row r="2728" spans="15:15">
      <c r="O2728"/>
    </row>
    <row r="2729" spans="15:15">
      <c r="O2729"/>
    </row>
    <row r="2730" spans="15:15">
      <c r="O2730"/>
    </row>
    <row r="2731" spans="15:15">
      <c r="O2731"/>
    </row>
    <row r="2732" spans="15:15">
      <c r="O2732"/>
    </row>
    <row r="2733" spans="15:15">
      <c r="O2733"/>
    </row>
    <row r="2734" spans="15:15">
      <c r="O2734"/>
    </row>
    <row r="2735" spans="15:15">
      <c r="O2735"/>
    </row>
    <row r="2736" spans="15:15">
      <c r="O2736"/>
    </row>
    <row r="2737" spans="15:15">
      <c r="O2737"/>
    </row>
    <row r="2738" spans="15:15">
      <c r="O2738"/>
    </row>
    <row r="2739" spans="15:15">
      <c r="O2739"/>
    </row>
    <row r="2740" spans="15:15">
      <c r="O2740"/>
    </row>
    <row r="2741" spans="15:15">
      <c r="O2741"/>
    </row>
    <row r="2742" spans="15:15">
      <c r="O2742"/>
    </row>
    <row r="2743" spans="15:15">
      <c r="O2743"/>
    </row>
    <row r="2744" spans="15:15">
      <c r="O2744"/>
    </row>
    <row r="2745" spans="15:15">
      <c r="O2745"/>
    </row>
    <row r="2746" spans="15:15">
      <c r="O2746"/>
    </row>
    <row r="2747" spans="15:15">
      <c r="O2747"/>
    </row>
    <row r="2748" spans="15:15">
      <c r="O2748"/>
    </row>
    <row r="2749" spans="15:15">
      <c r="O2749"/>
    </row>
    <row r="2750" spans="15:15">
      <c r="O2750"/>
    </row>
    <row r="2751" spans="15:15">
      <c r="O2751"/>
    </row>
    <row r="2752" spans="15:15">
      <c r="O2752"/>
    </row>
    <row r="2753" spans="15:15">
      <c r="O2753"/>
    </row>
    <row r="2754" spans="15:15">
      <c r="O2754"/>
    </row>
    <row r="2755" spans="15:15">
      <c r="O2755"/>
    </row>
    <row r="2756" spans="15:15">
      <c r="O2756"/>
    </row>
    <row r="2757" spans="15:15">
      <c r="O2757"/>
    </row>
    <row r="2758" spans="15:15">
      <c r="O2758"/>
    </row>
    <row r="2759" spans="15:15">
      <c r="O2759"/>
    </row>
    <row r="2760" spans="15:15">
      <c r="O2760"/>
    </row>
    <row r="2761" spans="15:15">
      <c r="O2761"/>
    </row>
    <row r="2762" spans="15:15">
      <c r="O2762"/>
    </row>
    <row r="2763" spans="15:15">
      <c r="O2763"/>
    </row>
    <row r="2764" spans="15:15">
      <c r="O2764"/>
    </row>
    <row r="2765" spans="15:15">
      <c r="O2765"/>
    </row>
    <row r="2766" spans="15:15">
      <c r="O2766"/>
    </row>
    <row r="2767" spans="15:15">
      <c r="O2767"/>
    </row>
    <row r="2768" spans="15:15">
      <c r="O2768"/>
    </row>
    <row r="2769" spans="15:15">
      <c r="O2769"/>
    </row>
    <row r="2770" spans="15:15">
      <c r="O2770"/>
    </row>
    <row r="2771" spans="15:15">
      <c r="O2771"/>
    </row>
    <row r="2772" spans="15:15">
      <c r="O2772"/>
    </row>
    <row r="2773" spans="15:15">
      <c r="O2773"/>
    </row>
    <row r="2774" spans="15:15">
      <c r="O2774"/>
    </row>
    <row r="2775" spans="15:15">
      <c r="O2775"/>
    </row>
    <row r="2776" spans="15:15">
      <c r="O2776"/>
    </row>
    <row r="2777" spans="15:15">
      <c r="O2777"/>
    </row>
    <row r="2778" spans="15:15">
      <c r="O2778"/>
    </row>
    <row r="2779" spans="15:15">
      <c r="O2779"/>
    </row>
    <row r="2780" spans="15:15">
      <c r="O2780"/>
    </row>
    <row r="2781" spans="15:15">
      <c r="O2781"/>
    </row>
    <row r="2782" spans="15:15">
      <c r="O2782"/>
    </row>
    <row r="2783" spans="15:15">
      <c r="O2783"/>
    </row>
    <row r="2784" spans="15:15">
      <c r="O2784"/>
    </row>
    <row r="2785" spans="15:15">
      <c r="O2785"/>
    </row>
    <row r="2786" spans="15:15">
      <c r="O2786"/>
    </row>
    <row r="2787" spans="15:15">
      <c r="O2787"/>
    </row>
    <row r="2788" spans="15:15">
      <c r="O2788"/>
    </row>
    <row r="2789" spans="15:15">
      <c r="O2789"/>
    </row>
    <row r="2790" spans="15:15">
      <c r="O2790"/>
    </row>
    <row r="2791" spans="15:15">
      <c r="O2791"/>
    </row>
    <row r="2792" spans="15:15">
      <c r="O2792"/>
    </row>
    <row r="2793" spans="15:15">
      <c r="O2793"/>
    </row>
    <row r="2794" spans="15:15">
      <c r="O2794"/>
    </row>
    <row r="2795" spans="15:15">
      <c r="O2795"/>
    </row>
    <row r="2796" spans="15:15">
      <c r="O2796"/>
    </row>
    <row r="2797" spans="15:15">
      <c r="O2797"/>
    </row>
    <row r="2798" spans="15:15">
      <c r="O2798"/>
    </row>
    <row r="2799" spans="15:15">
      <c r="O2799"/>
    </row>
    <row r="2800" spans="15:15">
      <c r="O2800"/>
    </row>
    <row r="2801" spans="15:15">
      <c r="O2801"/>
    </row>
    <row r="2802" spans="15:15">
      <c r="O2802"/>
    </row>
    <row r="2803" spans="15:15">
      <c r="O2803"/>
    </row>
    <row r="2804" spans="15:15">
      <c r="O2804"/>
    </row>
    <row r="2805" spans="15:15">
      <c r="O2805"/>
    </row>
    <row r="2806" spans="15:15">
      <c r="O2806"/>
    </row>
    <row r="2807" spans="15:15">
      <c r="O2807"/>
    </row>
    <row r="2808" spans="15:15">
      <c r="O2808"/>
    </row>
    <row r="2809" spans="15:15">
      <c r="O2809"/>
    </row>
    <row r="2810" spans="15:15">
      <c r="O2810"/>
    </row>
    <row r="2811" spans="15:15">
      <c r="O2811"/>
    </row>
    <row r="2812" spans="15:15">
      <c r="O2812"/>
    </row>
    <row r="2813" spans="15:15">
      <c r="O2813"/>
    </row>
    <row r="2814" spans="15:15">
      <c r="O2814"/>
    </row>
    <row r="2815" spans="15:15">
      <c r="O2815"/>
    </row>
    <row r="2816" spans="15:15">
      <c r="O2816"/>
    </row>
    <row r="2817" spans="15:15">
      <c r="O2817"/>
    </row>
    <row r="2818" spans="15:15">
      <c r="O2818"/>
    </row>
    <row r="2819" spans="15:15">
      <c r="O2819"/>
    </row>
    <row r="2820" spans="15:15">
      <c r="O2820"/>
    </row>
    <row r="2821" spans="15:15">
      <c r="O2821"/>
    </row>
    <row r="2822" spans="15:15">
      <c r="O2822"/>
    </row>
    <row r="2823" spans="15:15">
      <c r="O2823"/>
    </row>
    <row r="2824" spans="15:15">
      <c r="O2824"/>
    </row>
    <row r="2825" spans="15:15">
      <c r="O2825"/>
    </row>
    <row r="2826" spans="15:15">
      <c r="O2826"/>
    </row>
    <row r="2827" spans="15:15">
      <c r="O2827"/>
    </row>
    <row r="2828" spans="15:15">
      <c r="O2828"/>
    </row>
    <row r="2829" spans="15:15">
      <c r="O2829"/>
    </row>
    <row r="2830" spans="15:15">
      <c r="O2830"/>
    </row>
    <row r="2831" spans="15:15">
      <c r="O2831"/>
    </row>
    <row r="2832" spans="15:15">
      <c r="O2832"/>
    </row>
    <row r="2833" spans="15:15">
      <c r="O2833"/>
    </row>
    <row r="2834" spans="15:15">
      <c r="O2834"/>
    </row>
    <row r="2835" spans="15:15">
      <c r="O2835"/>
    </row>
    <row r="2836" spans="15:15">
      <c r="O2836"/>
    </row>
    <row r="2837" spans="15:15">
      <c r="O2837"/>
    </row>
    <row r="2838" spans="15:15">
      <c r="O2838"/>
    </row>
    <row r="2839" spans="15:15">
      <c r="O2839"/>
    </row>
    <row r="2840" spans="15:15">
      <c r="O2840"/>
    </row>
    <row r="2841" spans="15:15">
      <c r="O2841"/>
    </row>
    <row r="2842" spans="15:15">
      <c r="O2842"/>
    </row>
    <row r="2843" spans="15:15">
      <c r="O2843"/>
    </row>
    <row r="2844" spans="15:15">
      <c r="O2844"/>
    </row>
    <row r="2845" spans="15:15">
      <c r="O2845"/>
    </row>
    <row r="2846" spans="15:15">
      <c r="O2846"/>
    </row>
    <row r="2847" spans="15:15">
      <c r="O2847"/>
    </row>
    <row r="2848" spans="15:15">
      <c r="O2848"/>
    </row>
    <row r="2849" spans="15:15">
      <c r="O2849"/>
    </row>
    <row r="2850" spans="15:15">
      <c r="O2850"/>
    </row>
    <row r="2851" spans="15:15">
      <c r="O2851"/>
    </row>
    <row r="2852" spans="15:15">
      <c r="O2852"/>
    </row>
    <row r="2853" spans="15:15">
      <c r="O2853"/>
    </row>
    <row r="2854" spans="15:15">
      <c r="O2854"/>
    </row>
    <row r="2855" spans="15:15">
      <c r="O2855"/>
    </row>
    <row r="2856" spans="15:15">
      <c r="O2856"/>
    </row>
    <row r="2857" spans="15:15">
      <c r="O2857"/>
    </row>
    <row r="2858" spans="15:15">
      <c r="O2858"/>
    </row>
    <row r="2859" spans="15:15">
      <c r="O2859"/>
    </row>
    <row r="2860" spans="15:15">
      <c r="O2860"/>
    </row>
    <row r="2861" spans="15:15">
      <c r="O2861"/>
    </row>
    <row r="2862" spans="15:15">
      <c r="O2862"/>
    </row>
    <row r="2863" spans="15:15">
      <c r="O2863"/>
    </row>
    <row r="2864" spans="15:15">
      <c r="O2864"/>
    </row>
    <row r="2865" spans="15:15">
      <c r="O2865"/>
    </row>
    <row r="2866" spans="15:15">
      <c r="O2866"/>
    </row>
    <row r="2867" spans="15:15">
      <c r="O2867"/>
    </row>
    <row r="2868" spans="15:15">
      <c r="O2868"/>
    </row>
    <row r="2869" spans="15:15">
      <c r="O2869"/>
    </row>
    <row r="2870" spans="15:15">
      <c r="O2870"/>
    </row>
    <row r="2871" spans="15:15">
      <c r="O2871"/>
    </row>
    <row r="2872" spans="15:15">
      <c r="O2872"/>
    </row>
    <row r="2873" spans="15:15">
      <c r="O2873"/>
    </row>
    <row r="2874" spans="15:15">
      <c r="O2874"/>
    </row>
    <row r="2875" spans="15:15">
      <c r="O2875"/>
    </row>
    <row r="2876" spans="15:15">
      <c r="O2876"/>
    </row>
    <row r="2877" spans="15:15">
      <c r="O2877"/>
    </row>
    <row r="2878" spans="15:15">
      <c r="O2878"/>
    </row>
    <row r="2879" spans="15:15">
      <c r="O2879"/>
    </row>
    <row r="2880" spans="15:15">
      <c r="O2880"/>
    </row>
    <row r="2881" spans="15:15">
      <c r="O2881"/>
    </row>
    <row r="2882" spans="15:15">
      <c r="O2882"/>
    </row>
    <row r="2883" spans="15:15">
      <c r="O2883"/>
    </row>
    <row r="2884" spans="15:15">
      <c r="O2884"/>
    </row>
    <row r="2885" spans="15:15">
      <c r="O2885"/>
    </row>
    <row r="2886" spans="15:15">
      <c r="O2886"/>
    </row>
    <row r="2887" spans="15:15">
      <c r="O2887"/>
    </row>
    <row r="2888" spans="15:15">
      <c r="O2888"/>
    </row>
    <row r="2889" spans="15:15">
      <c r="O2889"/>
    </row>
    <row r="2890" spans="15:15">
      <c r="O2890"/>
    </row>
    <row r="2891" spans="15:15">
      <c r="O2891"/>
    </row>
    <row r="2892" spans="15:15">
      <c r="O2892"/>
    </row>
    <row r="2893" spans="15:15">
      <c r="O2893"/>
    </row>
    <row r="2894" spans="15:15">
      <c r="O2894"/>
    </row>
    <row r="2895" spans="15:15">
      <c r="O2895"/>
    </row>
    <row r="2896" spans="15:15">
      <c r="O2896"/>
    </row>
    <row r="2897" spans="15:15">
      <c r="O2897"/>
    </row>
    <row r="2898" spans="15:15">
      <c r="O2898"/>
    </row>
    <row r="2899" spans="15:15">
      <c r="O2899"/>
    </row>
    <row r="2900" spans="15:15">
      <c r="O2900"/>
    </row>
    <row r="2901" spans="15:15">
      <c r="O2901"/>
    </row>
    <row r="2902" spans="15:15">
      <c r="O2902"/>
    </row>
    <row r="2903" spans="15:15">
      <c r="O2903"/>
    </row>
    <row r="2904" spans="15:15">
      <c r="O2904"/>
    </row>
    <row r="2905" spans="15:15">
      <c r="O2905"/>
    </row>
    <row r="2906" spans="15:15">
      <c r="O2906"/>
    </row>
    <row r="2907" spans="15:15">
      <c r="O2907"/>
    </row>
    <row r="2908" spans="15:15">
      <c r="O2908"/>
    </row>
    <row r="2909" spans="15:15">
      <c r="O2909"/>
    </row>
    <row r="2910" spans="15:15">
      <c r="O2910"/>
    </row>
    <row r="2911" spans="15:15">
      <c r="O2911"/>
    </row>
    <row r="2912" spans="15:15">
      <c r="O2912"/>
    </row>
    <row r="2913" spans="15:15">
      <c r="O2913"/>
    </row>
    <row r="2914" spans="15:15">
      <c r="O2914"/>
    </row>
    <row r="2915" spans="15:15">
      <c r="O2915"/>
    </row>
    <row r="2916" spans="15:15">
      <c r="O2916"/>
    </row>
    <row r="2917" spans="15:15">
      <c r="O2917"/>
    </row>
    <row r="2918" spans="15:15">
      <c r="O2918"/>
    </row>
    <row r="2919" spans="15:15">
      <c r="O2919"/>
    </row>
    <row r="2920" spans="15:15">
      <c r="O2920"/>
    </row>
    <row r="2921" spans="15:15">
      <c r="O2921"/>
    </row>
    <row r="2922" spans="15:15">
      <c r="O2922"/>
    </row>
    <row r="2923" spans="15:15">
      <c r="O2923"/>
    </row>
    <row r="2924" spans="15:15">
      <c r="O2924"/>
    </row>
    <row r="2925" spans="15:15">
      <c r="O2925"/>
    </row>
    <row r="2926" spans="15:15">
      <c r="O2926"/>
    </row>
    <row r="2927" spans="15:15">
      <c r="O2927"/>
    </row>
    <row r="2928" spans="15:15">
      <c r="O2928"/>
    </row>
    <row r="2929" spans="15:15">
      <c r="O2929"/>
    </row>
    <row r="2930" spans="15:15">
      <c r="O2930"/>
    </row>
    <row r="2931" spans="15:15">
      <c r="O2931"/>
    </row>
    <row r="2932" spans="15:15">
      <c r="O2932"/>
    </row>
    <row r="2933" spans="15:15">
      <c r="O2933"/>
    </row>
    <row r="2934" spans="15:15">
      <c r="O2934"/>
    </row>
    <row r="2935" spans="15:15">
      <c r="O2935"/>
    </row>
    <row r="2936" spans="15:15">
      <c r="O2936"/>
    </row>
    <row r="2937" spans="15:15">
      <c r="O2937"/>
    </row>
    <row r="2938" spans="15:15">
      <c r="O2938"/>
    </row>
    <row r="2939" spans="15:15">
      <c r="O2939"/>
    </row>
    <row r="2940" spans="15:15">
      <c r="O2940"/>
    </row>
    <row r="2941" spans="15:15">
      <c r="O2941"/>
    </row>
    <row r="2942" spans="15:15">
      <c r="O2942"/>
    </row>
    <row r="2943" spans="15:15">
      <c r="O2943"/>
    </row>
    <row r="2944" spans="15:15">
      <c r="O2944"/>
    </row>
    <row r="2945" spans="15:15">
      <c r="O2945"/>
    </row>
    <row r="2946" spans="15:15">
      <c r="O2946"/>
    </row>
    <row r="2947" spans="15:15">
      <c r="O2947"/>
    </row>
    <row r="2948" spans="15:15">
      <c r="O2948"/>
    </row>
    <row r="2949" spans="15:15">
      <c r="O2949"/>
    </row>
    <row r="2950" spans="15:15">
      <c r="O2950"/>
    </row>
    <row r="2951" spans="15:15">
      <c r="O2951"/>
    </row>
    <row r="2952" spans="15:15">
      <c r="O2952"/>
    </row>
    <row r="2953" spans="15:15">
      <c r="O2953"/>
    </row>
    <row r="2954" spans="15:15">
      <c r="O2954"/>
    </row>
    <row r="2955" spans="15:15">
      <c r="O2955"/>
    </row>
    <row r="2956" spans="15:15">
      <c r="O2956"/>
    </row>
    <row r="2957" spans="15:15">
      <c r="O2957"/>
    </row>
    <row r="2958" spans="15:15">
      <c r="O2958"/>
    </row>
    <row r="2959" spans="15:15">
      <c r="O2959"/>
    </row>
    <row r="2960" spans="15:15">
      <c r="O2960"/>
    </row>
    <row r="2961" spans="15:15">
      <c r="O2961"/>
    </row>
    <row r="2962" spans="15:15">
      <c r="O2962"/>
    </row>
    <row r="2963" spans="15:15">
      <c r="O2963"/>
    </row>
    <row r="2964" spans="15:15">
      <c r="O2964"/>
    </row>
    <row r="2965" spans="15:15">
      <c r="O2965"/>
    </row>
    <row r="2966" spans="15:15">
      <c r="O2966"/>
    </row>
    <row r="2967" spans="15:15">
      <c r="O2967"/>
    </row>
    <row r="2968" spans="15:15">
      <c r="O2968"/>
    </row>
    <row r="2969" spans="15:15">
      <c r="O2969"/>
    </row>
    <row r="2970" spans="15:15">
      <c r="O2970"/>
    </row>
    <row r="2971" spans="15:15">
      <c r="O2971"/>
    </row>
    <row r="2972" spans="15:15">
      <c r="O2972"/>
    </row>
    <row r="2973" spans="15:15">
      <c r="O2973"/>
    </row>
    <row r="2974" spans="15:15">
      <c r="O2974"/>
    </row>
    <row r="2975" spans="15:15">
      <c r="O2975"/>
    </row>
    <row r="2976" spans="15:15">
      <c r="O2976"/>
    </row>
    <row r="2977" spans="15:15">
      <c r="O2977"/>
    </row>
    <row r="2978" spans="15:15">
      <c r="O2978"/>
    </row>
    <row r="2979" spans="15:15">
      <c r="O2979"/>
    </row>
    <row r="2980" spans="15:15">
      <c r="O2980"/>
    </row>
    <row r="2981" spans="15:15">
      <c r="O2981"/>
    </row>
    <row r="2982" spans="15:15">
      <c r="O2982"/>
    </row>
    <row r="2983" spans="15:15">
      <c r="O2983"/>
    </row>
    <row r="2984" spans="15:15">
      <c r="O2984"/>
    </row>
    <row r="2985" spans="15:15">
      <c r="O2985"/>
    </row>
    <row r="2986" spans="15:15">
      <c r="O2986"/>
    </row>
    <row r="2987" spans="15:15">
      <c r="O2987"/>
    </row>
    <row r="2988" spans="15:15">
      <c r="O2988"/>
    </row>
    <row r="2989" spans="15:15">
      <c r="O2989"/>
    </row>
    <row r="2990" spans="15:15">
      <c r="O2990"/>
    </row>
    <row r="2991" spans="15:15">
      <c r="O2991"/>
    </row>
    <row r="2992" spans="15:15">
      <c r="O2992"/>
    </row>
    <row r="2993" spans="15:15">
      <c r="O2993"/>
    </row>
    <row r="2994" spans="15:15">
      <c r="O2994"/>
    </row>
    <row r="2995" spans="15:15">
      <c r="O2995"/>
    </row>
    <row r="2996" spans="15:15">
      <c r="O2996"/>
    </row>
    <row r="2997" spans="15:15">
      <c r="O2997"/>
    </row>
    <row r="2998" spans="15:15">
      <c r="O2998"/>
    </row>
    <row r="2999" spans="15:15">
      <c r="O2999"/>
    </row>
    <row r="3000" spans="15:15">
      <c r="O3000"/>
    </row>
    <row r="3001" spans="15:15">
      <c r="O3001"/>
    </row>
    <row r="3002" spans="15:15">
      <c r="O3002"/>
    </row>
    <row r="3003" spans="15:15">
      <c r="O3003"/>
    </row>
    <row r="3004" spans="15:15">
      <c r="O3004"/>
    </row>
    <row r="3005" spans="15:15">
      <c r="O3005"/>
    </row>
    <row r="3006" spans="15:15">
      <c r="O3006"/>
    </row>
    <row r="3007" spans="15:15">
      <c r="O3007"/>
    </row>
    <row r="3008" spans="15:15">
      <c r="O3008"/>
    </row>
    <row r="3009" spans="15:15">
      <c r="O3009"/>
    </row>
    <row r="3010" spans="15:15">
      <c r="O3010"/>
    </row>
    <row r="3011" spans="15:15">
      <c r="O3011"/>
    </row>
    <row r="3012" spans="15:15">
      <c r="O3012"/>
    </row>
    <row r="3013" spans="15:15">
      <c r="O3013"/>
    </row>
    <row r="3014" spans="15:15">
      <c r="O3014"/>
    </row>
    <row r="3015" spans="15:15">
      <c r="O3015"/>
    </row>
    <row r="3016" spans="15:15">
      <c r="O3016"/>
    </row>
    <row r="3017" spans="15:15">
      <c r="O3017"/>
    </row>
    <row r="3018" spans="15:15">
      <c r="O3018"/>
    </row>
    <row r="3019" spans="15:15">
      <c r="O3019"/>
    </row>
    <row r="3020" spans="15:15">
      <c r="O3020"/>
    </row>
    <row r="3021" spans="15:15">
      <c r="O3021"/>
    </row>
    <row r="3022" spans="15:15">
      <c r="O3022"/>
    </row>
    <row r="3023" spans="15:15">
      <c r="O3023"/>
    </row>
    <row r="3024" spans="15:15">
      <c r="O3024"/>
    </row>
    <row r="3025" spans="15:15">
      <c r="O3025"/>
    </row>
    <row r="3026" spans="15:15">
      <c r="O3026"/>
    </row>
    <row r="3027" spans="15:15">
      <c r="O3027"/>
    </row>
    <row r="3028" spans="15:15">
      <c r="O3028"/>
    </row>
    <row r="3029" spans="15:15">
      <c r="O3029"/>
    </row>
    <row r="3030" spans="15:15">
      <c r="O3030"/>
    </row>
    <row r="3031" spans="15:15">
      <c r="O3031"/>
    </row>
    <row r="3032" spans="15:15">
      <c r="O3032"/>
    </row>
    <row r="3033" spans="15:15">
      <c r="O3033"/>
    </row>
    <row r="3034" spans="15:15">
      <c r="O3034"/>
    </row>
    <row r="3035" spans="15:15">
      <c r="O3035"/>
    </row>
    <row r="3036" spans="15:15">
      <c r="O3036"/>
    </row>
    <row r="3037" spans="15:15">
      <c r="O3037"/>
    </row>
    <row r="3038" spans="15:15">
      <c r="O3038"/>
    </row>
    <row r="3039" spans="15:15">
      <c r="O3039"/>
    </row>
    <row r="3040" spans="15:15">
      <c r="O3040"/>
    </row>
    <row r="3041" spans="15:15">
      <c r="O3041"/>
    </row>
    <row r="3042" spans="15:15">
      <c r="O3042"/>
    </row>
    <row r="3043" spans="15:15">
      <c r="O3043"/>
    </row>
    <row r="3044" spans="15:15">
      <c r="O3044"/>
    </row>
    <row r="3045" spans="15:15">
      <c r="O3045"/>
    </row>
    <row r="3046" spans="15:15">
      <c r="O3046"/>
    </row>
    <row r="3047" spans="15:15">
      <c r="O3047"/>
    </row>
    <row r="3048" spans="15:15">
      <c r="O3048"/>
    </row>
    <row r="3049" spans="15:15">
      <c r="O3049"/>
    </row>
    <row r="3050" spans="15:15">
      <c r="O3050"/>
    </row>
    <row r="3051" spans="15:15">
      <c r="O3051"/>
    </row>
    <row r="3052" spans="15:15">
      <c r="O3052"/>
    </row>
    <row r="3053" spans="15:15">
      <c r="O3053"/>
    </row>
    <row r="3054" spans="15:15">
      <c r="O3054"/>
    </row>
    <row r="3055" spans="15:15">
      <c r="O3055"/>
    </row>
    <row r="3056" spans="15:15">
      <c r="O3056"/>
    </row>
    <row r="3057" spans="15:15">
      <c r="O3057"/>
    </row>
    <row r="3058" spans="15:15">
      <c r="O3058"/>
    </row>
    <row r="3059" spans="15:15">
      <c r="O3059"/>
    </row>
    <row r="3060" spans="15:15">
      <c r="O3060"/>
    </row>
    <row r="3061" spans="15:15">
      <c r="O3061"/>
    </row>
    <row r="3062" spans="15:15">
      <c r="O3062"/>
    </row>
    <row r="3063" spans="15:15">
      <c r="O3063"/>
    </row>
    <row r="3064" spans="15:15">
      <c r="O3064"/>
    </row>
    <row r="3065" spans="15:15">
      <c r="O3065"/>
    </row>
    <row r="3066" spans="15:15">
      <c r="O3066"/>
    </row>
    <row r="3067" spans="15:15">
      <c r="O3067"/>
    </row>
    <row r="3068" spans="15:15">
      <c r="O3068"/>
    </row>
    <row r="3069" spans="15:15">
      <c r="O3069"/>
    </row>
    <row r="3070" spans="15:15">
      <c r="O3070"/>
    </row>
    <row r="3071" spans="15:15">
      <c r="O3071"/>
    </row>
    <row r="3072" spans="15:15">
      <c r="O3072"/>
    </row>
    <row r="3073" spans="15:15">
      <c r="O3073"/>
    </row>
    <row r="3074" spans="15:15">
      <c r="O3074"/>
    </row>
    <row r="3075" spans="15:15">
      <c r="O3075"/>
    </row>
    <row r="3076" spans="15:15">
      <c r="O3076"/>
    </row>
    <row r="3077" spans="15:15">
      <c r="O3077"/>
    </row>
    <row r="3078" spans="15:15">
      <c r="O3078"/>
    </row>
    <row r="3079" spans="15:15">
      <c r="O3079"/>
    </row>
    <row r="3080" spans="15:15">
      <c r="O3080"/>
    </row>
    <row r="3081" spans="15:15">
      <c r="O3081"/>
    </row>
    <row r="3082" spans="15:15">
      <c r="O3082"/>
    </row>
    <row r="3083" spans="15:15">
      <c r="O3083"/>
    </row>
    <row r="3084" spans="15:15">
      <c r="O3084"/>
    </row>
    <row r="3085" spans="15:15">
      <c r="O3085"/>
    </row>
    <row r="3086" spans="15:15">
      <c r="O3086"/>
    </row>
    <row r="3087" spans="15:15">
      <c r="O3087"/>
    </row>
    <row r="3088" spans="15:15">
      <c r="O3088"/>
    </row>
    <row r="3089" spans="15:15">
      <c r="O3089"/>
    </row>
    <row r="3090" spans="15:15">
      <c r="O3090"/>
    </row>
    <row r="3091" spans="15:15">
      <c r="O3091"/>
    </row>
    <row r="3092" spans="15:15">
      <c r="O3092"/>
    </row>
    <row r="3093" spans="15:15">
      <c r="O3093"/>
    </row>
    <row r="3094" spans="15:15">
      <c r="O3094"/>
    </row>
    <row r="3095" spans="15:15">
      <c r="O3095"/>
    </row>
    <row r="3096" spans="15:15">
      <c r="O3096"/>
    </row>
    <row r="3097" spans="15:15">
      <c r="O3097"/>
    </row>
    <row r="3098" spans="15:15">
      <c r="O3098"/>
    </row>
    <row r="3099" spans="15:15">
      <c r="O3099"/>
    </row>
    <row r="3100" spans="15:15">
      <c r="O3100"/>
    </row>
    <row r="3101" spans="15:15">
      <c r="O3101"/>
    </row>
    <row r="3102" spans="15:15">
      <c r="O3102"/>
    </row>
    <row r="3103" spans="15:15">
      <c r="O3103"/>
    </row>
    <row r="3104" spans="15:15">
      <c r="O3104"/>
    </row>
    <row r="3105" spans="15:15">
      <c r="O3105"/>
    </row>
    <row r="3106" spans="15:15">
      <c r="O3106"/>
    </row>
    <row r="3107" spans="15:15">
      <c r="O3107"/>
    </row>
    <row r="3108" spans="15:15">
      <c r="O3108"/>
    </row>
    <row r="3109" spans="15:15">
      <c r="O3109"/>
    </row>
    <row r="3110" spans="15:15">
      <c r="O3110"/>
    </row>
    <row r="3111" spans="15:15">
      <c r="O3111"/>
    </row>
    <row r="3112" spans="15:15">
      <c r="O3112"/>
    </row>
    <row r="3113" spans="15:15">
      <c r="O3113"/>
    </row>
    <row r="3114" spans="15:15">
      <c r="O3114"/>
    </row>
    <row r="3115" spans="15:15">
      <c r="O3115"/>
    </row>
    <row r="3116" spans="15:15">
      <c r="O3116"/>
    </row>
    <row r="3117" spans="15:15">
      <c r="O3117"/>
    </row>
    <row r="3118" spans="15:15">
      <c r="O3118"/>
    </row>
    <row r="3119" spans="15:15">
      <c r="O3119"/>
    </row>
    <row r="3120" spans="15:15">
      <c r="O3120"/>
    </row>
    <row r="3121" spans="15:15">
      <c r="O3121"/>
    </row>
    <row r="3122" spans="15:15">
      <c r="O3122"/>
    </row>
    <row r="3123" spans="15:15">
      <c r="O3123"/>
    </row>
    <row r="3124" spans="15:15">
      <c r="O3124"/>
    </row>
    <row r="3125" spans="15:15">
      <c r="O3125"/>
    </row>
    <row r="3126" spans="15:15">
      <c r="O3126"/>
    </row>
    <row r="3127" spans="15:15">
      <c r="O3127"/>
    </row>
    <row r="3128" spans="15:15">
      <c r="O3128"/>
    </row>
    <row r="3129" spans="15:15">
      <c r="O3129"/>
    </row>
    <row r="3130" spans="15:15">
      <c r="O3130"/>
    </row>
    <row r="3131" spans="15:15">
      <c r="O3131"/>
    </row>
    <row r="3132" spans="15:15">
      <c r="O3132"/>
    </row>
    <row r="3133" spans="15:15">
      <c r="O3133"/>
    </row>
    <row r="3134" spans="15:15">
      <c r="O3134"/>
    </row>
    <row r="3135" spans="15:15">
      <c r="O3135"/>
    </row>
    <row r="3136" spans="15:15">
      <c r="O3136"/>
    </row>
    <row r="3137" spans="15:15">
      <c r="O3137"/>
    </row>
    <row r="3138" spans="15:15">
      <c r="O3138"/>
    </row>
    <row r="3139" spans="15:15">
      <c r="O3139"/>
    </row>
    <row r="3140" spans="15:15">
      <c r="O3140"/>
    </row>
    <row r="3141" spans="15:15">
      <c r="O3141"/>
    </row>
    <row r="3142" spans="15:15">
      <c r="O3142"/>
    </row>
    <row r="3143" spans="15:15">
      <c r="O3143"/>
    </row>
    <row r="3144" spans="15:15">
      <c r="O3144"/>
    </row>
    <row r="3145" spans="15:15">
      <c r="O3145"/>
    </row>
    <row r="3146" spans="15:15">
      <c r="O3146"/>
    </row>
    <row r="3147" spans="15:15">
      <c r="O3147"/>
    </row>
    <row r="3148" spans="15:15">
      <c r="O3148"/>
    </row>
    <row r="3149" spans="15:15">
      <c r="O3149"/>
    </row>
    <row r="3150" spans="15:15">
      <c r="O3150"/>
    </row>
    <row r="3151" spans="15:15">
      <c r="O3151"/>
    </row>
    <row r="3152" spans="15:15">
      <c r="O3152"/>
    </row>
    <row r="3153" spans="15:15">
      <c r="O3153"/>
    </row>
    <row r="3154" spans="15:15">
      <c r="O3154"/>
    </row>
    <row r="3155" spans="15:15">
      <c r="O3155"/>
    </row>
    <row r="3156" spans="15:15">
      <c r="O3156"/>
    </row>
    <row r="3157" spans="15:15">
      <c r="O3157"/>
    </row>
    <row r="3158" spans="15:15">
      <c r="O3158"/>
    </row>
    <row r="3159" spans="15:15">
      <c r="O3159"/>
    </row>
    <row r="3160" spans="15:15">
      <c r="O3160"/>
    </row>
    <row r="3161" spans="15:15">
      <c r="O3161"/>
    </row>
    <row r="3162" spans="15:15">
      <c r="O3162"/>
    </row>
    <row r="3163" spans="15:15">
      <c r="O3163"/>
    </row>
    <row r="3164" spans="15:15">
      <c r="O3164"/>
    </row>
    <row r="3165" spans="15:15">
      <c r="O3165"/>
    </row>
    <row r="3166" spans="15:15">
      <c r="O3166"/>
    </row>
    <row r="3167" spans="15:15">
      <c r="O3167"/>
    </row>
    <row r="3168" spans="15:15">
      <c r="O3168"/>
    </row>
    <row r="3169" spans="15:15">
      <c r="O3169"/>
    </row>
    <row r="3170" spans="15:15">
      <c r="O3170"/>
    </row>
    <row r="3171" spans="15:15">
      <c r="O3171"/>
    </row>
    <row r="3172" spans="15:15">
      <c r="O3172"/>
    </row>
    <row r="3173" spans="15:15">
      <c r="O3173"/>
    </row>
    <row r="3174" spans="15:15">
      <c r="O3174"/>
    </row>
    <row r="3175" spans="15:15">
      <c r="O3175"/>
    </row>
    <row r="3176" spans="15:15">
      <c r="O3176"/>
    </row>
    <row r="3177" spans="15:15">
      <c r="O3177"/>
    </row>
    <row r="3178" spans="15:15">
      <c r="O3178"/>
    </row>
    <row r="3179" spans="15:15">
      <c r="O3179"/>
    </row>
    <row r="3180" spans="15:15">
      <c r="O3180"/>
    </row>
    <row r="3181" spans="15:15">
      <c r="O3181"/>
    </row>
    <row r="3182" spans="15:15">
      <c r="O3182"/>
    </row>
    <row r="3183" spans="15:15">
      <c r="O3183"/>
    </row>
    <row r="3184" spans="15:15">
      <c r="O3184"/>
    </row>
    <row r="3185" spans="15:15">
      <c r="O3185"/>
    </row>
    <row r="3186" spans="15:15">
      <c r="O3186"/>
    </row>
    <row r="3187" spans="15:15">
      <c r="O3187"/>
    </row>
    <row r="3188" spans="15:15">
      <c r="O3188"/>
    </row>
    <row r="3189" spans="15:15">
      <c r="O3189"/>
    </row>
    <row r="3190" spans="15:15">
      <c r="O3190"/>
    </row>
    <row r="3191" spans="15:15">
      <c r="O3191"/>
    </row>
    <row r="3192" spans="15:15">
      <c r="O3192"/>
    </row>
    <row r="3193" spans="15:15">
      <c r="O3193"/>
    </row>
    <row r="3194" spans="15:15">
      <c r="O3194"/>
    </row>
    <row r="3195" spans="15:15">
      <c r="O3195"/>
    </row>
    <row r="3196" spans="15:15">
      <c r="O3196"/>
    </row>
    <row r="3197" spans="15:15">
      <c r="O3197"/>
    </row>
    <row r="3198" spans="15:15">
      <c r="O3198"/>
    </row>
    <row r="3199" spans="15:15">
      <c r="O3199"/>
    </row>
    <row r="3200" spans="15:15">
      <c r="O3200"/>
    </row>
    <row r="3201" spans="15:15">
      <c r="O3201"/>
    </row>
    <row r="3202" spans="15:15">
      <c r="O3202"/>
    </row>
    <row r="3203" spans="15:15">
      <c r="O3203"/>
    </row>
    <row r="3204" spans="15:15">
      <c r="O3204"/>
    </row>
    <row r="3205" spans="15:15">
      <c r="O3205"/>
    </row>
    <row r="3206" spans="15:15">
      <c r="O3206"/>
    </row>
    <row r="3207" spans="15:15">
      <c r="O3207"/>
    </row>
    <row r="3208" spans="15:15">
      <c r="O3208"/>
    </row>
    <row r="3209" spans="15:15">
      <c r="O3209"/>
    </row>
    <row r="3210" spans="15:15">
      <c r="O3210"/>
    </row>
    <row r="3211" spans="15:15">
      <c r="O3211"/>
    </row>
    <row r="3212" spans="15:15">
      <c r="O3212"/>
    </row>
    <row r="3213" spans="15:15">
      <c r="O3213"/>
    </row>
    <row r="3214" spans="15:15">
      <c r="O3214"/>
    </row>
    <row r="3215" spans="15:15">
      <c r="O3215"/>
    </row>
    <row r="3216" spans="15:15">
      <c r="O3216"/>
    </row>
    <row r="3217" spans="15:15">
      <c r="O3217"/>
    </row>
    <row r="3218" spans="15:15">
      <c r="O3218"/>
    </row>
    <row r="3219" spans="15:15">
      <c r="O3219"/>
    </row>
    <row r="3220" spans="15:15">
      <c r="O3220"/>
    </row>
    <row r="3221" spans="15:15">
      <c r="O3221"/>
    </row>
    <row r="3222" spans="15:15">
      <c r="O3222"/>
    </row>
    <row r="3223" spans="15:15">
      <c r="O3223"/>
    </row>
    <row r="3224" spans="15:15">
      <c r="O3224"/>
    </row>
    <row r="3225" spans="15:15">
      <c r="O3225"/>
    </row>
    <row r="3226" spans="15:15">
      <c r="O3226"/>
    </row>
    <row r="3227" spans="15:15">
      <c r="O3227"/>
    </row>
    <row r="3228" spans="15:15">
      <c r="O3228"/>
    </row>
    <row r="3229" spans="15:15">
      <c r="O3229"/>
    </row>
    <row r="3230" spans="15:15">
      <c r="O3230"/>
    </row>
    <row r="3231" spans="15:15">
      <c r="O3231"/>
    </row>
    <row r="3232" spans="15:15">
      <c r="O3232"/>
    </row>
    <row r="3233" spans="15:15">
      <c r="O3233"/>
    </row>
    <row r="3234" spans="15:15">
      <c r="O3234"/>
    </row>
    <row r="3235" spans="15:15">
      <c r="O3235"/>
    </row>
    <row r="3236" spans="15:15">
      <c r="O3236"/>
    </row>
    <row r="3237" spans="15:15">
      <c r="O3237"/>
    </row>
    <row r="3238" spans="15:15">
      <c r="O3238"/>
    </row>
    <row r="3239" spans="15:15">
      <c r="O3239"/>
    </row>
    <row r="3240" spans="15:15">
      <c r="O3240"/>
    </row>
    <row r="3241" spans="15:15">
      <c r="O3241"/>
    </row>
    <row r="3242" spans="15:15">
      <c r="O3242"/>
    </row>
    <row r="3243" spans="15:15">
      <c r="O3243"/>
    </row>
    <row r="3244" spans="15:15">
      <c r="O3244"/>
    </row>
    <row r="3245" spans="15:15">
      <c r="O3245"/>
    </row>
    <row r="3246" spans="15:15">
      <c r="O3246"/>
    </row>
    <row r="3247" spans="15:15">
      <c r="O3247"/>
    </row>
    <row r="3248" spans="15:15">
      <c r="O3248"/>
    </row>
    <row r="3249" spans="15:15">
      <c r="O3249"/>
    </row>
    <row r="3250" spans="15:15">
      <c r="O3250"/>
    </row>
    <row r="3251" spans="15:15">
      <c r="O3251"/>
    </row>
    <row r="3252" spans="15:15">
      <c r="O3252"/>
    </row>
    <row r="3253" spans="15:15">
      <c r="O3253"/>
    </row>
    <row r="3254" spans="15:15">
      <c r="O3254"/>
    </row>
    <row r="3255" spans="15:15">
      <c r="O3255"/>
    </row>
    <row r="3256" spans="15:15">
      <c r="O3256"/>
    </row>
    <row r="3257" spans="15:15">
      <c r="O3257"/>
    </row>
    <row r="3258" spans="15:15">
      <c r="O3258"/>
    </row>
    <row r="3259" spans="15:15">
      <c r="O3259"/>
    </row>
    <row r="3260" spans="15:15">
      <c r="O3260"/>
    </row>
    <row r="3261" spans="15:15">
      <c r="O3261"/>
    </row>
    <row r="3262" spans="15:15">
      <c r="O3262"/>
    </row>
    <row r="3263" spans="15:15">
      <c r="O3263"/>
    </row>
    <row r="3264" spans="15:15">
      <c r="O3264"/>
    </row>
    <row r="3265" spans="15:15">
      <c r="O3265"/>
    </row>
    <row r="3266" spans="15:15">
      <c r="O3266"/>
    </row>
    <row r="3267" spans="15:15">
      <c r="O3267"/>
    </row>
    <row r="3268" spans="15:15">
      <c r="O3268"/>
    </row>
    <row r="3269" spans="15:15">
      <c r="O3269"/>
    </row>
    <row r="3270" spans="15:15">
      <c r="O3270"/>
    </row>
    <row r="3271" spans="15:15">
      <c r="O3271"/>
    </row>
    <row r="3272" spans="15:15">
      <c r="O3272"/>
    </row>
    <row r="3273" spans="15:15">
      <c r="O3273"/>
    </row>
    <row r="3274" spans="15:15">
      <c r="O3274"/>
    </row>
    <row r="3275" spans="15:15">
      <c r="O3275"/>
    </row>
    <row r="3276" spans="15:15">
      <c r="O3276"/>
    </row>
    <row r="3277" spans="15:15">
      <c r="O3277"/>
    </row>
    <row r="3278" spans="15:15">
      <c r="O3278"/>
    </row>
    <row r="3279" spans="15:15">
      <c r="O3279"/>
    </row>
    <row r="3280" spans="15:15">
      <c r="O3280"/>
    </row>
    <row r="3281" spans="15:15">
      <c r="O3281"/>
    </row>
    <row r="3282" spans="15:15">
      <c r="O3282"/>
    </row>
    <row r="3283" spans="15:15">
      <c r="O3283"/>
    </row>
    <row r="3284" spans="15:15">
      <c r="O3284"/>
    </row>
    <row r="3285" spans="15:15">
      <c r="O3285"/>
    </row>
    <row r="3286" spans="15:15">
      <c r="O3286"/>
    </row>
    <row r="3287" spans="15:15">
      <c r="O3287"/>
    </row>
    <row r="3288" spans="15:15">
      <c r="O3288"/>
    </row>
    <row r="3289" spans="15:15">
      <c r="O3289"/>
    </row>
    <row r="3290" spans="15:15">
      <c r="O3290"/>
    </row>
    <row r="3291" spans="15:15">
      <c r="O3291"/>
    </row>
    <row r="3292" spans="15:15">
      <c r="O3292"/>
    </row>
    <row r="3293" spans="15:15">
      <c r="O3293"/>
    </row>
    <row r="3294" spans="15:15">
      <c r="O3294"/>
    </row>
    <row r="3295" spans="15:15">
      <c r="O3295"/>
    </row>
    <row r="3296" spans="15:15">
      <c r="O3296"/>
    </row>
    <row r="3297" spans="15:15">
      <c r="O3297"/>
    </row>
    <row r="3298" spans="15:15">
      <c r="O3298"/>
    </row>
    <row r="3299" spans="15:15">
      <c r="O3299"/>
    </row>
    <row r="3300" spans="15:15">
      <c r="O3300"/>
    </row>
    <row r="3301" spans="15:15">
      <c r="O3301"/>
    </row>
    <row r="3302" spans="15:15">
      <c r="O3302"/>
    </row>
    <row r="3303" spans="15:15">
      <c r="O3303"/>
    </row>
    <row r="3304" spans="15:15">
      <c r="O3304"/>
    </row>
    <row r="3305" spans="15:15">
      <c r="O3305"/>
    </row>
    <row r="3306" spans="15:15">
      <c r="O3306"/>
    </row>
    <row r="3307" spans="15:15">
      <c r="O3307"/>
    </row>
    <row r="3308" spans="15:15">
      <c r="O3308"/>
    </row>
    <row r="3309" spans="15:15">
      <c r="O3309"/>
    </row>
    <row r="3310" spans="15:15">
      <c r="O3310"/>
    </row>
    <row r="3311" spans="15:15">
      <c r="O3311"/>
    </row>
    <row r="3312" spans="15:15">
      <c r="O3312"/>
    </row>
    <row r="3313" spans="15:15">
      <c r="O3313"/>
    </row>
    <row r="3314" spans="15:15">
      <c r="O3314"/>
    </row>
    <row r="3315" spans="15:15">
      <c r="O3315"/>
    </row>
    <row r="3316" spans="15:15">
      <c r="O3316"/>
    </row>
    <row r="3317" spans="15:15">
      <c r="O3317"/>
    </row>
    <row r="3318" spans="15:15">
      <c r="O3318"/>
    </row>
    <row r="3319" spans="15:15">
      <c r="O3319"/>
    </row>
    <row r="3320" spans="15:15">
      <c r="O3320"/>
    </row>
    <row r="3321" spans="15:15">
      <c r="O3321"/>
    </row>
    <row r="3322" spans="15:15">
      <c r="O3322"/>
    </row>
    <row r="3323" spans="15:15">
      <c r="O3323"/>
    </row>
    <row r="3324" spans="15:15">
      <c r="O3324"/>
    </row>
    <row r="3325" spans="15:15">
      <c r="O3325"/>
    </row>
    <row r="3326" spans="15:15">
      <c r="O3326"/>
    </row>
    <row r="3327" spans="15:15">
      <c r="O3327"/>
    </row>
    <row r="3328" spans="15:15">
      <c r="O3328"/>
    </row>
    <row r="3329" spans="15:15">
      <c r="O3329"/>
    </row>
    <row r="3330" spans="15:15">
      <c r="O3330"/>
    </row>
    <row r="3331" spans="15:15">
      <c r="O3331"/>
    </row>
    <row r="3332" spans="15:15">
      <c r="O3332"/>
    </row>
    <row r="3333" spans="15:15">
      <c r="O3333"/>
    </row>
    <row r="3334" spans="15:15">
      <c r="O3334"/>
    </row>
    <row r="3335" spans="15:15">
      <c r="O3335"/>
    </row>
    <row r="3336" spans="15:15">
      <c r="O3336"/>
    </row>
    <row r="3337" spans="15:15">
      <c r="O3337"/>
    </row>
    <row r="3338" spans="15:15">
      <c r="O3338"/>
    </row>
    <row r="3339" spans="15:15">
      <c r="O3339"/>
    </row>
    <row r="3340" spans="15:15">
      <c r="O3340"/>
    </row>
    <row r="3341" spans="15:15">
      <c r="O3341"/>
    </row>
    <row r="3342" spans="15:15">
      <c r="O3342"/>
    </row>
    <row r="3343" spans="15:15">
      <c r="O3343"/>
    </row>
    <row r="3344" spans="15:15">
      <c r="O3344"/>
    </row>
    <row r="3345" spans="15:15">
      <c r="O3345"/>
    </row>
    <row r="3346" spans="15:15">
      <c r="O3346"/>
    </row>
    <row r="3347" spans="15:15">
      <c r="O3347"/>
    </row>
    <row r="3348" spans="15:15">
      <c r="O3348"/>
    </row>
    <row r="3349" spans="15:15">
      <c r="O3349"/>
    </row>
    <row r="3350" spans="15:15">
      <c r="O3350"/>
    </row>
    <row r="3351" spans="15:15">
      <c r="O3351"/>
    </row>
    <row r="3352" spans="15:15">
      <c r="O3352"/>
    </row>
    <row r="3353" spans="15:15">
      <c r="O3353"/>
    </row>
    <row r="3354" spans="15:15">
      <c r="O3354"/>
    </row>
    <row r="3355" spans="15:15">
      <c r="O3355"/>
    </row>
    <row r="3356" spans="15:15">
      <c r="O3356"/>
    </row>
    <row r="3357" spans="15:15">
      <c r="O3357"/>
    </row>
    <row r="3358" spans="15:15">
      <c r="O3358"/>
    </row>
    <row r="3359" spans="15:15">
      <c r="O3359"/>
    </row>
    <row r="3360" spans="15:15">
      <c r="O3360"/>
    </row>
    <row r="3361" spans="15:15">
      <c r="O3361"/>
    </row>
    <row r="3362" spans="15:15">
      <c r="O3362"/>
    </row>
    <row r="3363" spans="15:15">
      <c r="O3363"/>
    </row>
    <row r="3364" spans="15:15">
      <c r="O3364"/>
    </row>
    <row r="3365" spans="15:15">
      <c r="O3365"/>
    </row>
    <row r="3366" spans="15:15">
      <c r="O3366"/>
    </row>
    <row r="3367" spans="15:15">
      <c r="O3367"/>
    </row>
    <row r="3368" spans="15:15">
      <c r="O3368"/>
    </row>
    <row r="3369" spans="15:15">
      <c r="O3369"/>
    </row>
    <row r="3370" spans="15:15">
      <c r="O3370"/>
    </row>
    <row r="3371" spans="15:15">
      <c r="O3371"/>
    </row>
    <row r="3372" spans="15:15">
      <c r="O3372"/>
    </row>
    <row r="3373" spans="15:15">
      <c r="O3373"/>
    </row>
    <row r="3374" spans="15:15">
      <c r="O3374"/>
    </row>
    <row r="3375" spans="15:15">
      <c r="O3375"/>
    </row>
    <row r="3376" spans="15:15">
      <c r="O3376"/>
    </row>
    <row r="3377" spans="15:15">
      <c r="O3377"/>
    </row>
    <row r="3378" spans="15:15">
      <c r="O3378"/>
    </row>
    <row r="3379" spans="15:15">
      <c r="O3379"/>
    </row>
    <row r="3380" spans="15:15">
      <c r="O3380"/>
    </row>
    <row r="3381" spans="15:15">
      <c r="O3381"/>
    </row>
    <row r="3382" spans="15:15">
      <c r="O3382"/>
    </row>
    <row r="3383" spans="15:15">
      <c r="O3383"/>
    </row>
    <row r="3384" spans="15:15">
      <c r="O3384"/>
    </row>
    <row r="3385" spans="15:15">
      <c r="O3385"/>
    </row>
    <row r="3386" spans="15:15">
      <c r="O3386"/>
    </row>
    <row r="3387" spans="15:15">
      <c r="O3387"/>
    </row>
    <row r="3388" spans="15:15">
      <c r="O3388"/>
    </row>
    <row r="3389" spans="15:15">
      <c r="O3389"/>
    </row>
    <row r="3390" spans="15:15">
      <c r="O3390"/>
    </row>
    <row r="3391" spans="15:15">
      <c r="O3391"/>
    </row>
    <row r="3392" spans="15:15">
      <c r="O3392"/>
    </row>
    <row r="3393" spans="15:15">
      <c r="O3393"/>
    </row>
    <row r="3394" spans="15:15">
      <c r="O3394"/>
    </row>
    <row r="3395" spans="15:15">
      <c r="O3395"/>
    </row>
    <row r="3396" spans="15:15">
      <c r="O3396"/>
    </row>
    <row r="3397" spans="15:15">
      <c r="O3397"/>
    </row>
    <row r="3398" spans="15:15">
      <c r="O3398"/>
    </row>
    <row r="3399" spans="15:15">
      <c r="O3399"/>
    </row>
    <row r="3400" spans="15:15">
      <c r="O3400"/>
    </row>
    <row r="3401" spans="15:15">
      <c r="O3401"/>
    </row>
    <row r="3402" spans="15:15">
      <c r="O3402"/>
    </row>
    <row r="3403" spans="15:15">
      <c r="O3403"/>
    </row>
    <row r="3404" spans="15:15">
      <c r="O3404"/>
    </row>
    <row r="3405" spans="15:15">
      <c r="O3405"/>
    </row>
    <row r="3406" spans="15:15">
      <c r="O3406"/>
    </row>
    <row r="3407" spans="15:15">
      <c r="O3407"/>
    </row>
    <row r="3408" spans="15:15">
      <c r="O3408"/>
    </row>
    <row r="3409" spans="15:15">
      <c r="O3409"/>
    </row>
    <row r="3410" spans="15:15">
      <c r="O3410"/>
    </row>
    <row r="3411" spans="15:15">
      <c r="O3411"/>
    </row>
    <row r="3412" spans="15:15">
      <c r="O3412"/>
    </row>
    <row r="3413" spans="15:15">
      <c r="O3413"/>
    </row>
    <row r="3414" spans="15:15">
      <c r="O3414"/>
    </row>
    <row r="3415" spans="15:15">
      <c r="O3415"/>
    </row>
    <row r="3416" spans="15:15">
      <c r="O3416"/>
    </row>
    <row r="3417" spans="15:15">
      <c r="O3417"/>
    </row>
    <row r="3418" spans="15:15">
      <c r="O3418"/>
    </row>
    <row r="3419" spans="15:15">
      <c r="O3419"/>
    </row>
    <row r="3420" spans="15:15">
      <c r="O3420"/>
    </row>
    <row r="3421" spans="15:15">
      <c r="O3421"/>
    </row>
    <row r="3422" spans="15:15">
      <c r="O3422"/>
    </row>
    <row r="3423" spans="15:15">
      <c r="O3423"/>
    </row>
    <row r="3424" spans="15:15">
      <c r="O3424"/>
    </row>
    <row r="3425" spans="15:15">
      <c r="O3425"/>
    </row>
    <row r="3426" spans="15:15">
      <c r="O3426"/>
    </row>
    <row r="3427" spans="15:15">
      <c r="O3427"/>
    </row>
    <row r="3428" spans="15:15">
      <c r="O3428"/>
    </row>
    <row r="3429" spans="15:15">
      <c r="O3429"/>
    </row>
    <row r="3430" spans="15:15">
      <c r="O3430"/>
    </row>
    <row r="3431" spans="15:15">
      <c r="O3431"/>
    </row>
    <row r="3432" spans="15:15">
      <c r="O3432"/>
    </row>
    <row r="3433" spans="15:15">
      <c r="O3433"/>
    </row>
    <row r="3434" spans="15:15">
      <c r="O3434"/>
    </row>
    <row r="3435" spans="15:15">
      <c r="O3435"/>
    </row>
    <row r="3436" spans="15:15">
      <c r="O3436"/>
    </row>
    <row r="3437" spans="15:15">
      <c r="O3437"/>
    </row>
    <row r="3438" spans="15:15">
      <c r="O3438"/>
    </row>
    <row r="3439" spans="15:15">
      <c r="O3439"/>
    </row>
    <row r="3440" spans="15:15">
      <c r="O3440"/>
    </row>
    <row r="3441" spans="15:15">
      <c r="O3441"/>
    </row>
    <row r="3442" spans="15:15">
      <c r="O3442"/>
    </row>
    <row r="3443" spans="15:15">
      <c r="O3443"/>
    </row>
    <row r="3444" spans="15:15">
      <c r="O3444"/>
    </row>
    <row r="3445" spans="15:15">
      <c r="O3445"/>
    </row>
    <row r="3446" spans="15:15">
      <c r="O3446"/>
    </row>
    <row r="3447" spans="15:15">
      <c r="O3447"/>
    </row>
    <row r="3448" spans="15:15">
      <c r="O3448"/>
    </row>
    <row r="3449" spans="15:15">
      <c r="O3449"/>
    </row>
    <row r="3450" spans="15:15">
      <c r="O3450"/>
    </row>
    <row r="3451" spans="15:15">
      <c r="O3451"/>
    </row>
    <row r="3452" spans="15:15">
      <c r="O3452"/>
    </row>
    <row r="3453" spans="15:15">
      <c r="O3453"/>
    </row>
    <row r="3454" spans="15:15">
      <c r="O3454"/>
    </row>
    <row r="3455" spans="15:15">
      <c r="O3455"/>
    </row>
    <row r="3456" spans="15:15">
      <c r="O3456"/>
    </row>
    <row r="3457" spans="15:15">
      <c r="O3457"/>
    </row>
    <row r="3458" spans="15:15">
      <c r="O3458"/>
    </row>
    <row r="3459" spans="15:15">
      <c r="O3459"/>
    </row>
    <row r="3460" spans="15:15">
      <c r="O3460"/>
    </row>
    <row r="3461" spans="15:15">
      <c r="O3461"/>
    </row>
    <row r="3462" spans="15:15">
      <c r="O3462"/>
    </row>
    <row r="3463" spans="15:15">
      <c r="O3463"/>
    </row>
    <row r="3464" spans="15:15">
      <c r="O3464"/>
    </row>
    <row r="3465" spans="15:15">
      <c r="O3465"/>
    </row>
    <row r="3466" spans="15:15">
      <c r="O3466"/>
    </row>
    <row r="3467" spans="15:15">
      <c r="O3467"/>
    </row>
    <row r="3468" spans="15:15">
      <c r="O3468"/>
    </row>
    <row r="3469" spans="15:15">
      <c r="O3469"/>
    </row>
    <row r="3470" spans="15:15">
      <c r="O3470"/>
    </row>
    <row r="3471" spans="15:15">
      <c r="O3471"/>
    </row>
    <row r="3472" spans="15:15">
      <c r="O3472"/>
    </row>
    <row r="3473" spans="15:15">
      <c r="O3473"/>
    </row>
    <row r="3474" spans="15:15">
      <c r="O3474"/>
    </row>
    <row r="3475" spans="15:15">
      <c r="O3475"/>
    </row>
    <row r="3476" spans="15:15">
      <c r="O3476"/>
    </row>
    <row r="3477" spans="15:15">
      <c r="O3477"/>
    </row>
    <row r="3478" spans="15:15">
      <c r="O3478"/>
    </row>
    <row r="3479" spans="15:15">
      <c r="O3479"/>
    </row>
    <row r="3480" spans="15:15">
      <c r="O3480"/>
    </row>
    <row r="3481" spans="15:15">
      <c r="O3481"/>
    </row>
    <row r="3482" spans="15:15">
      <c r="O3482"/>
    </row>
    <row r="3483" spans="15:15">
      <c r="O3483"/>
    </row>
    <row r="3484" spans="15:15">
      <c r="O3484"/>
    </row>
    <row r="3485" spans="15:15">
      <c r="O3485"/>
    </row>
    <row r="3486" spans="15:15">
      <c r="O3486"/>
    </row>
    <row r="3487" spans="15:15">
      <c r="O3487"/>
    </row>
    <row r="3488" spans="15:15">
      <c r="O3488"/>
    </row>
    <row r="3489" spans="15:15">
      <c r="O3489"/>
    </row>
    <row r="3490" spans="15:15">
      <c r="O3490"/>
    </row>
    <row r="3491" spans="15:15">
      <c r="O3491"/>
    </row>
    <row r="3492" spans="15:15">
      <c r="O3492"/>
    </row>
    <row r="3493" spans="15:15">
      <c r="O3493"/>
    </row>
    <row r="3494" spans="15:15">
      <c r="O3494"/>
    </row>
    <row r="3495" spans="15:15">
      <c r="O3495"/>
    </row>
    <row r="3496" spans="15:15">
      <c r="O3496"/>
    </row>
    <row r="3497" spans="15:15">
      <c r="O3497"/>
    </row>
    <row r="3498" spans="15:15">
      <c r="O3498"/>
    </row>
    <row r="3499" spans="15:15">
      <c r="O3499"/>
    </row>
    <row r="3500" spans="15:15">
      <c r="O3500"/>
    </row>
    <row r="3501" spans="15:15">
      <c r="O3501"/>
    </row>
    <row r="3502" spans="15:15">
      <c r="O3502"/>
    </row>
    <row r="3503" spans="15:15">
      <c r="O3503"/>
    </row>
    <row r="3504" spans="15:15">
      <c r="O3504"/>
    </row>
    <row r="3505" spans="15:15">
      <c r="O3505"/>
    </row>
    <row r="3506" spans="15:15">
      <c r="O3506"/>
    </row>
    <row r="3507" spans="15:15">
      <c r="O3507"/>
    </row>
    <row r="3508" spans="15:15">
      <c r="O3508"/>
    </row>
    <row r="3509" spans="15:15">
      <c r="O3509"/>
    </row>
    <row r="3510" spans="15:15">
      <c r="O3510"/>
    </row>
    <row r="3511" spans="15:15">
      <c r="O3511"/>
    </row>
    <row r="3512" spans="15:15">
      <c r="O3512"/>
    </row>
    <row r="3513" spans="15:15">
      <c r="O3513"/>
    </row>
    <row r="3514" spans="15:15">
      <c r="O3514"/>
    </row>
    <row r="3515" spans="15:15">
      <c r="O3515"/>
    </row>
    <row r="3516" spans="15:15">
      <c r="O3516"/>
    </row>
    <row r="3517" spans="15:15">
      <c r="O3517"/>
    </row>
    <row r="3518" spans="15:15">
      <c r="O3518"/>
    </row>
    <row r="3519" spans="15:15">
      <c r="O3519"/>
    </row>
    <row r="3520" spans="15:15">
      <c r="O3520"/>
    </row>
    <row r="3521" spans="15:15">
      <c r="O3521"/>
    </row>
    <row r="3522" spans="15:15">
      <c r="O3522"/>
    </row>
    <row r="3523" spans="15:15">
      <c r="O3523"/>
    </row>
    <row r="3524" spans="15:15">
      <c r="O3524"/>
    </row>
    <row r="3525" spans="15:15">
      <c r="O3525"/>
    </row>
    <row r="3526" spans="15:15">
      <c r="O3526"/>
    </row>
    <row r="3527" spans="15:15">
      <c r="O3527"/>
    </row>
    <row r="3528" spans="15:15">
      <c r="O3528"/>
    </row>
    <row r="3529" spans="15:15">
      <c r="O3529"/>
    </row>
    <row r="3530" spans="15:15">
      <c r="O3530"/>
    </row>
    <row r="3531" spans="15:15">
      <c r="O3531"/>
    </row>
    <row r="3532" spans="15:15">
      <c r="O3532"/>
    </row>
    <row r="3533" spans="15:15">
      <c r="O3533"/>
    </row>
    <row r="3534" spans="15:15">
      <c r="O3534"/>
    </row>
    <row r="3535" spans="15:15">
      <c r="O3535"/>
    </row>
    <row r="3536" spans="15:15">
      <c r="O3536"/>
    </row>
    <row r="3537" spans="15:15">
      <c r="O3537"/>
    </row>
    <row r="3538" spans="15:15">
      <c r="O3538"/>
    </row>
    <row r="3539" spans="15:15">
      <c r="O3539"/>
    </row>
    <row r="3540" spans="15:15">
      <c r="O3540"/>
    </row>
    <row r="3541" spans="15:15">
      <c r="O3541"/>
    </row>
    <row r="3542" spans="15:15">
      <c r="O3542"/>
    </row>
    <row r="3543" spans="15:15">
      <c r="O3543"/>
    </row>
    <row r="3544" spans="15:15">
      <c r="O3544"/>
    </row>
    <row r="3545" spans="15:15">
      <c r="O3545"/>
    </row>
    <row r="3546" spans="15:15">
      <c r="O3546"/>
    </row>
    <row r="3547" spans="15:15">
      <c r="O3547"/>
    </row>
    <row r="3548" spans="15:15">
      <c r="O3548"/>
    </row>
    <row r="3549" spans="15:15">
      <c r="O3549"/>
    </row>
    <row r="3550" spans="15:15">
      <c r="O3550"/>
    </row>
    <row r="3551" spans="15:15">
      <c r="O3551"/>
    </row>
    <row r="3552" spans="15:15">
      <c r="O3552"/>
    </row>
    <row r="3553" spans="15:15">
      <c r="O3553"/>
    </row>
    <row r="3554" spans="15:15">
      <c r="O3554"/>
    </row>
    <row r="3555" spans="15:15">
      <c r="O3555"/>
    </row>
    <row r="3556" spans="15:15">
      <c r="O3556"/>
    </row>
    <row r="3557" spans="15:15">
      <c r="O3557"/>
    </row>
    <row r="3558" spans="15:15">
      <c r="O3558"/>
    </row>
    <row r="3559" spans="15:15">
      <c r="O3559"/>
    </row>
    <row r="3560" spans="15:15">
      <c r="O3560"/>
    </row>
    <row r="3561" spans="15:15">
      <c r="O3561"/>
    </row>
    <row r="3562" spans="15:15">
      <c r="O3562"/>
    </row>
    <row r="3563" spans="15:15">
      <c r="O3563"/>
    </row>
    <row r="3564" spans="15:15">
      <c r="O3564"/>
    </row>
    <row r="3565" spans="15:15">
      <c r="O3565"/>
    </row>
    <row r="3566" spans="15:15">
      <c r="O3566"/>
    </row>
    <row r="3567" spans="15:15">
      <c r="O3567"/>
    </row>
    <row r="3568" spans="15:15">
      <c r="O3568"/>
    </row>
    <row r="3569" spans="15:15">
      <c r="O3569"/>
    </row>
    <row r="3570" spans="15:15">
      <c r="O3570"/>
    </row>
    <row r="3571" spans="15:15">
      <c r="O3571"/>
    </row>
    <row r="3572" spans="15:15">
      <c r="O3572"/>
    </row>
    <row r="3573" spans="15:15">
      <c r="O3573"/>
    </row>
    <row r="3574" spans="15:15">
      <c r="O3574"/>
    </row>
    <row r="3575" spans="15:15">
      <c r="O3575"/>
    </row>
    <row r="3576" spans="15:15">
      <c r="O3576"/>
    </row>
    <row r="3577" spans="15:15">
      <c r="O3577"/>
    </row>
    <row r="3578" spans="15:15">
      <c r="O3578"/>
    </row>
    <row r="3579" spans="15:15">
      <c r="O3579"/>
    </row>
    <row r="3580" spans="15:15">
      <c r="O3580"/>
    </row>
    <row r="3581" spans="15:15">
      <c r="O3581"/>
    </row>
    <row r="3582" spans="15:15">
      <c r="O3582"/>
    </row>
    <row r="3583" spans="15:15">
      <c r="O3583"/>
    </row>
    <row r="3584" spans="15:15">
      <c r="O3584"/>
    </row>
    <row r="3585" spans="15:15">
      <c r="O3585"/>
    </row>
    <row r="3586" spans="15:15">
      <c r="O3586"/>
    </row>
    <row r="3587" spans="15:15">
      <c r="O3587"/>
    </row>
    <row r="3588" spans="15:15">
      <c r="O3588"/>
    </row>
    <row r="3589" spans="15:15">
      <c r="O3589"/>
    </row>
    <row r="3590" spans="15:15">
      <c r="O3590"/>
    </row>
    <row r="3591" spans="15:15">
      <c r="O3591"/>
    </row>
    <row r="3592" spans="15:15">
      <c r="O3592"/>
    </row>
    <row r="3593" spans="15:15">
      <c r="O3593"/>
    </row>
    <row r="3594" spans="15:15">
      <c r="O3594"/>
    </row>
    <row r="3595" spans="15:15">
      <c r="O3595"/>
    </row>
    <row r="3596" spans="15:15">
      <c r="O3596"/>
    </row>
    <row r="3597" spans="15:15">
      <c r="O3597"/>
    </row>
    <row r="3598" spans="15:15">
      <c r="O3598"/>
    </row>
    <row r="3599" spans="15:15">
      <c r="O3599"/>
    </row>
    <row r="3600" spans="15:15">
      <c r="O3600"/>
    </row>
    <row r="3601" spans="15:15">
      <c r="O3601"/>
    </row>
    <row r="3602" spans="15:15">
      <c r="O3602"/>
    </row>
    <row r="3603" spans="15:15">
      <c r="O3603"/>
    </row>
    <row r="3604" spans="15:15">
      <c r="O3604"/>
    </row>
    <row r="3605" spans="15:15">
      <c r="O3605"/>
    </row>
    <row r="3606" spans="15:15">
      <c r="O3606"/>
    </row>
    <row r="3607" spans="15:15">
      <c r="O3607"/>
    </row>
    <row r="3608" spans="15:15">
      <c r="O3608"/>
    </row>
    <row r="3609" spans="15:15">
      <c r="O3609"/>
    </row>
    <row r="3610" spans="15:15">
      <c r="O3610"/>
    </row>
    <row r="3611" spans="15:15">
      <c r="O3611"/>
    </row>
    <row r="3612" spans="15:15">
      <c r="O3612"/>
    </row>
    <row r="3613" spans="15:15">
      <c r="O3613"/>
    </row>
    <row r="3614" spans="15:15">
      <c r="O3614"/>
    </row>
    <row r="3615" spans="15:15">
      <c r="O3615"/>
    </row>
    <row r="3616" spans="15:15">
      <c r="O3616"/>
    </row>
    <row r="3617" spans="15:15">
      <c r="O3617"/>
    </row>
    <row r="3618" spans="15:15">
      <c r="O3618"/>
    </row>
    <row r="3619" spans="15:15">
      <c r="O3619"/>
    </row>
    <row r="3620" spans="15:15">
      <c r="O3620"/>
    </row>
    <row r="3621" spans="15:15">
      <c r="O3621"/>
    </row>
    <row r="3622" spans="15:15">
      <c r="O3622"/>
    </row>
    <row r="3623" spans="15:15">
      <c r="O3623"/>
    </row>
    <row r="3624" spans="15:15">
      <c r="O3624"/>
    </row>
    <row r="3625" spans="15:15">
      <c r="O3625"/>
    </row>
    <row r="3626" spans="15:15">
      <c r="O3626"/>
    </row>
    <row r="3627" spans="15:15">
      <c r="O3627"/>
    </row>
    <row r="3628" spans="15:15">
      <c r="O3628"/>
    </row>
    <row r="3629" spans="15:15">
      <c r="O3629"/>
    </row>
    <row r="3630" spans="15:15">
      <c r="O3630"/>
    </row>
    <row r="3631" spans="15:15">
      <c r="O3631"/>
    </row>
    <row r="3632" spans="15:15">
      <c r="O3632"/>
    </row>
    <row r="3633" spans="15:15">
      <c r="O3633"/>
    </row>
    <row r="3634" spans="15:15">
      <c r="O3634"/>
    </row>
    <row r="3635" spans="15:15">
      <c r="O3635"/>
    </row>
    <row r="3636" spans="15:15">
      <c r="O3636"/>
    </row>
    <row r="3637" spans="15:15">
      <c r="O3637"/>
    </row>
    <row r="3638" spans="15:15">
      <c r="O3638"/>
    </row>
    <row r="3639" spans="15:15">
      <c r="O3639"/>
    </row>
    <row r="3640" spans="15:15">
      <c r="O3640"/>
    </row>
    <row r="3641" spans="15:15">
      <c r="O3641"/>
    </row>
    <row r="3642" spans="15:15">
      <c r="O3642"/>
    </row>
    <row r="3643" spans="15:15">
      <c r="O3643"/>
    </row>
    <row r="3644" spans="15:15">
      <c r="O3644"/>
    </row>
    <row r="3645" spans="15:15">
      <c r="O3645"/>
    </row>
    <row r="3646" spans="15:15">
      <c r="O3646"/>
    </row>
    <row r="3647" spans="15:15">
      <c r="O3647"/>
    </row>
    <row r="3648" spans="15:15">
      <c r="O3648"/>
    </row>
    <row r="3649" spans="15:15">
      <c r="O3649"/>
    </row>
    <row r="3650" spans="15:15">
      <c r="O3650"/>
    </row>
    <row r="3651" spans="15:15">
      <c r="O3651"/>
    </row>
    <row r="3652" spans="15:15">
      <c r="O3652"/>
    </row>
    <row r="3653" spans="15:15">
      <c r="O3653"/>
    </row>
    <row r="3654" spans="15:15">
      <c r="O3654"/>
    </row>
    <row r="3655" spans="15:15">
      <c r="O3655"/>
    </row>
    <row r="3656" spans="15:15">
      <c r="O3656"/>
    </row>
    <row r="3657" spans="15:15">
      <c r="O3657"/>
    </row>
    <row r="3658" spans="15:15">
      <c r="O3658"/>
    </row>
    <row r="3659" spans="15:15">
      <c r="O3659"/>
    </row>
    <row r="3660" spans="15:15">
      <c r="O3660"/>
    </row>
    <row r="3661" spans="15:15">
      <c r="O3661"/>
    </row>
    <row r="3662" spans="15:15">
      <c r="O3662"/>
    </row>
    <row r="3663" spans="15:15">
      <c r="O3663"/>
    </row>
    <row r="3664" spans="15:15">
      <c r="O3664"/>
    </row>
    <row r="3665" spans="15:15">
      <c r="O3665"/>
    </row>
    <row r="3666" spans="15:15">
      <c r="O3666"/>
    </row>
    <row r="3667" spans="15:15">
      <c r="O3667"/>
    </row>
    <row r="3668" spans="15:15">
      <c r="O3668"/>
    </row>
    <row r="3669" spans="15:15">
      <c r="O3669"/>
    </row>
    <row r="3670" spans="15:15">
      <c r="O3670"/>
    </row>
    <row r="3671" spans="15:15">
      <c r="O3671"/>
    </row>
    <row r="3672" spans="15:15">
      <c r="O3672"/>
    </row>
    <row r="3673" spans="15:15">
      <c r="O3673"/>
    </row>
    <row r="3674" spans="15:15">
      <c r="O3674"/>
    </row>
    <row r="3675" spans="15:15">
      <c r="O3675"/>
    </row>
    <row r="3676" spans="15:15">
      <c r="O3676"/>
    </row>
    <row r="3677" spans="15:15">
      <c r="O3677"/>
    </row>
    <row r="3678" spans="15:15">
      <c r="O3678"/>
    </row>
    <row r="3679" spans="15:15">
      <c r="O3679"/>
    </row>
    <row r="3680" spans="15:15">
      <c r="O3680"/>
    </row>
    <row r="3681" spans="15:15">
      <c r="O3681"/>
    </row>
    <row r="3682" spans="15:15">
      <c r="O3682"/>
    </row>
    <row r="3683" spans="15:15">
      <c r="O3683"/>
    </row>
    <row r="3684" spans="15:15">
      <c r="O3684"/>
    </row>
    <row r="3685" spans="15:15">
      <c r="O3685"/>
    </row>
    <row r="3686" spans="15:15">
      <c r="O3686"/>
    </row>
    <row r="3687" spans="15:15">
      <c r="O3687"/>
    </row>
    <row r="3688" spans="15:15">
      <c r="O3688"/>
    </row>
    <row r="3689" spans="15:15">
      <c r="O3689"/>
    </row>
    <row r="3690" spans="15:15">
      <c r="O3690"/>
    </row>
    <row r="3691" spans="15:15">
      <c r="O3691"/>
    </row>
    <row r="3692" spans="15:15">
      <c r="O3692"/>
    </row>
    <row r="3693" spans="15:15">
      <c r="O3693"/>
    </row>
    <row r="3694" spans="15:15">
      <c r="O3694"/>
    </row>
    <row r="3695" spans="15:15">
      <c r="O3695"/>
    </row>
    <row r="3696" spans="15:15">
      <c r="O3696"/>
    </row>
    <row r="3697" spans="15:15">
      <c r="O3697"/>
    </row>
    <row r="3698" spans="15:15">
      <c r="O3698"/>
    </row>
    <row r="3699" spans="15:15">
      <c r="O3699"/>
    </row>
    <row r="3700" spans="15:15">
      <c r="O3700"/>
    </row>
    <row r="3701" spans="15:15">
      <c r="O3701"/>
    </row>
    <row r="3702" spans="15:15">
      <c r="O3702"/>
    </row>
    <row r="3703" spans="15:15">
      <c r="O3703"/>
    </row>
    <row r="3704" spans="15:15">
      <c r="O3704"/>
    </row>
    <row r="3705" spans="15:15">
      <c r="O3705"/>
    </row>
    <row r="3706" spans="15:15">
      <c r="O3706"/>
    </row>
    <row r="3707" spans="15:15">
      <c r="O3707"/>
    </row>
    <row r="3708" spans="15:15">
      <c r="O3708"/>
    </row>
    <row r="3709" spans="15:15">
      <c r="O3709"/>
    </row>
    <row r="3710" spans="15:15">
      <c r="O3710"/>
    </row>
    <row r="3711" spans="15:15">
      <c r="O3711"/>
    </row>
    <row r="3712" spans="15:15">
      <c r="O3712"/>
    </row>
    <row r="3713" spans="15:15">
      <c r="O3713"/>
    </row>
    <row r="3714" spans="15:15">
      <c r="O3714"/>
    </row>
    <row r="3715" spans="15:15">
      <c r="O3715"/>
    </row>
    <row r="3716" spans="15:15">
      <c r="O3716"/>
    </row>
    <row r="3717" spans="15:15">
      <c r="O3717"/>
    </row>
    <row r="3718" spans="15:15">
      <c r="O3718"/>
    </row>
    <row r="3719" spans="15:15">
      <c r="O3719"/>
    </row>
    <row r="3720" spans="15:15">
      <c r="O3720"/>
    </row>
    <row r="3721" spans="15:15">
      <c r="O3721"/>
    </row>
    <row r="3722" spans="15:15">
      <c r="O3722"/>
    </row>
    <row r="3723" spans="15:15">
      <c r="O3723"/>
    </row>
    <row r="3724" spans="15:15">
      <c r="O3724"/>
    </row>
    <row r="3725" spans="15:15">
      <c r="O3725"/>
    </row>
    <row r="3726" spans="15:15">
      <c r="O3726"/>
    </row>
    <row r="3727" spans="15:15">
      <c r="O3727"/>
    </row>
    <row r="3728" spans="15:15">
      <c r="O3728"/>
    </row>
    <row r="3729" spans="15:15">
      <c r="O3729"/>
    </row>
    <row r="3730" spans="15:15">
      <c r="O3730"/>
    </row>
    <row r="3731" spans="15:15">
      <c r="O3731"/>
    </row>
    <row r="3732" spans="15:15">
      <c r="O3732"/>
    </row>
    <row r="3733" spans="15:15">
      <c r="O3733"/>
    </row>
    <row r="3734" spans="15:15">
      <c r="O3734"/>
    </row>
    <row r="3735" spans="15:15">
      <c r="O3735"/>
    </row>
    <row r="3736" spans="15:15">
      <c r="O3736"/>
    </row>
    <row r="3737" spans="15:15">
      <c r="O3737"/>
    </row>
    <row r="3738" spans="15:15">
      <c r="O3738"/>
    </row>
    <row r="3739" spans="15:15">
      <c r="O3739"/>
    </row>
    <row r="3740" spans="15:15">
      <c r="O3740"/>
    </row>
    <row r="3741" spans="15:15">
      <c r="O3741"/>
    </row>
    <row r="3742" spans="15:15">
      <c r="O3742"/>
    </row>
    <row r="3743" spans="15:15">
      <c r="O3743"/>
    </row>
    <row r="3744" spans="15:15">
      <c r="O3744"/>
    </row>
    <row r="3745" spans="15:15">
      <c r="O3745"/>
    </row>
    <row r="3746" spans="15:15">
      <c r="O3746"/>
    </row>
    <row r="3747" spans="15:15">
      <c r="O3747"/>
    </row>
    <row r="3748" spans="15:15">
      <c r="O3748"/>
    </row>
    <row r="3749" spans="15:15">
      <c r="O3749"/>
    </row>
    <row r="3750" spans="15:15">
      <c r="O3750"/>
    </row>
    <row r="3751" spans="15:15">
      <c r="O3751"/>
    </row>
    <row r="3752" spans="15:15">
      <c r="O3752"/>
    </row>
    <row r="3753" spans="15:15">
      <c r="O3753"/>
    </row>
    <row r="3754" spans="15:15">
      <c r="O3754"/>
    </row>
    <row r="3755" spans="15:15">
      <c r="O3755"/>
    </row>
    <row r="3756" spans="15:15">
      <c r="O3756"/>
    </row>
    <row r="3757" spans="15:15">
      <c r="O3757"/>
    </row>
    <row r="3758" spans="15:15">
      <c r="O3758"/>
    </row>
    <row r="3759" spans="15:15">
      <c r="O3759"/>
    </row>
    <row r="3760" spans="15:15">
      <c r="O3760"/>
    </row>
    <row r="3761" spans="15:15">
      <c r="O3761"/>
    </row>
    <row r="3762" spans="15:15">
      <c r="O3762"/>
    </row>
    <row r="3763" spans="15:15">
      <c r="O3763"/>
    </row>
    <row r="3764" spans="15:15">
      <c r="O3764"/>
    </row>
    <row r="3765" spans="15:15">
      <c r="O3765"/>
    </row>
    <row r="3766" spans="15:15">
      <c r="O3766"/>
    </row>
    <row r="3767" spans="15:15">
      <c r="O3767"/>
    </row>
    <row r="3768" spans="15:15">
      <c r="O3768"/>
    </row>
    <row r="3769" spans="15:15">
      <c r="O3769"/>
    </row>
    <row r="3770" spans="15:15">
      <c r="O3770"/>
    </row>
    <row r="3771" spans="15:15">
      <c r="O3771"/>
    </row>
    <row r="3772" spans="15:15">
      <c r="O3772"/>
    </row>
    <row r="3773" spans="15:15">
      <c r="O3773"/>
    </row>
    <row r="3774" spans="15:15">
      <c r="O3774"/>
    </row>
    <row r="3775" spans="15:15">
      <c r="O3775"/>
    </row>
    <row r="3776" spans="15:15">
      <c r="O3776"/>
    </row>
    <row r="3777" spans="15:15">
      <c r="O3777"/>
    </row>
    <row r="3778" spans="15:15">
      <c r="O3778"/>
    </row>
    <row r="3779" spans="15:15">
      <c r="O3779"/>
    </row>
    <row r="3780" spans="15:15">
      <c r="O3780"/>
    </row>
    <row r="3781" spans="15:15">
      <c r="O3781"/>
    </row>
    <row r="3782" spans="15:15">
      <c r="O3782"/>
    </row>
    <row r="3783" spans="15:15">
      <c r="O3783"/>
    </row>
    <row r="3784" spans="15:15">
      <c r="O3784"/>
    </row>
    <row r="3785" spans="15:15">
      <c r="O3785"/>
    </row>
    <row r="3786" spans="15:15">
      <c r="O3786"/>
    </row>
    <row r="3787" spans="15:15">
      <c r="O3787"/>
    </row>
    <row r="3788" spans="15:15">
      <c r="O3788"/>
    </row>
    <row r="3789" spans="15:15">
      <c r="O3789"/>
    </row>
    <row r="3790" spans="15:15">
      <c r="O3790"/>
    </row>
    <row r="3791" spans="15:15">
      <c r="O3791"/>
    </row>
    <row r="3792" spans="15:15">
      <c r="O3792"/>
    </row>
    <row r="3793" spans="15:15">
      <c r="O3793"/>
    </row>
    <row r="3794" spans="15:15">
      <c r="O3794"/>
    </row>
    <row r="3795" spans="15:15">
      <c r="O3795"/>
    </row>
    <row r="3796" spans="15:15">
      <c r="O3796"/>
    </row>
    <row r="3797" spans="15:15">
      <c r="O3797"/>
    </row>
    <row r="3798" spans="15:15">
      <c r="O3798"/>
    </row>
    <row r="3799" spans="15:15">
      <c r="O3799"/>
    </row>
    <row r="3800" spans="15:15">
      <c r="O3800"/>
    </row>
    <row r="3801" spans="15:15">
      <c r="O3801"/>
    </row>
    <row r="3802" spans="15:15">
      <c r="O3802"/>
    </row>
    <row r="3803" spans="15:15">
      <c r="O3803"/>
    </row>
    <row r="3804" spans="15:15">
      <c r="O3804"/>
    </row>
    <row r="3805" spans="15:15">
      <c r="O3805"/>
    </row>
    <row r="3806" spans="15:15">
      <c r="O3806"/>
    </row>
    <row r="3807" spans="15:15">
      <c r="O3807"/>
    </row>
    <row r="3808" spans="15:15">
      <c r="O3808"/>
    </row>
    <row r="3809" spans="15:15">
      <c r="O3809"/>
    </row>
    <row r="3810" spans="15:15">
      <c r="O3810"/>
    </row>
    <row r="3811" spans="15:15">
      <c r="O3811"/>
    </row>
    <row r="3812" spans="15:15">
      <c r="O3812"/>
    </row>
    <row r="3813" spans="15:15">
      <c r="O3813"/>
    </row>
    <row r="3814" spans="15:15">
      <c r="O3814"/>
    </row>
    <row r="3815" spans="15:15">
      <c r="O3815"/>
    </row>
    <row r="3816" spans="15:15">
      <c r="O3816"/>
    </row>
    <row r="3817" spans="15:15">
      <c r="O3817"/>
    </row>
    <row r="3818" spans="15:15">
      <c r="O3818"/>
    </row>
    <row r="3819" spans="15:15">
      <c r="O3819"/>
    </row>
    <row r="3820" spans="15:15">
      <c r="O3820"/>
    </row>
    <row r="3821" spans="15:15">
      <c r="O3821"/>
    </row>
    <row r="3822" spans="15:15">
      <c r="O3822"/>
    </row>
    <row r="3823" spans="15:15">
      <c r="O3823"/>
    </row>
    <row r="3824" spans="15:15">
      <c r="O3824"/>
    </row>
    <row r="3825" spans="15:15">
      <c r="O3825"/>
    </row>
    <row r="3826" spans="15:15">
      <c r="O3826"/>
    </row>
    <row r="3827" spans="15:15">
      <c r="O3827"/>
    </row>
    <row r="3828" spans="15:15">
      <c r="O3828"/>
    </row>
    <row r="3829" spans="15:15">
      <c r="O3829"/>
    </row>
    <row r="3830" spans="15:15">
      <c r="O3830"/>
    </row>
    <row r="3831" spans="15:15">
      <c r="O3831"/>
    </row>
    <row r="3832" spans="15:15">
      <c r="O3832"/>
    </row>
    <row r="3833" spans="15:15">
      <c r="O3833"/>
    </row>
    <row r="3834" spans="15:15">
      <c r="O3834"/>
    </row>
    <row r="3835" spans="15:15">
      <c r="O3835"/>
    </row>
    <row r="3836" spans="15:15">
      <c r="O3836"/>
    </row>
    <row r="3837" spans="15:15">
      <c r="O3837"/>
    </row>
    <row r="3838" spans="15:15">
      <c r="O3838"/>
    </row>
    <row r="3839" spans="15:15">
      <c r="O3839"/>
    </row>
    <row r="3840" spans="15:15">
      <c r="O3840"/>
    </row>
    <row r="3841" spans="15:15">
      <c r="O3841"/>
    </row>
    <row r="3842" spans="15:15">
      <c r="O3842"/>
    </row>
    <row r="3843" spans="15:15">
      <c r="O3843"/>
    </row>
    <row r="3844" spans="15:15">
      <c r="O3844"/>
    </row>
    <row r="3845" spans="15:15">
      <c r="O3845"/>
    </row>
    <row r="3846" spans="15:15">
      <c r="O3846"/>
    </row>
    <row r="3847" spans="15:15">
      <c r="O3847"/>
    </row>
    <row r="3848" spans="15:15">
      <c r="O3848"/>
    </row>
    <row r="3849" spans="15:15">
      <c r="O3849"/>
    </row>
    <row r="3850" spans="15:15">
      <c r="O3850"/>
    </row>
    <row r="3851" spans="15:15">
      <c r="O3851"/>
    </row>
    <row r="3852" spans="15:15">
      <c r="O3852"/>
    </row>
    <row r="3853" spans="15:15">
      <c r="O3853"/>
    </row>
    <row r="3854" spans="15:15">
      <c r="O3854"/>
    </row>
    <row r="3855" spans="15:15">
      <c r="O3855"/>
    </row>
    <row r="3856" spans="15:15">
      <c r="O3856"/>
    </row>
    <row r="3857" spans="15:15">
      <c r="O3857"/>
    </row>
    <row r="3858" spans="15:15">
      <c r="O3858"/>
    </row>
    <row r="3859" spans="15:15">
      <c r="O3859"/>
    </row>
    <row r="3860" spans="15:15">
      <c r="O3860"/>
    </row>
    <row r="3861" spans="15:15">
      <c r="O3861"/>
    </row>
    <row r="3862" spans="15:15">
      <c r="O3862"/>
    </row>
    <row r="3863" spans="15:15">
      <c r="O3863"/>
    </row>
    <row r="3864" spans="15:15">
      <c r="O3864"/>
    </row>
    <row r="3865" spans="15:15">
      <c r="O3865"/>
    </row>
    <row r="3866" spans="15:15">
      <c r="O3866"/>
    </row>
    <row r="3867" spans="15:15">
      <c r="O3867"/>
    </row>
    <row r="3868" spans="15:15">
      <c r="O3868"/>
    </row>
    <row r="3869" spans="15:15">
      <c r="O3869"/>
    </row>
    <row r="3870" spans="15:15">
      <c r="O3870"/>
    </row>
    <row r="3871" spans="15:15">
      <c r="O3871"/>
    </row>
    <row r="3872" spans="15:15">
      <c r="O3872"/>
    </row>
    <row r="3873" spans="15:15">
      <c r="O3873"/>
    </row>
    <row r="3874" spans="15:15">
      <c r="O3874"/>
    </row>
    <row r="3875" spans="15:15">
      <c r="O3875"/>
    </row>
    <row r="3876" spans="15:15">
      <c r="O3876"/>
    </row>
    <row r="3877" spans="15:15">
      <c r="O3877"/>
    </row>
    <row r="3878" spans="15:15">
      <c r="O3878"/>
    </row>
    <row r="3879" spans="15:15">
      <c r="O3879"/>
    </row>
    <row r="3880" spans="15:15">
      <c r="O3880"/>
    </row>
    <row r="3881" spans="15:15">
      <c r="O3881"/>
    </row>
    <row r="3882" spans="15:15">
      <c r="O3882"/>
    </row>
    <row r="3883" spans="15:15">
      <c r="O3883"/>
    </row>
    <row r="3884" spans="15:15">
      <c r="O3884"/>
    </row>
    <row r="3885" spans="15:15">
      <c r="O3885"/>
    </row>
    <row r="3886" spans="15:15">
      <c r="O3886"/>
    </row>
    <row r="3887" spans="15:15">
      <c r="O3887"/>
    </row>
    <row r="3888" spans="15:15">
      <c r="O3888"/>
    </row>
    <row r="3889" spans="15:15">
      <c r="O3889"/>
    </row>
    <row r="3890" spans="15:15">
      <c r="O3890"/>
    </row>
    <row r="3891" spans="15:15">
      <c r="O3891"/>
    </row>
    <row r="3892" spans="15:15">
      <c r="O3892"/>
    </row>
    <row r="3893" spans="15:15">
      <c r="O3893"/>
    </row>
    <row r="3894" spans="15:15">
      <c r="O3894"/>
    </row>
    <row r="3895" spans="15:15">
      <c r="O3895"/>
    </row>
    <row r="3896" spans="15:15">
      <c r="O3896"/>
    </row>
    <row r="3897" spans="15:15">
      <c r="O3897"/>
    </row>
    <row r="3898" spans="15:15">
      <c r="O3898"/>
    </row>
    <row r="3899" spans="15:15">
      <c r="O3899"/>
    </row>
    <row r="3900" spans="15:15">
      <c r="O3900"/>
    </row>
    <row r="3901" spans="15:15">
      <c r="O3901"/>
    </row>
    <row r="3902" spans="15:15">
      <c r="O3902"/>
    </row>
    <row r="3903" spans="15:15">
      <c r="O3903"/>
    </row>
    <row r="3904" spans="15:15">
      <c r="O3904"/>
    </row>
    <row r="3905" spans="15:15">
      <c r="O3905"/>
    </row>
    <row r="3906" spans="15:15">
      <c r="O3906"/>
    </row>
    <row r="3907" spans="15:15">
      <c r="O3907"/>
    </row>
    <row r="3908" spans="15:15">
      <c r="O3908"/>
    </row>
    <row r="3909" spans="15:15">
      <c r="O3909"/>
    </row>
    <row r="3910" spans="15:15">
      <c r="O3910"/>
    </row>
    <row r="3911" spans="15:15">
      <c r="O3911"/>
    </row>
    <row r="3912" spans="15:15">
      <c r="O3912"/>
    </row>
    <row r="3913" spans="15:15">
      <c r="O3913"/>
    </row>
    <row r="3914" spans="15:15">
      <c r="O3914"/>
    </row>
    <row r="3915" spans="15:15">
      <c r="O3915"/>
    </row>
    <row r="3916" spans="15:15">
      <c r="O3916"/>
    </row>
    <row r="3917" spans="15:15">
      <c r="O3917"/>
    </row>
    <row r="3918" spans="15:15">
      <c r="O3918"/>
    </row>
    <row r="3919" spans="15:15">
      <c r="O3919"/>
    </row>
    <row r="3920" spans="15:15">
      <c r="O3920"/>
    </row>
    <row r="3921" spans="15:15">
      <c r="O3921"/>
    </row>
    <row r="3922" spans="15:15">
      <c r="O3922"/>
    </row>
    <row r="3923" spans="15:15">
      <c r="O3923"/>
    </row>
    <row r="3924" spans="15:15">
      <c r="O3924"/>
    </row>
    <row r="3925" spans="15:15">
      <c r="O3925"/>
    </row>
    <row r="3926" spans="15:15">
      <c r="O3926"/>
    </row>
    <row r="3927" spans="15:15">
      <c r="O3927"/>
    </row>
    <row r="3928" spans="15:15">
      <c r="O3928"/>
    </row>
    <row r="3929" spans="15:15">
      <c r="O3929"/>
    </row>
    <row r="3930" spans="15:15">
      <c r="O3930"/>
    </row>
    <row r="3931" spans="15:15">
      <c r="O3931"/>
    </row>
    <row r="3932" spans="15:15">
      <c r="O3932"/>
    </row>
    <row r="3933" spans="15:15">
      <c r="O3933"/>
    </row>
    <row r="3934" spans="15:15">
      <c r="O3934"/>
    </row>
    <row r="3935" spans="15:15">
      <c r="O3935"/>
    </row>
    <row r="3936" spans="15:15">
      <c r="O3936"/>
    </row>
    <row r="3937" spans="15:15">
      <c r="O3937"/>
    </row>
    <row r="3938" spans="15:15">
      <c r="O3938"/>
    </row>
    <row r="3939" spans="15:15">
      <c r="O3939"/>
    </row>
    <row r="3940" spans="15:15">
      <c r="O3940"/>
    </row>
    <row r="3941" spans="15:15">
      <c r="O3941"/>
    </row>
    <row r="3942" spans="15:15">
      <c r="O3942"/>
    </row>
    <row r="3943" spans="15:15">
      <c r="O3943"/>
    </row>
    <row r="3944" spans="15:15">
      <c r="O3944"/>
    </row>
    <row r="3945" spans="15:15">
      <c r="O3945"/>
    </row>
    <row r="3946" spans="15:15">
      <c r="O3946"/>
    </row>
    <row r="3947" spans="15:15">
      <c r="O3947"/>
    </row>
    <row r="3948" spans="15:15">
      <c r="O3948"/>
    </row>
    <row r="3949" spans="15:15">
      <c r="O3949"/>
    </row>
    <row r="3950" spans="15:15">
      <c r="O3950"/>
    </row>
    <row r="3951" spans="15:15">
      <c r="O3951"/>
    </row>
    <row r="3952" spans="15:15">
      <c r="O3952"/>
    </row>
    <row r="3953" spans="15:15">
      <c r="O3953"/>
    </row>
    <row r="3954" spans="15:15">
      <c r="O3954"/>
    </row>
    <row r="3955" spans="15:15">
      <c r="O3955"/>
    </row>
    <row r="3956" spans="15:15">
      <c r="O3956"/>
    </row>
    <row r="3957" spans="15:15">
      <c r="O3957"/>
    </row>
    <row r="3958" spans="15:15">
      <c r="O3958"/>
    </row>
    <row r="3959" spans="15:15">
      <c r="O3959"/>
    </row>
    <row r="3960" spans="15:15">
      <c r="O3960"/>
    </row>
    <row r="3961" spans="15:15">
      <c r="O3961"/>
    </row>
    <row r="3962" spans="15:15">
      <c r="O3962"/>
    </row>
    <row r="3963" spans="15:15">
      <c r="O3963"/>
    </row>
    <row r="3964" spans="15:15">
      <c r="O3964"/>
    </row>
    <row r="3965" spans="15:15">
      <c r="O3965"/>
    </row>
    <row r="3966" spans="15:15">
      <c r="O3966"/>
    </row>
    <row r="3967" spans="15:15">
      <c r="O3967"/>
    </row>
    <row r="3968" spans="15:15">
      <c r="O3968"/>
    </row>
    <row r="3969" spans="15:15">
      <c r="O3969"/>
    </row>
    <row r="3970" spans="15:15">
      <c r="O3970"/>
    </row>
    <row r="3971" spans="15:15">
      <c r="O3971"/>
    </row>
    <row r="3972" spans="15:15">
      <c r="O3972"/>
    </row>
    <row r="3973" spans="15:15">
      <c r="O3973"/>
    </row>
    <row r="3974" spans="15:15">
      <c r="O3974"/>
    </row>
    <row r="3975" spans="15:15">
      <c r="O3975"/>
    </row>
    <row r="3976" spans="15:15">
      <c r="O3976"/>
    </row>
    <row r="3977" spans="15:15">
      <c r="O3977"/>
    </row>
    <row r="3978" spans="15:15">
      <c r="O3978"/>
    </row>
    <row r="3979" spans="15:15">
      <c r="O3979"/>
    </row>
    <row r="3980" spans="15:15">
      <c r="O3980"/>
    </row>
    <row r="3981" spans="15:15">
      <c r="O3981"/>
    </row>
    <row r="3982" spans="15:15">
      <c r="O3982"/>
    </row>
    <row r="3983" spans="15:15">
      <c r="O3983"/>
    </row>
    <row r="3984" spans="15:15">
      <c r="O3984"/>
    </row>
    <row r="3985" spans="15:15">
      <c r="O3985"/>
    </row>
    <row r="3986" spans="15:15">
      <c r="O3986"/>
    </row>
    <row r="3987" spans="15:15">
      <c r="O3987"/>
    </row>
    <row r="3988" spans="15:15">
      <c r="O3988"/>
    </row>
    <row r="3989" spans="15:15">
      <c r="O3989"/>
    </row>
    <row r="3990" spans="15:15">
      <c r="O3990"/>
    </row>
    <row r="3991" spans="15:15">
      <c r="O3991"/>
    </row>
    <row r="3992" spans="15:15">
      <c r="O3992"/>
    </row>
    <row r="3993" spans="15:15">
      <c r="O3993"/>
    </row>
    <row r="3994" spans="15:15">
      <c r="O3994"/>
    </row>
    <row r="3995" spans="15:15">
      <c r="O3995"/>
    </row>
    <row r="3996" spans="15:15">
      <c r="O3996"/>
    </row>
    <row r="3997" spans="15:15">
      <c r="O3997"/>
    </row>
    <row r="3998" spans="15:15">
      <c r="O3998"/>
    </row>
    <row r="3999" spans="15:15">
      <c r="O3999"/>
    </row>
    <row r="4000" spans="15:15">
      <c r="O4000"/>
    </row>
    <row r="4001" spans="15:15">
      <c r="O4001"/>
    </row>
    <row r="4002" spans="15:15">
      <c r="O4002"/>
    </row>
    <row r="4003" spans="15:15">
      <c r="O4003"/>
    </row>
    <row r="4004" spans="15:15">
      <c r="O4004"/>
    </row>
    <row r="4005" spans="15:15">
      <c r="O4005"/>
    </row>
    <row r="4006" spans="15:15">
      <c r="O4006"/>
    </row>
    <row r="4007" spans="15:15">
      <c r="O4007"/>
    </row>
    <row r="4008" spans="15:15">
      <c r="O4008"/>
    </row>
    <row r="4009" spans="15:15">
      <c r="O4009"/>
    </row>
    <row r="4010" spans="15:15">
      <c r="O4010"/>
    </row>
    <row r="4011" spans="15:15">
      <c r="O4011"/>
    </row>
    <row r="4012" spans="15:15">
      <c r="O4012"/>
    </row>
    <row r="4013" spans="15:15">
      <c r="O4013"/>
    </row>
    <row r="4014" spans="15:15">
      <c r="O4014"/>
    </row>
    <row r="4015" spans="15:15">
      <c r="O4015"/>
    </row>
    <row r="4016" spans="15:15">
      <c r="O4016"/>
    </row>
    <row r="4017" spans="15:15">
      <c r="O4017"/>
    </row>
    <row r="4018" spans="15:15">
      <c r="O4018"/>
    </row>
    <row r="4019" spans="15:15">
      <c r="O4019"/>
    </row>
    <row r="4020" spans="15:15">
      <c r="O4020"/>
    </row>
    <row r="4021" spans="15:15">
      <c r="O4021"/>
    </row>
    <row r="4022" spans="15:15">
      <c r="O4022"/>
    </row>
    <row r="4023" spans="15:15">
      <c r="O4023"/>
    </row>
    <row r="4024" spans="15:15">
      <c r="O4024"/>
    </row>
    <row r="4025" spans="15:15">
      <c r="O4025"/>
    </row>
    <row r="4026" spans="15:15">
      <c r="O4026"/>
    </row>
    <row r="4027" spans="15:15">
      <c r="O4027"/>
    </row>
    <row r="4028" spans="15:15">
      <c r="O4028"/>
    </row>
    <row r="4029" spans="15:15">
      <c r="O4029"/>
    </row>
    <row r="4030" spans="15:15">
      <c r="O4030"/>
    </row>
    <row r="4031" spans="15:15">
      <c r="O4031"/>
    </row>
    <row r="4032" spans="15:15">
      <c r="O4032"/>
    </row>
    <row r="4033" spans="15:15">
      <c r="O4033"/>
    </row>
    <row r="4034" spans="15:15">
      <c r="O4034"/>
    </row>
    <row r="4035" spans="15:15">
      <c r="O4035"/>
    </row>
    <row r="4036" spans="15:15">
      <c r="O4036"/>
    </row>
    <row r="4037" spans="15:15">
      <c r="O4037"/>
    </row>
    <row r="4038" spans="15:15">
      <c r="O4038"/>
    </row>
    <row r="4039" spans="15:15">
      <c r="O4039"/>
    </row>
    <row r="4040" spans="15:15">
      <c r="O4040"/>
    </row>
    <row r="4041" spans="15:15">
      <c r="O4041"/>
    </row>
    <row r="4042" spans="15:15">
      <c r="O4042"/>
    </row>
    <row r="4043" spans="15:15">
      <c r="O4043"/>
    </row>
    <row r="4044" spans="15:15">
      <c r="O4044"/>
    </row>
    <row r="4045" spans="15:15">
      <c r="O4045"/>
    </row>
    <row r="4046" spans="15:15">
      <c r="O4046"/>
    </row>
    <row r="4047" spans="15:15">
      <c r="O4047"/>
    </row>
    <row r="4048" spans="15:15">
      <c r="O4048"/>
    </row>
    <row r="4049" spans="15:15">
      <c r="O4049"/>
    </row>
    <row r="4050" spans="15:15">
      <c r="O4050"/>
    </row>
    <row r="4051" spans="15:15">
      <c r="O4051"/>
    </row>
    <row r="4052" spans="15:15">
      <c r="O4052"/>
    </row>
    <row r="4053" spans="15:15">
      <c r="O4053"/>
    </row>
    <row r="4054" spans="15:15">
      <c r="O4054"/>
    </row>
    <row r="4055" spans="15:15">
      <c r="O4055"/>
    </row>
    <row r="4056" spans="15:15">
      <c r="O4056"/>
    </row>
    <row r="4057" spans="15:15">
      <c r="O4057"/>
    </row>
    <row r="4058" spans="15:15">
      <c r="O4058"/>
    </row>
    <row r="4059" spans="15:15">
      <c r="O4059"/>
    </row>
    <row r="4060" spans="15:15">
      <c r="O4060"/>
    </row>
    <row r="4061" spans="15:15">
      <c r="O4061"/>
    </row>
    <row r="4062" spans="15:15">
      <c r="O4062"/>
    </row>
    <row r="4063" spans="15:15">
      <c r="O4063"/>
    </row>
    <row r="4064" spans="15:15">
      <c r="O4064"/>
    </row>
    <row r="4065" spans="15:15">
      <c r="O4065"/>
    </row>
    <row r="4066" spans="15:15">
      <c r="O4066"/>
    </row>
    <row r="4067" spans="15:15">
      <c r="O4067"/>
    </row>
    <row r="4068" spans="15:15">
      <c r="O4068"/>
    </row>
    <row r="4069" spans="15:15">
      <c r="O4069"/>
    </row>
    <row r="4070" spans="15:15">
      <c r="O4070"/>
    </row>
    <row r="4071" spans="15:15">
      <c r="O4071"/>
    </row>
    <row r="4072" spans="15:15">
      <c r="O4072"/>
    </row>
    <row r="4073" spans="15:15">
      <c r="O4073"/>
    </row>
    <row r="4074" spans="15:15">
      <c r="O4074"/>
    </row>
    <row r="4075" spans="15:15">
      <c r="O4075"/>
    </row>
    <row r="4076" spans="15:15">
      <c r="O4076"/>
    </row>
    <row r="4077" spans="15:15">
      <c r="O4077"/>
    </row>
    <row r="4078" spans="15:15">
      <c r="O4078"/>
    </row>
    <row r="4079" spans="15:15">
      <c r="O4079"/>
    </row>
    <row r="4080" spans="15:15">
      <c r="O4080"/>
    </row>
    <row r="4081" spans="15:15">
      <c r="O4081"/>
    </row>
    <row r="4082" spans="15:15">
      <c r="O4082"/>
    </row>
    <row r="4083" spans="15:15">
      <c r="O4083"/>
    </row>
    <row r="4084" spans="15:15">
      <c r="O4084"/>
    </row>
    <row r="4085" spans="15:15">
      <c r="O4085"/>
    </row>
    <row r="4086" spans="15:15">
      <c r="O4086"/>
    </row>
    <row r="4087" spans="15:15">
      <c r="O4087"/>
    </row>
    <row r="4088" spans="15:15">
      <c r="O4088"/>
    </row>
    <row r="4089" spans="15:15">
      <c r="O4089"/>
    </row>
    <row r="4090" spans="15:15">
      <c r="O4090"/>
    </row>
    <row r="4091" spans="15:15">
      <c r="O4091"/>
    </row>
    <row r="4092" spans="15:15">
      <c r="O4092"/>
    </row>
    <row r="4093" spans="15:15">
      <c r="O4093"/>
    </row>
    <row r="4094" spans="15:15">
      <c r="O4094"/>
    </row>
    <row r="4095" spans="15:15">
      <c r="O4095"/>
    </row>
    <row r="4096" spans="15:15">
      <c r="O4096"/>
    </row>
    <row r="4097" spans="15:15">
      <c r="O4097"/>
    </row>
    <row r="4098" spans="15:15">
      <c r="O4098"/>
    </row>
    <row r="4099" spans="15:15">
      <c r="O4099"/>
    </row>
    <row r="4100" spans="15:15">
      <c r="O4100"/>
    </row>
    <row r="4101" spans="15:15">
      <c r="O4101"/>
    </row>
    <row r="4102" spans="15:15">
      <c r="O4102"/>
    </row>
    <row r="4103" spans="15:15">
      <c r="O4103"/>
    </row>
    <row r="4104" spans="15:15">
      <c r="O4104"/>
    </row>
    <row r="4105" spans="15:15">
      <c r="O4105"/>
    </row>
    <row r="4106" spans="15:15">
      <c r="O4106"/>
    </row>
    <row r="4107" spans="15:15">
      <c r="O4107"/>
    </row>
    <row r="4108" spans="15:15">
      <c r="O4108"/>
    </row>
    <row r="4109" spans="15:15">
      <c r="O4109"/>
    </row>
    <row r="4110" spans="15:15">
      <c r="O4110"/>
    </row>
    <row r="4111" spans="15:15">
      <c r="O4111"/>
    </row>
    <row r="4112" spans="15:15">
      <c r="O4112"/>
    </row>
    <row r="4113" spans="15:15">
      <c r="O4113"/>
    </row>
    <row r="4114" spans="15:15">
      <c r="O4114"/>
    </row>
    <row r="4115" spans="15:15">
      <c r="O4115"/>
    </row>
    <row r="4116" spans="15:15">
      <c r="O4116"/>
    </row>
    <row r="4117" spans="15:15">
      <c r="O4117"/>
    </row>
    <row r="4118" spans="15:15">
      <c r="O4118"/>
    </row>
    <row r="4119" spans="15:15">
      <c r="O4119"/>
    </row>
    <row r="4120" spans="15:15">
      <c r="O4120"/>
    </row>
    <row r="4121" spans="15:15">
      <c r="O4121"/>
    </row>
    <row r="4122" spans="15:15">
      <c r="O4122"/>
    </row>
    <row r="4123" spans="15:15">
      <c r="O4123"/>
    </row>
    <row r="4124" spans="15:15">
      <c r="O4124"/>
    </row>
    <row r="4125" spans="15:15">
      <c r="O4125"/>
    </row>
    <row r="4126" spans="15:15">
      <c r="O4126"/>
    </row>
    <row r="4127" spans="15:15">
      <c r="O4127"/>
    </row>
    <row r="4128" spans="15:15">
      <c r="O4128"/>
    </row>
    <row r="4129" spans="15:15">
      <c r="O4129"/>
    </row>
    <row r="4130" spans="15:15">
      <c r="O4130"/>
    </row>
    <row r="4131" spans="15:15">
      <c r="O4131"/>
    </row>
    <row r="4132" spans="15:15">
      <c r="O4132"/>
    </row>
    <row r="4133" spans="15:15">
      <c r="O4133"/>
    </row>
    <row r="4134" spans="15:15">
      <c r="O4134"/>
    </row>
    <row r="4135" spans="15:15">
      <c r="O4135"/>
    </row>
    <row r="4136" spans="15:15">
      <c r="O4136"/>
    </row>
    <row r="4137" spans="15:15">
      <c r="O4137"/>
    </row>
    <row r="4138" spans="15:15">
      <c r="O4138"/>
    </row>
    <row r="4139" spans="15:15">
      <c r="O4139"/>
    </row>
    <row r="4140" spans="15:15">
      <c r="O4140"/>
    </row>
    <row r="4141" spans="15:15">
      <c r="O4141"/>
    </row>
    <row r="4142" spans="15:15">
      <c r="O4142"/>
    </row>
    <row r="4143" spans="15:15">
      <c r="O4143"/>
    </row>
    <row r="4144" spans="15:15">
      <c r="O4144"/>
    </row>
    <row r="4145" spans="15:15">
      <c r="O4145"/>
    </row>
    <row r="4146" spans="15:15">
      <c r="O4146"/>
    </row>
    <row r="4147" spans="15:15">
      <c r="O4147"/>
    </row>
    <row r="4148" spans="15:15">
      <c r="O4148"/>
    </row>
    <row r="4149" spans="15:15">
      <c r="O4149"/>
    </row>
    <row r="4150" spans="15:15">
      <c r="O4150"/>
    </row>
    <row r="4151" spans="15:15">
      <c r="O4151"/>
    </row>
    <row r="4152" spans="15:15">
      <c r="O4152"/>
    </row>
    <row r="4153" spans="15:15">
      <c r="O4153"/>
    </row>
    <row r="4154" spans="15:15">
      <c r="O4154"/>
    </row>
    <row r="4155" spans="15:15">
      <c r="O4155"/>
    </row>
    <row r="4156" spans="15:15">
      <c r="O4156"/>
    </row>
    <row r="4157" spans="15:15">
      <c r="O4157"/>
    </row>
    <row r="4158" spans="15:15">
      <c r="O4158"/>
    </row>
    <row r="4159" spans="15:15">
      <c r="O4159"/>
    </row>
    <row r="4160" spans="15:15">
      <c r="O4160"/>
    </row>
    <row r="4161" spans="15:15">
      <c r="O4161"/>
    </row>
    <row r="4162" spans="15:15">
      <c r="O4162"/>
    </row>
    <row r="4163" spans="15:15">
      <c r="O4163"/>
    </row>
    <row r="4164" spans="15:15">
      <c r="O4164"/>
    </row>
    <row r="4165" spans="15:15">
      <c r="O4165"/>
    </row>
    <row r="4166" spans="15:15">
      <c r="O4166"/>
    </row>
    <row r="4167" spans="15:15">
      <c r="O4167"/>
    </row>
    <row r="4168" spans="15:15">
      <c r="O4168"/>
    </row>
    <row r="4169" spans="15:15">
      <c r="O4169"/>
    </row>
    <row r="4170" spans="15:15">
      <c r="O4170"/>
    </row>
    <row r="4171" spans="15:15">
      <c r="O4171"/>
    </row>
    <row r="4172" spans="15:15">
      <c r="O4172"/>
    </row>
    <row r="4173" spans="15:15">
      <c r="O4173"/>
    </row>
    <row r="4174" spans="15:15">
      <c r="O4174"/>
    </row>
    <row r="4175" spans="15:15">
      <c r="O4175"/>
    </row>
    <row r="4176" spans="15:15">
      <c r="O4176"/>
    </row>
    <row r="4177" spans="15:15">
      <c r="O4177"/>
    </row>
    <row r="4178" spans="15:15">
      <c r="O4178"/>
    </row>
    <row r="4179" spans="15:15">
      <c r="O4179"/>
    </row>
    <row r="4180" spans="15:15">
      <c r="O4180"/>
    </row>
    <row r="4181" spans="15:15">
      <c r="O4181"/>
    </row>
    <row r="4182" spans="15:15">
      <c r="O4182"/>
    </row>
    <row r="4183" spans="15:15">
      <c r="O4183"/>
    </row>
    <row r="4184" spans="15:15">
      <c r="O4184"/>
    </row>
    <row r="4185" spans="15:15">
      <c r="O4185"/>
    </row>
    <row r="4186" spans="15:15">
      <c r="O4186"/>
    </row>
    <row r="4187" spans="15:15">
      <c r="O4187"/>
    </row>
    <row r="4188" spans="15:15">
      <c r="O4188"/>
    </row>
    <row r="4189" spans="15:15">
      <c r="O4189"/>
    </row>
    <row r="4190" spans="15:15">
      <c r="O4190"/>
    </row>
    <row r="4191" spans="15:15">
      <c r="O4191"/>
    </row>
    <row r="4192" spans="15:15">
      <c r="O4192"/>
    </row>
    <row r="4193" spans="15:15">
      <c r="O4193"/>
    </row>
    <row r="4194" spans="15:15">
      <c r="O4194"/>
    </row>
    <row r="4195" spans="15:15">
      <c r="O4195"/>
    </row>
    <row r="4196" spans="15:15">
      <c r="O4196"/>
    </row>
    <row r="4197" spans="15:15">
      <c r="O4197"/>
    </row>
    <row r="4198" spans="15:15">
      <c r="O4198"/>
    </row>
    <row r="4199" spans="15:15">
      <c r="O4199"/>
    </row>
    <row r="4200" spans="15:15">
      <c r="O4200"/>
    </row>
    <row r="4201" spans="15:15">
      <c r="O4201"/>
    </row>
    <row r="4202" spans="15:15">
      <c r="O4202"/>
    </row>
    <row r="4203" spans="15:15">
      <c r="O4203"/>
    </row>
  </sheetData>
  <mergeCells count="3">
    <mergeCell ref="B1:O1"/>
    <mergeCell ref="B2:O2"/>
    <mergeCell ref="B358:O358"/>
  </mergeCells>
  <phoneticPr fontId="71" type="noConversion"/>
  <conditionalFormatting sqref="D4:D357">
    <cfRule type="expression" dxfId="15" priority="1">
      <formula>#REF!=-1</formula>
    </cfRule>
  </conditionalFormatting>
  <pageMargins left="0.7" right="0.7" top="0.75" bottom="0.75" header="0.3" footer="0.3"/>
  <pageSetup paperSize="9" scale="36" orientation="landscape" r:id="rId1"/>
  <ignoredErrors>
    <ignoredError sqref="K22 K33:K34 K38:K39 K42:K45 K20 K37" twoDigitTextYear="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B1:O344"/>
  <sheetViews>
    <sheetView zoomScale="90" zoomScaleNormal="90" zoomScaleSheetLayoutView="55" workbookViewId="0">
      <pane ySplit="3" topLeftCell="A4" activePane="bottomLeft" state="frozen"/>
      <selection activeCell="H40" sqref="H40"/>
      <selection pane="bottomLeft"/>
    </sheetView>
  </sheetViews>
  <sheetFormatPr defaultColWidth="8.875" defaultRowHeight="15.75"/>
  <cols>
    <col min="1" max="1" width="8.125" customWidth="1"/>
    <col min="2" max="2" width="16.125" customWidth="1"/>
    <col min="3" max="3" width="40.125" customWidth="1"/>
    <col min="4" max="4" width="38.875" customWidth="1"/>
    <col min="5" max="9" width="11.625" customWidth="1"/>
    <col min="10" max="11" width="11.625" style="18" customWidth="1"/>
    <col min="12" max="12" width="49.125" customWidth="1"/>
    <col min="13" max="13" width="12.375" customWidth="1"/>
    <col min="14" max="14" width="16.625" customWidth="1"/>
    <col min="15" max="15" width="81.125" customWidth="1"/>
  </cols>
  <sheetData>
    <row r="1" spans="2:15" ht="43.35" customHeight="1">
      <c r="B1" s="82" t="s">
        <v>407</v>
      </c>
      <c r="C1" s="84"/>
      <c r="D1" s="84"/>
      <c r="E1" s="84"/>
      <c r="F1" s="84"/>
      <c r="G1" s="84"/>
      <c r="H1" s="84"/>
      <c r="I1" s="84"/>
      <c r="J1" s="84"/>
      <c r="K1" s="84"/>
      <c r="L1" s="84"/>
      <c r="M1" s="84"/>
      <c r="N1" s="84"/>
      <c r="O1" s="84"/>
    </row>
    <row r="2" spans="2:15" ht="26.1" customHeight="1">
      <c r="B2" s="78" t="s">
        <v>1</v>
      </c>
      <c r="C2" s="79"/>
      <c r="D2" s="79"/>
      <c r="E2" s="79"/>
      <c r="F2" s="79"/>
      <c r="G2" s="79"/>
      <c r="H2" s="79"/>
      <c r="I2" s="79"/>
      <c r="J2" s="79"/>
      <c r="K2" s="79"/>
      <c r="L2" s="79"/>
      <c r="M2" s="79"/>
      <c r="N2" s="79"/>
      <c r="O2" s="79"/>
    </row>
    <row r="3" spans="2:15" ht="44.45" customHeight="1">
      <c r="B3" s="5" t="s">
        <v>2</v>
      </c>
      <c r="C3" s="5" t="s">
        <v>3</v>
      </c>
      <c r="D3" s="5" t="s">
        <v>4</v>
      </c>
      <c r="E3" s="6" t="s">
        <v>5</v>
      </c>
      <c r="F3" s="6" t="s">
        <v>6</v>
      </c>
      <c r="G3" s="6" t="s">
        <v>7</v>
      </c>
      <c r="H3" s="7" t="s">
        <v>8</v>
      </c>
      <c r="I3" s="8" t="s">
        <v>9</v>
      </c>
      <c r="J3" s="5" t="s">
        <v>10</v>
      </c>
      <c r="K3" s="5" t="s">
        <v>11</v>
      </c>
      <c r="L3" s="5" t="s">
        <v>12</v>
      </c>
      <c r="M3" s="9" t="s">
        <v>13</v>
      </c>
      <c r="N3" s="6" t="s">
        <v>14</v>
      </c>
      <c r="O3" s="5" t="s">
        <v>15</v>
      </c>
    </row>
    <row r="4" spans="2:15">
      <c r="B4" s="15" t="s">
        <v>16</v>
      </c>
      <c r="C4" s="15" t="s">
        <v>39</v>
      </c>
      <c r="D4" s="24" t="s">
        <v>40</v>
      </c>
      <c r="E4" s="21">
        <v>0.03</v>
      </c>
      <c r="F4" s="22"/>
      <c r="G4" s="22"/>
      <c r="H4" s="22">
        <v>0.06</v>
      </c>
      <c r="I4" s="23">
        <v>0.01</v>
      </c>
      <c r="J4" s="17">
        <v>2010</v>
      </c>
      <c r="K4" s="20" t="s">
        <v>41</v>
      </c>
      <c r="L4" s="4" t="s">
        <v>24</v>
      </c>
      <c r="M4" s="4" t="s">
        <v>51</v>
      </c>
      <c r="N4" s="4"/>
      <c r="O4" s="4"/>
    </row>
    <row r="5" spans="2:15">
      <c r="B5" s="15"/>
      <c r="C5" s="15"/>
      <c r="D5" s="24" t="s">
        <v>42</v>
      </c>
      <c r="E5" s="21">
        <v>0.48</v>
      </c>
      <c r="F5" s="22">
        <v>0.43</v>
      </c>
      <c r="G5" s="22">
        <v>0.52</v>
      </c>
      <c r="H5" s="22"/>
      <c r="I5" s="23"/>
      <c r="J5" s="17">
        <v>2006</v>
      </c>
      <c r="K5" s="20" t="s">
        <v>27</v>
      </c>
      <c r="L5" s="4" t="s">
        <v>46</v>
      </c>
      <c r="M5" s="4" t="s">
        <v>47</v>
      </c>
      <c r="N5" s="4" t="s">
        <v>408</v>
      </c>
      <c r="O5" s="4"/>
    </row>
    <row r="6" spans="2:15">
      <c r="B6" s="15"/>
      <c r="C6" s="15" t="s">
        <v>53</v>
      </c>
      <c r="D6" s="24" t="s">
        <v>54</v>
      </c>
      <c r="E6" s="21">
        <v>1.02</v>
      </c>
      <c r="F6" s="22">
        <v>0.75</v>
      </c>
      <c r="G6" s="22">
        <v>1.37</v>
      </c>
      <c r="H6" s="22"/>
      <c r="I6" s="23"/>
      <c r="J6" s="17">
        <v>2008</v>
      </c>
      <c r="K6" s="20" t="s">
        <v>27</v>
      </c>
      <c r="L6" s="4" t="s">
        <v>24</v>
      </c>
      <c r="M6" s="4" t="s">
        <v>21</v>
      </c>
      <c r="N6" s="4" t="s">
        <v>177</v>
      </c>
      <c r="O6" s="4"/>
    </row>
    <row r="7" spans="2:15">
      <c r="B7" s="15"/>
      <c r="C7" s="15"/>
      <c r="D7" s="24" t="s">
        <v>57</v>
      </c>
      <c r="E7" s="21">
        <v>0.1</v>
      </c>
      <c r="F7" s="22"/>
      <c r="G7" s="22"/>
      <c r="H7" s="22"/>
      <c r="I7" s="23"/>
      <c r="J7" s="17">
        <v>2003</v>
      </c>
      <c r="K7" s="20" t="s">
        <v>27</v>
      </c>
      <c r="L7" s="4" t="s">
        <v>61</v>
      </c>
      <c r="M7" s="4"/>
      <c r="N7" s="4"/>
      <c r="O7" s="4"/>
    </row>
    <row r="8" spans="2:15">
      <c r="B8" s="15"/>
      <c r="C8" s="15" t="s">
        <v>59</v>
      </c>
      <c r="D8" s="24" t="s">
        <v>64</v>
      </c>
      <c r="E8" s="21">
        <v>0.61</v>
      </c>
      <c r="F8" s="22">
        <v>0.31</v>
      </c>
      <c r="G8" s="22">
        <v>0.9</v>
      </c>
      <c r="H8" s="22"/>
      <c r="I8" s="23"/>
      <c r="J8" s="17">
        <v>2017</v>
      </c>
      <c r="K8" s="20" t="s">
        <v>27</v>
      </c>
      <c r="L8" s="4" t="s">
        <v>61</v>
      </c>
      <c r="M8" s="4" t="s">
        <v>44</v>
      </c>
      <c r="N8" s="4" t="s">
        <v>45</v>
      </c>
      <c r="O8" s="4" t="s">
        <v>409</v>
      </c>
    </row>
    <row r="9" spans="2:15">
      <c r="B9" s="15"/>
      <c r="C9" s="15"/>
      <c r="D9" s="24" t="s">
        <v>71</v>
      </c>
      <c r="E9" s="21">
        <v>0.09</v>
      </c>
      <c r="F9" s="22">
        <v>0</v>
      </c>
      <c r="G9" s="22">
        <v>1</v>
      </c>
      <c r="H9" s="22"/>
      <c r="I9" s="23"/>
      <c r="J9" s="17">
        <v>2017</v>
      </c>
      <c r="K9" s="20" t="s">
        <v>27</v>
      </c>
      <c r="L9" s="4" t="s">
        <v>69</v>
      </c>
      <c r="M9" s="4" t="s">
        <v>70</v>
      </c>
      <c r="N9" s="4"/>
      <c r="O9" s="4" t="s">
        <v>409</v>
      </c>
    </row>
    <row r="10" spans="2:15">
      <c r="B10" s="15"/>
      <c r="C10" s="15"/>
      <c r="D10" s="24" t="s">
        <v>71</v>
      </c>
      <c r="E10" s="21">
        <v>1.4</v>
      </c>
      <c r="F10" s="22">
        <v>0.71</v>
      </c>
      <c r="G10" s="22">
        <v>2.0099999999999998</v>
      </c>
      <c r="H10" s="22"/>
      <c r="I10" s="23"/>
      <c r="J10" s="17">
        <v>2008</v>
      </c>
      <c r="K10" s="20" t="s">
        <v>27</v>
      </c>
      <c r="L10" s="4" t="s">
        <v>24</v>
      </c>
      <c r="M10" s="4" t="s">
        <v>21</v>
      </c>
      <c r="N10" s="4" t="s">
        <v>67</v>
      </c>
      <c r="O10" s="4"/>
    </row>
    <row r="11" spans="2:15">
      <c r="B11" s="15"/>
      <c r="C11" s="15"/>
      <c r="D11" s="24" t="s">
        <v>71</v>
      </c>
      <c r="E11" s="21">
        <v>1.05</v>
      </c>
      <c r="F11" s="22"/>
      <c r="G11" s="22"/>
      <c r="H11" s="22"/>
      <c r="I11" s="23"/>
      <c r="J11" s="17">
        <v>1999</v>
      </c>
      <c r="K11" s="20"/>
      <c r="L11" s="4" t="s">
        <v>58</v>
      </c>
      <c r="M11" s="4"/>
      <c r="N11" s="4"/>
      <c r="O11" s="4"/>
    </row>
    <row r="12" spans="2:15">
      <c r="B12" s="15" t="s">
        <v>76</v>
      </c>
      <c r="C12" s="15" t="s">
        <v>77</v>
      </c>
      <c r="D12" s="24" t="s">
        <v>78</v>
      </c>
      <c r="E12" s="21">
        <v>0.43</v>
      </c>
      <c r="F12" s="22">
        <v>0.13</v>
      </c>
      <c r="G12" s="22">
        <v>1.06</v>
      </c>
      <c r="H12" s="22"/>
      <c r="I12" s="23"/>
      <c r="J12" s="17">
        <v>2008</v>
      </c>
      <c r="K12" s="20" t="s">
        <v>27</v>
      </c>
      <c r="L12" s="4" t="s">
        <v>24</v>
      </c>
      <c r="M12" s="4" t="s">
        <v>44</v>
      </c>
      <c r="N12" s="4" t="s">
        <v>33</v>
      </c>
      <c r="O12" s="4"/>
    </row>
    <row r="13" spans="2:15">
      <c r="B13" s="15"/>
      <c r="C13" s="15"/>
      <c r="D13" s="24" t="s">
        <v>78</v>
      </c>
      <c r="E13" s="21">
        <v>0.28999999999999998</v>
      </c>
      <c r="F13" s="22"/>
      <c r="G13" s="22"/>
      <c r="H13" s="22"/>
      <c r="I13" s="23"/>
      <c r="J13" s="17">
        <v>2003</v>
      </c>
      <c r="K13" s="20" t="s">
        <v>27</v>
      </c>
      <c r="L13" s="4" t="s">
        <v>58</v>
      </c>
      <c r="M13" s="4"/>
      <c r="N13" s="4" t="s">
        <v>75</v>
      </c>
      <c r="O13" s="4"/>
    </row>
    <row r="14" spans="2:15">
      <c r="B14" s="15"/>
      <c r="C14" s="15"/>
      <c r="D14" s="24" t="s">
        <v>80</v>
      </c>
      <c r="E14" s="21">
        <v>0.2</v>
      </c>
      <c r="F14" s="22"/>
      <c r="G14" s="22"/>
      <c r="H14" s="22"/>
      <c r="I14" s="23"/>
      <c r="J14" s="17">
        <v>2006</v>
      </c>
      <c r="K14" s="20" t="s">
        <v>79</v>
      </c>
      <c r="L14" s="4" t="s">
        <v>81</v>
      </c>
      <c r="M14" s="4" t="s">
        <v>21</v>
      </c>
      <c r="N14" s="4" t="s">
        <v>410</v>
      </c>
      <c r="O14" s="4"/>
    </row>
    <row r="15" spans="2:15">
      <c r="B15" s="15"/>
      <c r="C15" s="15"/>
      <c r="D15" s="24" t="s">
        <v>82</v>
      </c>
      <c r="E15" s="21">
        <v>0.95</v>
      </c>
      <c r="F15" s="22">
        <v>0.04</v>
      </c>
      <c r="G15" s="22">
        <v>2.59</v>
      </c>
      <c r="H15" s="22"/>
      <c r="I15" s="23"/>
      <c r="J15" s="17">
        <v>2008</v>
      </c>
      <c r="K15" s="20" t="s">
        <v>27</v>
      </c>
      <c r="L15" s="4" t="s">
        <v>24</v>
      </c>
      <c r="M15" s="4" t="s">
        <v>44</v>
      </c>
      <c r="N15" s="4" t="s">
        <v>411</v>
      </c>
      <c r="O15" s="4"/>
    </row>
    <row r="16" spans="2:15">
      <c r="B16" s="15"/>
      <c r="C16" s="15"/>
      <c r="D16" s="24" t="s">
        <v>82</v>
      </c>
      <c r="E16" s="21">
        <v>1.1000000000000001</v>
      </c>
      <c r="F16" s="22"/>
      <c r="G16" s="22"/>
      <c r="H16" s="22"/>
      <c r="I16" s="23"/>
      <c r="J16" s="17">
        <v>2003</v>
      </c>
      <c r="K16" s="20" t="s">
        <v>27</v>
      </c>
      <c r="L16" s="4" t="s">
        <v>58</v>
      </c>
      <c r="M16" s="4"/>
      <c r="N16" s="4" t="s">
        <v>75</v>
      </c>
      <c r="O16" s="4"/>
    </row>
    <row r="17" spans="2:15">
      <c r="B17" s="15"/>
      <c r="C17" s="15"/>
      <c r="D17" s="24" t="s">
        <v>412</v>
      </c>
      <c r="E17" s="21">
        <v>0.7</v>
      </c>
      <c r="F17" s="22"/>
      <c r="G17" s="22"/>
      <c r="H17" s="22"/>
      <c r="I17" s="23"/>
      <c r="J17" s="17">
        <v>2005</v>
      </c>
      <c r="K17" s="20" t="s">
        <v>27</v>
      </c>
      <c r="L17" s="4" t="s">
        <v>24</v>
      </c>
      <c r="M17" s="4"/>
      <c r="N17" s="4"/>
      <c r="O17" s="4"/>
    </row>
    <row r="18" spans="2:15">
      <c r="B18" s="15"/>
      <c r="C18" s="15"/>
      <c r="D18" s="24" t="s">
        <v>83</v>
      </c>
      <c r="E18" s="21">
        <v>6.1</v>
      </c>
      <c r="F18" s="22"/>
      <c r="G18" s="22"/>
      <c r="H18" s="22">
        <v>6.7</v>
      </c>
      <c r="I18" s="23">
        <v>5.7</v>
      </c>
      <c r="J18" s="17">
        <v>2018</v>
      </c>
      <c r="K18" s="20" t="s">
        <v>27</v>
      </c>
      <c r="L18" s="4" t="s">
        <v>24</v>
      </c>
      <c r="M18" s="4" t="s">
        <v>21</v>
      </c>
      <c r="N18" s="4"/>
      <c r="O18" s="4" t="s">
        <v>413</v>
      </c>
    </row>
    <row r="19" spans="2:15">
      <c r="B19" s="15"/>
      <c r="C19" s="15"/>
      <c r="D19" s="24" t="s">
        <v>84</v>
      </c>
      <c r="E19" s="21">
        <v>0.81</v>
      </c>
      <c r="F19" s="22">
        <v>0.13</v>
      </c>
      <c r="G19" s="22">
        <v>1.5</v>
      </c>
      <c r="H19" s="22"/>
      <c r="I19" s="23"/>
      <c r="J19" s="17">
        <v>2010</v>
      </c>
      <c r="K19" s="20" t="s">
        <v>27</v>
      </c>
      <c r="L19" s="4" t="s">
        <v>24</v>
      </c>
      <c r="M19" s="4" t="s">
        <v>44</v>
      </c>
      <c r="N19" s="4" t="s">
        <v>33</v>
      </c>
      <c r="O19" s="4"/>
    </row>
    <row r="20" spans="2:15">
      <c r="B20" s="15"/>
      <c r="C20" s="15"/>
      <c r="D20" s="24" t="s">
        <v>84</v>
      </c>
      <c r="E20" s="21">
        <v>1.1399999999999999</v>
      </c>
      <c r="F20" s="22">
        <v>0.39</v>
      </c>
      <c r="G20" s="22">
        <v>1.91</v>
      </c>
      <c r="H20" s="22"/>
      <c r="I20" s="23"/>
      <c r="J20" s="17">
        <v>2006</v>
      </c>
      <c r="K20" s="20" t="s">
        <v>27</v>
      </c>
      <c r="L20" s="4" t="s">
        <v>125</v>
      </c>
      <c r="M20" s="4" t="s">
        <v>74</v>
      </c>
      <c r="N20" s="4" t="s">
        <v>75</v>
      </c>
      <c r="O20" s="4"/>
    </row>
    <row r="21" spans="2:15">
      <c r="B21" s="15"/>
      <c r="C21" s="15"/>
      <c r="D21" s="24" t="s">
        <v>88</v>
      </c>
      <c r="E21" s="21">
        <v>0.43</v>
      </c>
      <c r="F21" s="22">
        <v>0.13</v>
      </c>
      <c r="G21" s="22">
        <v>1.06</v>
      </c>
      <c r="H21" s="22"/>
      <c r="I21" s="23"/>
      <c r="J21" s="17">
        <v>2005</v>
      </c>
      <c r="K21" s="20" t="s">
        <v>27</v>
      </c>
      <c r="L21" s="4" t="s">
        <v>36</v>
      </c>
      <c r="M21" s="4" t="s">
        <v>44</v>
      </c>
      <c r="N21" s="4" t="s">
        <v>33</v>
      </c>
      <c r="O21" s="4"/>
    </row>
    <row r="22" spans="2:15">
      <c r="B22" s="15"/>
      <c r="C22" s="15"/>
      <c r="D22" s="24" t="s">
        <v>90</v>
      </c>
      <c r="E22" s="21">
        <v>0.7</v>
      </c>
      <c r="F22" s="22">
        <v>0.23</v>
      </c>
      <c r="G22" s="22">
        <v>1.38</v>
      </c>
      <c r="H22" s="22"/>
      <c r="I22" s="23"/>
      <c r="J22" s="17">
        <v>2006</v>
      </c>
      <c r="K22" s="20" t="s">
        <v>27</v>
      </c>
      <c r="L22" s="4" t="s">
        <v>61</v>
      </c>
      <c r="M22" s="4" t="s">
        <v>44</v>
      </c>
      <c r="N22" s="4" t="s">
        <v>411</v>
      </c>
      <c r="O22" s="4"/>
    </row>
    <row r="23" spans="2:15">
      <c r="B23" s="15"/>
      <c r="C23" s="15"/>
      <c r="D23" s="24" t="s">
        <v>90</v>
      </c>
      <c r="E23" s="21">
        <v>0.78</v>
      </c>
      <c r="F23" s="22"/>
      <c r="G23" s="22"/>
      <c r="H23" s="22"/>
      <c r="I23" s="23"/>
      <c r="J23" s="17">
        <v>2002</v>
      </c>
      <c r="K23" s="20" t="s">
        <v>27</v>
      </c>
      <c r="L23" s="4" t="s">
        <v>58</v>
      </c>
      <c r="M23" s="4"/>
      <c r="N23" s="4" t="s">
        <v>75</v>
      </c>
      <c r="O23" s="4"/>
    </row>
    <row r="24" spans="2:15">
      <c r="B24" s="15"/>
      <c r="C24" s="15" t="s">
        <v>91</v>
      </c>
      <c r="D24" s="24" t="s">
        <v>92</v>
      </c>
      <c r="E24" s="21">
        <v>1.35</v>
      </c>
      <c r="F24" s="22"/>
      <c r="G24" s="22"/>
      <c r="H24" s="22"/>
      <c r="I24" s="23"/>
      <c r="J24" s="17">
        <v>2005</v>
      </c>
      <c r="K24" s="20" t="s">
        <v>79</v>
      </c>
      <c r="L24" s="4" t="s">
        <v>81</v>
      </c>
      <c r="M24" s="4" t="s">
        <v>21</v>
      </c>
      <c r="N24" s="4" t="s">
        <v>410</v>
      </c>
      <c r="O24" s="4"/>
    </row>
    <row r="25" spans="2:15">
      <c r="B25" s="15"/>
      <c r="C25" s="15"/>
      <c r="D25" s="24" t="s">
        <v>93</v>
      </c>
      <c r="E25" s="21">
        <v>2E-3</v>
      </c>
      <c r="F25" s="22"/>
      <c r="G25" s="22"/>
      <c r="H25" s="22">
        <v>0</v>
      </c>
      <c r="I25" s="23" t="s">
        <v>414</v>
      </c>
      <c r="J25" s="17">
        <v>2015</v>
      </c>
      <c r="K25" s="20" t="s">
        <v>94</v>
      </c>
      <c r="L25" s="4" t="s">
        <v>24</v>
      </c>
      <c r="M25" s="4" t="s">
        <v>21</v>
      </c>
      <c r="N25" s="4"/>
      <c r="O25" s="4" t="s">
        <v>415</v>
      </c>
    </row>
    <row r="26" spans="2:15">
      <c r="B26" s="15"/>
      <c r="C26" s="15"/>
      <c r="D26" s="24" t="s">
        <v>95</v>
      </c>
      <c r="E26" s="21">
        <v>0.38</v>
      </c>
      <c r="F26" s="22">
        <v>0.24</v>
      </c>
      <c r="G26" s="22">
        <v>0.54</v>
      </c>
      <c r="H26" s="22">
        <v>0.54</v>
      </c>
      <c r="I26" s="23">
        <v>0.23</v>
      </c>
      <c r="J26" s="17">
        <v>2014</v>
      </c>
      <c r="K26" s="20" t="s">
        <v>79</v>
      </c>
      <c r="L26" s="4" t="s">
        <v>112</v>
      </c>
      <c r="M26" s="4" t="s">
        <v>21</v>
      </c>
      <c r="N26" s="4" t="s">
        <v>416</v>
      </c>
      <c r="O26" s="4" t="s">
        <v>417</v>
      </c>
    </row>
    <row r="27" spans="2:15">
      <c r="B27" s="15"/>
      <c r="C27" s="15"/>
      <c r="D27" s="24" t="s">
        <v>96</v>
      </c>
      <c r="E27" s="21">
        <v>0.91</v>
      </c>
      <c r="F27" s="22"/>
      <c r="G27" s="22"/>
      <c r="H27" s="22"/>
      <c r="I27" s="23"/>
      <c r="J27" s="17">
        <v>2005</v>
      </c>
      <c r="K27" s="20" t="s">
        <v>27</v>
      </c>
      <c r="L27" s="4" t="s">
        <v>61</v>
      </c>
      <c r="M27" s="4"/>
      <c r="N27" s="4" t="s">
        <v>33</v>
      </c>
      <c r="O27" s="4"/>
    </row>
    <row r="28" spans="2:15">
      <c r="B28" s="15"/>
      <c r="C28" s="15"/>
      <c r="D28" s="24" t="s">
        <v>99</v>
      </c>
      <c r="E28" s="21">
        <v>0.84</v>
      </c>
      <c r="F28" s="22"/>
      <c r="G28" s="22"/>
      <c r="H28" s="22"/>
      <c r="I28" s="23"/>
      <c r="J28" s="17">
        <v>2005</v>
      </c>
      <c r="K28" s="20" t="s">
        <v>27</v>
      </c>
      <c r="L28" s="4" t="s">
        <v>61</v>
      </c>
      <c r="M28" s="4"/>
      <c r="N28" s="4" t="s">
        <v>418</v>
      </c>
      <c r="O28" s="4"/>
    </row>
    <row r="29" spans="2:15">
      <c r="B29" s="15"/>
      <c r="C29" s="15"/>
      <c r="D29" s="24" t="s">
        <v>100</v>
      </c>
      <c r="E29" s="21">
        <v>0.76</v>
      </c>
      <c r="F29" s="22"/>
      <c r="G29" s="22"/>
      <c r="H29" s="22"/>
      <c r="I29" s="23"/>
      <c r="J29" s="17">
        <v>2003</v>
      </c>
      <c r="K29" s="20" t="s">
        <v>27</v>
      </c>
      <c r="L29" s="4" t="s">
        <v>61</v>
      </c>
      <c r="M29" s="4"/>
      <c r="N29" s="4" t="s">
        <v>45</v>
      </c>
      <c r="O29" s="4"/>
    </row>
    <row r="30" spans="2:15">
      <c r="B30" s="15"/>
      <c r="C30" s="15"/>
      <c r="D30" s="24" t="s">
        <v>102</v>
      </c>
      <c r="E30" s="21">
        <v>1.2</v>
      </c>
      <c r="F30" s="22"/>
      <c r="G30" s="22"/>
      <c r="H30" s="22"/>
      <c r="I30" s="23"/>
      <c r="J30" s="17">
        <v>2003</v>
      </c>
      <c r="K30" s="20" t="s">
        <v>79</v>
      </c>
      <c r="L30" s="4" t="s">
        <v>81</v>
      </c>
      <c r="M30" s="4" t="s">
        <v>21</v>
      </c>
      <c r="N30" s="4" t="s">
        <v>410</v>
      </c>
      <c r="O30" s="4"/>
    </row>
    <row r="31" spans="2:15">
      <c r="B31" s="15"/>
      <c r="C31" s="15" t="s">
        <v>104</v>
      </c>
      <c r="D31" s="24" t="s">
        <v>105</v>
      </c>
      <c r="E31" s="21">
        <v>0.1</v>
      </c>
      <c r="F31" s="22">
        <v>0</v>
      </c>
      <c r="G31" s="22">
        <v>0.1</v>
      </c>
      <c r="H31" s="22"/>
      <c r="I31" s="23"/>
      <c r="J31" s="17">
        <v>2009</v>
      </c>
      <c r="K31" s="20" t="s">
        <v>106</v>
      </c>
      <c r="L31" s="4" t="s">
        <v>36</v>
      </c>
      <c r="M31" s="4" t="s">
        <v>21</v>
      </c>
      <c r="N31" s="4"/>
      <c r="O31" s="4"/>
    </row>
    <row r="32" spans="2:15">
      <c r="B32" s="15"/>
      <c r="C32" s="15"/>
      <c r="D32" s="24" t="s">
        <v>107</v>
      </c>
      <c r="E32" s="21">
        <v>0.49483058699999999</v>
      </c>
      <c r="F32" s="22">
        <v>0.40810812200000002</v>
      </c>
      <c r="G32" s="22">
        <v>0.59987046799999999</v>
      </c>
      <c r="H32" s="22">
        <v>0.62782197900000003</v>
      </c>
      <c r="I32" s="23">
        <v>0.36516399399999999</v>
      </c>
      <c r="J32" s="17">
        <v>2023</v>
      </c>
      <c r="K32" s="20" t="s">
        <v>50</v>
      </c>
      <c r="L32" s="4" t="s">
        <v>36</v>
      </c>
      <c r="M32" s="4" t="s">
        <v>21</v>
      </c>
      <c r="N32" s="4"/>
      <c r="O32" s="4" t="s">
        <v>419</v>
      </c>
    </row>
    <row r="33" spans="2:15">
      <c r="B33" s="15"/>
      <c r="C33" s="15"/>
      <c r="D33" s="24" t="s">
        <v>107</v>
      </c>
      <c r="E33" s="21">
        <v>0.5</v>
      </c>
      <c r="F33" s="22">
        <v>0.2</v>
      </c>
      <c r="G33" s="22">
        <v>0.7</v>
      </c>
      <c r="H33" s="22">
        <v>0.8</v>
      </c>
      <c r="I33" s="23">
        <v>0.1</v>
      </c>
      <c r="J33" s="17">
        <v>2019</v>
      </c>
      <c r="K33" s="20" t="s">
        <v>50</v>
      </c>
      <c r="L33" s="4" t="s">
        <v>109</v>
      </c>
      <c r="M33" s="4" t="s">
        <v>21</v>
      </c>
      <c r="N33" s="4"/>
      <c r="O33" s="4" t="s">
        <v>415</v>
      </c>
    </row>
    <row r="34" spans="2:15">
      <c r="B34" s="15"/>
      <c r="C34" s="15"/>
      <c r="D34" s="24" t="s">
        <v>107</v>
      </c>
      <c r="E34" s="21">
        <v>0.4</v>
      </c>
      <c r="F34" s="22"/>
      <c r="G34" s="22"/>
      <c r="H34" s="22"/>
      <c r="I34" s="23">
        <v>0.08</v>
      </c>
      <c r="J34" s="17">
        <v>2017</v>
      </c>
      <c r="K34" s="20" t="s">
        <v>50</v>
      </c>
      <c r="L34" s="4" t="s">
        <v>24</v>
      </c>
      <c r="M34" s="4" t="s">
        <v>21</v>
      </c>
      <c r="N34" s="4"/>
      <c r="O34" s="4" t="s">
        <v>420</v>
      </c>
    </row>
    <row r="35" spans="2:15">
      <c r="B35" s="15"/>
      <c r="C35" s="15"/>
      <c r="D35" s="24" t="s">
        <v>107</v>
      </c>
      <c r="E35" s="21">
        <v>0.25</v>
      </c>
      <c r="F35" s="22"/>
      <c r="G35" s="22"/>
      <c r="H35" s="22"/>
      <c r="I35" s="23"/>
      <c r="J35" s="17">
        <v>2015</v>
      </c>
      <c r="K35" s="20" t="s">
        <v>27</v>
      </c>
      <c r="L35" s="4" t="s">
        <v>24</v>
      </c>
      <c r="M35" s="4" t="s">
        <v>21</v>
      </c>
      <c r="N35" s="4"/>
      <c r="O35" s="4" t="s">
        <v>420</v>
      </c>
    </row>
    <row r="36" spans="2:15">
      <c r="B36" s="15"/>
      <c r="C36" s="15"/>
      <c r="D36" s="24" t="s">
        <v>107</v>
      </c>
      <c r="E36" s="21">
        <v>1.6</v>
      </c>
      <c r="F36" s="22"/>
      <c r="G36" s="22"/>
      <c r="H36" s="22">
        <v>2.1</v>
      </c>
      <c r="I36" s="23">
        <v>1.1000000000000001</v>
      </c>
      <c r="J36" s="17">
        <v>2012</v>
      </c>
      <c r="K36" s="20" t="s">
        <v>27</v>
      </c>
      <c r="L36" s="4" t="s">
        <v>24</v>
      </c>
      <c r="M36" s="4" t="s">
        <v>21</v>
      </c>
      <c r="N36" s="4" t="s">
        <v>421</v>
      </c>
      <c r="O36" s="4" t="s">
        <v>417</v>
      </c>
    </row>
    <row r="37" spans="2:15">
      <c r="B37" s="15"/>
      <c r="C37" s="15"/>
      <c r="D37" s="24" t="s">
        <v>107</v>
      </c>
      <c r="E37" s="21">
        <v>1.2</v>
      </c>
      <c r="F37" s="22"/>
      <c r="G37" s="22"/>
      <c r="H37" s="22">
        <v>1.5</v>
      </c>
      <c r="I37" s="23">
        <v>0.9</v>
      </c>
      <c r="J37" s="17">
        <v>2011</v>
      </c>
      <c r="K37" s="20" t="s">
        <v>27</v>
      </c>
      <c r="L37" s="4" t="s">
        <v>24</v>
      </c>
      <c r="M37" s="4" t="s">
        <v>21</v>
      </c>
      <c r="N37" s="4" t="s">
        <v>421</v>
      </c>
      <c r="O37" s="4" t="s">
        <v>417</v>
      </c>
    </row>
    <row r="38" spans="2:15">
      <c r="B38" s="15"/>
      <c r="C38" s="15"/>
      <c r="D38" s="24" t="s">
        <v>107</v>
      </c>
      <c r="E38" s="21">
        <v>0.5</v>
      </c>
      <c r="F38" s="22"/>
      <c r="G38" s="22"/>
      <c r="H38" s="22"/>
      <c r="I38" s="23"/>
      <c r="J38" s="17">
        <v>2010</v>
      </c>
      <c r="K38" s="20" t="s">
        <v>27</v>
      </c>
      <c r="L38" s="4" t="s">
        <v>38</v>
      </c>
      <c r="M38" s="4" t="s">
        <v>51</v>
      </c>
      <c r="N38" s="4"/>
      <c r="O38" s="4"/>
    </row>
    <row r="39" spans="2:15">
      <c r="B39" s="15"/>
      <c r="C39" s="15"/>
      <c r="D39" s="24" t="s">
        <v>110</v>
      </c>
      <c r="E39" s="21">
        <v>0.3</v>
      </c>
      <c r="F39" s="22">
        <v>0.2</v>
      </c>
      <c r="G39" s="22">
        <v>0.4</v>
      </c>
      <c r="H39" s="22"/>
      <c r="I39" s="23"/>
      <c r="J39" s="17">
        <v>2016</v>
      </c>
      <c r="K39" s="20" t="s">
        <v>79</v>
      </c>
      <c r="L39" s="4" t="s">
        <v>122</v>
      </c>
      <c r="M39" s="4" t="s">
        <v>21</v>
      </c>
      <c r="N39" s="4"/>
      <c r="O39" s="4" t="s">
        <v>415</v>
      </c>
    </row>
    <row r="40" spans="2:15">
      <c r="B40" s="15"/>
      <c r="C40" s="15"/>
      <c r="D40" s="24" t="s">
        <v>110</v>
      </c>
      <c r="E40" s="21">
        <v>0.12</v>
      </c>
      <c r="F40" s="22">
        <v>0.04</v>
      </c>
      <c r="G40" s="22">
        <v>0.19</v>
      </c>
      <c r="H40" s="22">
        <v>0.2</v>
      </c>
      <c r="I40" s="23">
        <v>0.1</v>
      </c>
      <c r="J40" s="17">
        <v>2011</v>
      </c>
      <c r="K40" s="20" t="s">
        <v>79</v>
      </c>
      <c r="L40" s="4" t="s">
        <v>112</v>
      </c>
      <c r="M40" s="4" t="s">
        <v>21</v>
      </c>
      <c r="N40" s="4"/>
      <c r="O40" s="4"/>
    </row>
    <row r="41" spans="2:15">
      <c r="B41" s="15"/>
      <c r="C41" s="15"/>
      <c r="D41" s="24" t="s">
        <v>110</v>
      </c>
      <c r="E41" s="21">
        <v>0.02</v>
      </c>
      <c r="F41" s="22"/>
      <c r="G41" s="22"/>
      <c r="H41" s="22"/>
      <c r="I41" s="23"/>
      <c r="J41" s="17">
        <v>2008</v>
      </c>
      <c r="K41" s="20" t="s">
        <v>79</v>
      </c>
      <c r="L41" s="4" t="s">
        <v>36</v>
      </c>
      <c r="M41" s="4" t="s">
        <v>21</v>
      </c>
      <c r="N41" s="4"/>
      <c r="O41" s="4"/>
    </row>
    <row r="42" spans="2:15">
      <c r="B42" s="15"/>
      <c r="C42" s="15"/>
      <c r="D42" s="24" t="s">
        <v>113</v>
      </c>
      <c r="E42" s="21">
        <v>1.0938081669999999</v>
      </c>
      <c r="F42" s="22"/>
      <c r="G42" s="22"/>
      <c r="H42" s="22">
        <v>1.3624807329999999</v>
      </c>
      <c r="I42" s="23">
        <v>0.93357484499999999</v>
      </c>
      <c r="J42" s="17">
        <v>2023</v>
      </c>
      <c r="K42" s="20" t="s">
        <v>27</v>
      </c>
      <c r="L42" s="4" t="s">
        <v>97</v>
      </c>
      <c r="M42" s="4" t="s">
        <v>21</v>
      </c>
      <c r="N42" s="4" t="s">
        <v>37</v>
      </c>
      <c r="O42" s="4" t="s">
        <v>422</v>
      </c>
    </row>
    <row r="43" spans="2:15">
      <c r="B43" s="15"/>
      <c r="C43" s="15"/>
      <c r="D43" s="24" t="s">
        <v>113</v>
      </c>
      <c r="E43" s="21">
        <v>1.2153424079999999</v>
      </c>
      <c r="F43" s="22" t="s">
        <v>360</v>
      </c>
      <c r="G43" s="22" t="s">
        <v>360</v>
      </c>
      <c r="H43" s="22">
        <v>1.4760207940000001</v>
      </c>
      <c r="I43" s="23">
        <v>0.80020701000000005</v>
      </c>
      <c r="J43" s="17">
        <v>2022</v>
      </c>
      <c r="K43" s="20" t="s">
        <v>27</v>
      </c>
      <c r="L43" s="4" t="s">
        <v>97</v>
      </c>
      <c r="M43" s="4" t="s">
        <v>21</v>
      </c>
      <c r="N43" s="4" t="s">
        <v>37</v>
      </c>
      <c r="O43" s="4" t="s">
        <v>423</v>
      </c>
    </row>
    <row r="44" spans="2:15">
      <c r="B44" s="15"/>
      <c r="C44" s="15"/>
      <c r="D44" s="24" t="s">
        <v>113</v>
      </c>
      <c r="E44" s="21">
        <v>1.1000000000000001</v>
      </c>
      <c r="F44" s="22"/>
      <c r="G44" s="22"/>
      <c r="H44" s="22">
        <v>1.2776628080000001</v>
      </c>
      <c r="I44" s="23">
        <v>0.90446129399999997</v>
      </c>
      <c r="J44" s="17">
        <v>2021</v>
      </c>
      <c r="K44" s="20" t="s">
        <v>27</v>
      </c>
      <c r="L44" s="4" t="s">
        <v>97</v>
      </c>
      <c r="M44" s="4" t="s">
        <v>21</v>
      </c>
      <c r="N44" s="4" t="s">
        <v>37</v>
      </c>
      <c r="O44" s="4" t="s">
        <v>424</v>
      </c>
    </row>
    <row r="45" spans="2:15">
      <c r="B45" s="15"/>
      <c r="C45" s="15"/>
      <c r="D45" s="24" t="s">
        <v>113</v>
      </c>
      <c r="E45" s="21">
        <v>5.6499999999999995</v>
      </c>
      <c r="F45" s="22">
        <v>5.0999999999999996</v>
      </c>
      <c r="G45" s="22">
        <v>6.1999999999999993</v>
      </c>
      <c r="H45" s="22">
        <v>5.85</v>
      </c>
      <c r="I45" s="23">
        <v>5.55</v>
      </c>
      <c r="J45" s="17">
        <v>2020</v>
      </c>
      <c r="K45" s="20" t="s">
        <v>27</v>
      </c>
      <c r="L45" s="4" t="s">
        <v>425</v>
      </c>
      <c r="M45" s="4" t="s">
        <v>21</v>
      </c>
      <c r="N45" s="4"/>
      <c r="O45" s="4" t="s">
        <v>415</v>
      </c>
    </row>
    <row r="46" spans="2:15">
      <c r="B46" s="15"/>
      <c r="C46" s="15"/>
      <c r="D46" s="24" t="s">
        <v>113</v>
      </c>
      <c r="E46" s="21">
        <v>3.3</v>
      </c>
      <c r="F46" s="22"/>
      <c r="G46" s="22"/>
      <c r="H46" s="22">
        <v>3.6</v>
      </c>
      <c r="I46" s="23">
        <v>2.8</v>
      </c>
      <c r="J46" s="17">
        <v>2018</v>
      </c>
      <c r="K46" s="20" t="s">
        <v>27</v>
      </c>
      <c r="L46" s="4" t="s">
        <v>24</v>
      </c>
      <c r="M46" s="4" t="s">
        <v>21</v>
      </c>
      <c r="N46" s="4"/>
      <c r="O46" s="4" t="s">
        <v>426</v>
      </c>
    </row>
    <row r="47" spans="2:15">
      <c r="B47" s="15"/>
      <c r="C47" s="15"/>
      <c r="D47" s="24" t="s">
        <v>113</v>
      </c>
      <c r="E47" s="21">
        <v>3.1</v>
      </c>
      <c r="F47" s="22">
        <v>2.7</v>
      </c>
      <c r="G47" s="22">
        <v>3.5</v>
      </c>
      <c r="H47" s="22"/>
      <c r="I47" s="23"/>
      <c r="J47" s="17">
        <v>2017</v>
      </c>
      <c r="K47" s="20" t="s">
        <v>27</v>
      </c>
      <c r="L47" s="4" t="s">
        <v>373</v>
      </c>
      <c r="M47" s="4" t="s">
        <v>21</v>
      </c>
      <c r="N47" s="4" t="s">
        <v>421</v>
      </c>
      <c r="O47" s="4" t="s">
        <v>426</v>
      </c>
    </row>
    <row r="48" spans="2:15">
      <c r="B48" s="15"/>
      <c r="C48" s="15"/>
      <c r="D48" s="24" t="s">
        <v>113</v>
      </c>
      <c r="E48" s="21">
        <v>2.95</v>
      </c>
      <c r="F48" s="22">
        <v>2.6</v>
      </c>
      <c r="G48" s="22">
        <v>3.3</v>
      </c>
      <c r="H48" s="22"/>
      <c r="I48" s="23"/>
      <c r="J48" s="17">
        <v>2016</v>
      </c>
      <c r="K48" s="20" t="s">
        <v>27</v>
      </c>
      <c r="L48" s="4" t="s">
        <v>61</v>
      </c>
      <c r="M48" s="4" t="s">
        <v>21</v>
      </c>
      <c r="N48" s="4" t="s">
        <v>421</v>
      </c>
      <c r="O48" s="4" t="s">
        <v>426</v>
      </c>
    </row>
    <row r="49" spans="2:15">
      <c r="B49" s="15"/>
      <c r="C49" s="15"/>
      <c r="D49" s="24" t="s">
        <v>113</v>
      </c>
      <c r="E49" s="21">
        <v>2.9</v>
      </c>
      <c r="F49" s="22">
        <v>2.5</v>
      </c>
      <c r="G49" s="22">
        <v>3.3</v>
      </c>
      <c r="H49" s="22"/>
      <c r="I49" s="23"/>
      <c r="J49" s="17">
        <v>2015</v>
      </c>
      <c r="K49" s="20" t="s">
        <v>27</v>
      </c>
      <c r="L49" s="4" t="s">
        <v>61</v>
      </c>
      <c r="M49" s="4" t="s">
        <v>21</v>
      </c>
      <c r="N49" s="4" t="s">
        <v>421</v>
      </c>
      <c r="O49" s="4" t="s">
        <v>426</v>
      </c>
    </row>
    <row r="50" spans="2:15">
      <c r="B50" s="15"/>
      <c r="C50" s="15"/>
      <c r="D50" s="24" t="s">
        <v>113</v>
      </c>
      <c r="E50" s="21">
        <v>1.7</v>
      </c>
      <c r="F50" s="22"/>
      <c r="G50" s="22"/>
      <c r="H50" s="22"/>
      <c r="I50" s="23"/>
      <c r="J50" s="17">
        <v>2014</v>
      </c>
      <c r="K50" s="20" t="s">
        <v>27</v>
      </c>
      <c r="L50" s="4" t="s">
        <v>427</v>
      </c>
      <c r="M50" s="4"/>
      <c r="N50" s="4"/>
      <c r="O50" s="4"/>
    </row>
    <row r="51" spans="2:15">
      <c r="B51" s="15"/>
      <c r="C51" s="15"/>
      <c r="D51" s="24" t="s">
        <v>113</v>
      </c>
      <c r="E51" s="21">
        <v>1.9</v>
      </c>
      <c r="F51" s="22"/>
      <c r="G51" s="22"/>
      <c r="H51" s="22">
        <v>2.2000000000000002</v>
      </c>
      <c r="I51" s="23">
        <v>1.7</v>
      </c>
      <c r="J51" s="17">
        <v>2013</v>
      </c>
      <c r="K51" s="20" t="s">
        <v>27</v>
      </c>
      <c r="L51" s="4" t="s">
        <v>24</v>
      </c>
      <c r="M51" s="4" t="s">
        <v>21</v>
      </c>
      <c r="N51" s="4" t="s">
        <v>421</v>
      </c>
      <c r="O51" s="4" t="s">
        <v>417</v>
      </c>
    </row>
    <row r="52" spans="2:15">
      <c r="B52" s="15"/>
      <c r="C52" s="15"/>
      <c r="D52" s="24" t="s">
        <v>113</v>
      </c>
      <c r="E52" s="21">
        <v>1.9</v>
      </c>
      <c r="F52" s="22">
        <v>1.6</v>
      </c>
      <c r="G52" s="22">
        <v>2.2000000000000002</v>
      </c>
      <c r="H52" s="22"/>
      <c r="I52" s="23"/>
      <c r="J52" s="17">
        <v>2012</v>
      </c>
      <c r="K52" s="20" t="s">
        <v>27</v>
      </c>
      <c r="L52" s="4" t="s">
        <v>24</v>
      </c>
      <c r="M52" s="4" t="s">
        <v>21</v>
      </c>
      <c r="N52" s="4" t="s">
        <v>421</v>
      </c>
      <c r="O52" s="4" t="s">
        <v>417</v>
      </c>
    </row>
    <row r="53" spans="2:15">
      <c r="B53" s="15"/>
      <c r="C53" s="15"/>
      <c r="D53" s="24" t="s">
        <v>113</v>
      </c>
      <c r="E53" s="21">
        <v>1.55</v>
      </c>
      <c r="F53" s="22">
        <v>1.3</v>
      </c>
      <c r="G53" s="22">
        <v>1.8</v>
      </c>
      <c r="H53" s="22"/>
      <c r="I53" s="23"/>
      <c r="J53" s="17">
        <v>2011</v>
      </c>
      <c r="K53" s="20" t="s">
        <v>27</v>
      </c>
      <c r="L53" s="4" t="s">
        <v>24</v>
      </c>
      <c r="M53" s="4" t="s">
        <v>21</v>
      </c>
      <c r="N53" s="4" t="s">
        <v>421</v>
      </c>
      <c r="O53" s="4"/>
    </row>
    <row r="54" spans="2:15">
      <c r="B54" s="15"/>
      <c r="C54" s="15"/>
      <c r="D54" s="24" t="s">
        <v>113</v>
      </c>
      <c r="E54" s="21">
        <v>1.8</v>
      </c>
      <c r="F54" s="22"/>
      <c r="G54" s="22"/>
      <c r="H54" s="22"/>
      <c r="I54" s="23"/>
      <c r="J54" s="17">
        <v>2010</v>
      </c>
      <c r="K54" s="20" t="s">
        <v>27</v>
      </c>
      <c r="L54" s="4" t="s">
        <v>38</v>
      </c>
      <c r="M54" s="4" t="s">
        <v>21</v>
      </c>
      <c r="N54" s="4"/>
      <c r="O54" s="4"/>
    </row>
    <row r="55" spans="2:15">
      <c r="B55" s="15"/>
      <c r="C55" s="15" t="s">
        <v>117</v>
      </c>
      <c r="D55" s="24" t="s">
        <v>120</v>
      </c>
      <c r="E55" s="21">
        <v>0.61</v>
      </c>
      <c r="F55" s="22"/>
      <c r="G55" s="22"/>
      <c r="H55" s="22">
        <v>0.54</v>
      </c>
      <c r="I55" s="23">
        <v>0.67</v>
      </c>
      <c r="J55" s="17">
        <v>2023</v>
      </c>
      <c r="K55" s="20" t="s">
        <v>79</v>
      </c>
      <c r="L55" s="4" t="s">
        <v>109</v>
      </c>
      <c r="M55" s="4" t="s">
        <v>21</v>
      </c>
      <c r="N55" s="4"/>
      <c r="O55" s="4" t="s">
        <v>428</v>
      </c>
    </row>
    <row r="56" spans="2:15">
      <c r="B56" s="15"/>
      <c r="C56" s="15"/>
      <c r="D56" s="24" t="s">
        <v>120</v>
      </c>
      <c r="E56" s="21">
        <v>0.1</v>
      </c>
      <c r="F56" s="22"/>
      <c r="G56" s="22"/>
      <c r="H56" s="22">
        <v>0.4</v>
      </c>
      <c r="I56" s="23">
        <v>0</v>
      </c>
      <c r="J56" s="17">
        <v>2014</v>
      </c>
      <c r="K56" s="20" t="s">
        <v>79</v>
      </c>
      <c r="L56" s="4" t="s">
        <v>24</v>
      </c>
      <c r="M56" s="4" t="s">
        <v>21</v>
      </c>
      <c r="N56" s="4"/>
      <c r="O56" s="4" t="s">
        <v>420</v>
      </c>
    </row>
    <row r="57" spans="2:15">
      <c r="B57" s="15"/>
      <c r="C57" s="15"/>
      <c r="D57" s="24" t="s">
        <v>120</v>
      </c>
      <c r="E57" s="21">
        <v>0.5</v>
      </c>
      <c r="F57" s="22"/>
      <c r="G57" s="22"/>
      <c r="H57" s="22">
        <v>0.5</v>
      </c>
      <c r="I57" s="23">
        <v>0.4</v>
      </c>
      <c r="J57" s="17">
        <v>2007</v>
      </c>
      <c r="K57" s="20" t="s">
        <v>79</v>
      </c>
      <c r="L57" s="4" t="s">
        <v>24</v>
      </c>
      <c r="M57" s="4" t="s">
        <v>21</v>
      </c>
      <c r="N57" s="4"/>
      <c r="O57" s="4" t="s">
        <v>417</v>
      </c>
    </row>
    <row r="58" spans="2:15">
      <c r="B58" s="15"/>
      <c r="C58" s="15"/>
      <c r="D58" s="24" t="s">
        <v>124</v>
      </c>
      <c r="E58" s="21">
        <v>1.23</v>
      </c>
      <c r="F58" s="22"/>
      <c r="G58" s="22"/>
      <c r="H58" s="22">
        <v>0.78</v>
      </c>
      <c r="I58" s="23">
        <v>1.64</v>
      </c>
      <c r="J58" s="17">
        <v>2012</v>
      </c>
      <c r="K58" s="20" t="s">
        <v>27</v>
      </c>
      <c r="L58" s="4" t="s">
        <v>36</v>
      </c>
      <c r="M58" s="4" t="s">
        <v>21</v>
      </c>
      <c r="N58" s="4"/>
      <c r="O58" s="4" t="s">
        <v>420</v>
      </c>
    </row>
    <row r="59" spans="2:15">
      <c r="B59" s="15"/>
      <c r="C59" s="15"/>
      <c r="D59" s="24" t="s">
        <v>126</v>
      </c>
      <c r="E59" s="21">
        <v>0.19</v>
      </c>
      <c r="F59" s="22"/>
      <c r="G59" s="22"/>
      <c r="H59" s="22">
        <v>0.3</v>
      </c>
      <c r="I59" s="23">
        <v>0.08</v>
      </c>
      <c r="J59" s="17">
        <v>2023</v>
      </c>
      <c r="K59" s="20" t="s">
        <v>27</v>
      </c>
      <c r="L59" s="4" t="s">
        <v>38</v>
      </c>
      <c r="M59" s="4" t="s">
        <v>51</v>
      </c>
      <c r="N59" s="4"/>
      <c r="O59" s="4" t="s">
        <v>127</v>
      </c>
    </row>
    <row r="60" spans="2:15">
      <c r="B60" s="15"/>
      <c r="C60" s="15"/>
      <c r="D60" s="24" t="s">
        <v>126</v>
      </c>
      <c r="E60" s="21">
        <v>0.18</v>
      </c>
      <c r="F60" s="22"/>
      <c r="G60" s="22"/>
      <c r="H60" s="22">
        <v>0.1</v>
      </c>
      <c r="I60" s="23"/>
      <c r="J60" s="17">
        <v>2020</v>
      </c>
      <c r="K60" s="20" t="s">
        <v>27</v>
      </c>
      <c r="L60" s="4" t="s">
        <v>24</v>
      </c>
      <c r="M60" s="4" t="s">
        <v>21</v>
      </c>
      <c r="N60" s="4"/>
      <c r="O60" s="4" t="s">
        <v>413</v>
      </c>
    </row>
    <row r="61" spans="2:15">
      <c r="B61" s="15"/>
      <c r="C61" s="15"/>
      <c r="D61" s="24" t="s">
        <v>126</v>
      </c>
      <c r="E61" s="21">
        <v>0.08</v>
      </c>
      <c r="F61" s="22"/>
      <c r="G61" s="22"/>
      <c r="H61" s="22">
        <v>0.14000000000000001</v>
      </c>
      <c r="I61" s="23">
        <v>0.03</v>
      </c>
      <c r="J61" s="17">
        <v>2018</v>
      </c>
      <c r="K61" s="20" t="s">
        <v>27</v>
      </c>
      <c r="L61" s="4" t="s">
        <v>24</v>
      </c>
      <c r="M61" s="4" t="s">
        <v>21</v>
      </c>
      <c r="N61" s="4"/>
      <c r="O61" s="4" t="s">
        <v>420</v>
      </c>
    </row>
    <row r="62" spans="2:15">
      <c r="B62" s="15"/>
      <c r="C62" s="15"/>
      <c r="D62" s="24" t="s">
        <v>126</v>
      </c>
      <c r="E62" s="21">
        <v>0.18</v>
      </c>
      <c r="F62" s="22"/>
      <c r="G62" s="22"/>
      <c r="H62" s="22">
        <v>0.25</v>
      </c>
      <c r="I62" s="23">
        <v>0.11</v>
      </c>
      <c r="J62" s="17">
        <v>2016</v>
      </c>
      <c r="K62" s="20" t="s">
        <v>27</v>
      </c>
      <c r="L62" s="4" t="s">
        <v>24</v>
      </c>
      <c r="M62" s="4" t="s">
        <v>21</v>
      </c>
      <c r="N62" s="4"/>
      <c r="O62" s="4" t="s">
        <v>420</v>
      </c>
    </row>
    <row r="63" spans="2:15">
      <c r="B63" s="15"/>
      <c r="C63" s="15"/>
      <c r="D63" s="24" t="s">
        <v>126</v>
      </c>
      <c r="E63" s="21">
        <v>0.06</v>
      </c>
      <c r="F63" s="22"/>
      <c r="G63" s="22"/>
      <c r="H63" s="22">
        <v>0.06</v>
      </c>
      <c r="I63" s="23">
        <v>0.06</v>
      </c>
      <c r="J63" s="17">
        <v>2014</v>
      </c>
      <c r="K63" s="20" t="s">
        <v>27</v>
      </c>
      <c r="L63" s="4" t="s">
        <v>24</v>
      </c>
      <c r="M63" s="4" t="s">
        <v>21</v>
      </c>
      <c r="N63" s="4"/>
      <c r="O63" s="4" t="s">
        <v>429</v>
      </c>
    </row>
    <row r="64" spans="2:15">
      <c r="B64" s="15"/>
      <c r="C64" s="15"/>
      <c r="D64" s="24" t="s">
        <v>126</v>
      </c>
      <c r="E64" s="21">
        <v>0.08</v>
      </c>
      <c r="F64" s="22"/>
      <c r="G64" s="22"/>
      <c r="H64" s="22">
        <v>0.14000000000000001</v>
      </c>
      <c r="I64" s="23">
        <v>0.03</v>
      </c>
      <c r="J64" s="17">
        <v>2012</v>
      </c>
      <c r="K64" s="20" t="s">
        <v>27</v>
      </c>
      <c r="L64" s="4" t="s">
        <v>24</v>
      </c>
      <c r="M64" s="4" t="s">
        <v>21</v>
      </c>
      <c r="N64" s="4"/>
      <c r="O64" s="4" t="s">
        <v>429</v>
      </c>
    </row>
    <row r="65" spans="2:15">
      <c r="B65" s="15"/>
      <c r="C65" s="15"/>
      <c r="D65" s="24" t="s">
        <v>126</v>
      </c>
      <c r="E65" s="21">
        <v>0.27</v>
      </c>
      <c r="F65" s="22">
        <v>0.17</v>
      </c>
      <c r="G65" s="22">
        <v>0.37</v>
      </c>
      <c r="H65" s="22"/>
      <c r="I65" s="23"/>
      <c r="J65" s="17">
        <v>2010</v>
      </c>
      <c r="K65" s="20" t="s">
        <v>27</v>
      </c>
      <c r="L65" s="4" t="s">
        <v>24</v>
      </c>
      <c r="M65" s="4" t="s">
        <v>21</v>
      </c>
      <c r="N65" s="4" t="s">
        <v>421</v>
      </c>
      <c r="O65" s="4"/>
    </row>
    <row r="66" spans="2:15">
      <c r="B66" s="15"/>
      <c r="C66" s="15"/>
      <c r="D66" s="24" t="s">
        <v>126</v>
      </c>
      <c r="E66" s="21">
        <v>0.4</v>
      </c>
      <c r="F66" s="22"/>
      <c r="G66" s="22"/>
      <c r="H66" s="22"/>
      <c r="I66" s="23"/>
      <c r="J66" s="17">
        <v>2008</v>
      </c>
      <c r="K66" s="20" t="s">
        <v>27</v>
      </c>
      <c r="L66" s="4" t="s">
        <v>38</v>
      </c>
      <c r="M66" s="4" t="s">
        <v>51</v>
      </c>
      <c r="N66" s="4"/>
      <c r="O66" s="4"/>
    </row>
    <row r="67" spans="2:15">
      <c r="B67" s="15"/>
      <c r="C67" s="15"/>
      <c r="D67" s="24" t="s">
        <v>129</v>
      </c>
      <c r="E67" s="21">
        <v>0.06</v>
      </c>
      <c r="F67" s="22"/>
      <c r="G67" s="22"/>
      <c r="H67" s="22"/>
      <c r="I67" s="23"/>
      <c r="J67" s="17">
        <v>2008</v>
      </c>
      <c r="K67" s="20" t="s">
        <v>79</v>
      </c>
      <c r="L67" s="4" t="s">
        <v>24</v>
      </c>
      <c r="M67" s="4" t="s">
        <v>21</v>
      </c>
      <c r="N67" s="4"/>
      <c r="O67" s="4" t="s">
        <v>417</v>
      </c>
    </row>
    <row r="68" spans="2:15">
      <c r="B68" s="15"/>
      <c r="C68" s="15"/>
      <c r="D68" s="24" t="s">
        <v>131</v>
      </c>
      <c r="E68" s="21">
        <v>0.2</v>
      </c>
      <c r="F68" s="22"/>
      <c r="G68" s="22"/>
      <c r="H68" s="22"/>
      <c r="I68" s="23"/>
      <c r="J68" s="17">
        <v>2007</v>
      </c>
      <c r="K68" s="20" t="s">
        <v>27</v>
      </c>
      <c r="L68" s="4" t="s">
        <v>24</v>
      </c>
      <c r="M68" s="4" t="s">
        <v>21</v>
      </c>
      <c r="N68" s="4" t="s">
        <v>421</v>
      </c>
      <c r="O68" s="4"/>
    </row>
    <row r="69" spans="2:15">
      <c r="B69" s="15"/>
      <c r="C69" s="15"/>
      <c r="D69" s="24" t="s">
        <v>131</v>
      </c>
      <c r="E69" s="21">
        <v>0.21</v>
      </c>
      <c r="F69" s="22"/>
      <c r="G69" s="22"/>
      <c r="H69" s="22"/>
      <c r="I69" s="23"/>
      <c r="J69" s="17">
        <v>2005</v>
      </c>
      <c r="K69" s="20" t="s">
        <v>27</v>
      </c>
      <c r="L69" s="4" t="s">
        <v>58</v>
      </c>
      <c r="M69" s="4" t="s">
        <v>44</v>
      </c>
      <c r="N69" s="4" t="s">
        <v>430</v>
      </c>
      <c r="O69" s="4"/>
    </row>
    <row r="70" spans="2:15">
      <c r="B70" s="15"/>
      <c r="C70" s="15"/>
      <c r="D70" s="24" t="s">
        <v>133</v>
      </c>
      <c r="E70" s="21">
        <v>0.51</v>
      </c>
      <c r="F70" s="22"/>
      <c r="G70" s="22"/>
      <c r="H70" s="22"/>
      <c r="I70" s="23"/>
      <c r="J70" s="17">
        <v>2005</v>
      </c>
      <c r="K70" s="20" t="s">
        <v>27</v>
      </c>
      <c r="L70" s="4" t="s">
        <v>61</v>
      </c>
      <c r="M70" s="4" t="s">
        <v>44</v>
      </c>
      <c r="N70" s="4" t="s">
        <v>411</v>
      </c>
      <c r="O70" s="4"/>
    </row>
    <row r="71" spans="2:15">
      <c r="B71" s="15"/>
      <c r="C71" s="15"/>
      <c r="D71" s="24" t="s">
        <v>134</v>
      </c>
      <c r="E71" s="21">
        <v>0.2</v>
      </c>
      <c r="F71" s="22"/>
      <c r="G71" s="22"/>
      <c r="H71" s="22"/>
      <c r="I71" s="23"/>
      <c r="J71" s="17">
        <v>2006</v>
      </c>
      <c r="K71" s="20" t="s">
        <v>159</v>
      </c>
      <c r="L71" s="4" t="s">
        <v>24</v>
      </c>
      <c r="M71" s="4" t="s">
        <v>21</v>
      </c>
      <c r="N71" s="4"/>
      <c r="O71" s="4"/>
    </row>
    <row r="72" spans="2:15">
      <c r="B72" s="15"/>
      <c r="C72" s="15"/>
      <c r="D72" s="24" t="s">
        <v>135</v>
      </c>
      <c r="E72" s="21">
        <v>0.5</v>
      </c>
      <c r="F72" s="22"/>
      <c r="G72" s="22"/>
      <c r="H72" s="22"/>
      <c r="I72" s="23"/>
      <c r="J72" s="17">
        <v>2007</v>
      </c>
      <c r="K72" s="20" t="s">
        <v>79</v>
      </c>
      <c r="L72" s="4" t="s">
        <v>81</v>
      </c>
      <c r="M72" s="4" t="s">
        <v>21</v>
      </c>
      <c r="N72" s="4"/>
      <c r="O72" s="4"/>
    </row>
    <row r="73" spans="2:15">
      <c r="B73" s="15"/>
      <c r="C73" s="15"/>
      <c r="D73" s="24" t="s">
        <v>135</v>
      </c>
      <c r="E73" s="21">
        <v>0.6</v>
      </c>
      <c r="F73" s="22"/>
      <c r="G73" s="22"/>
      <c r="H73" s="22"/>
      <c r="I73" s="23"/>
      <c r="J73" s="17">
        <v>2002</v>
      </c>
      <c r="K73" s="20" t="s">
        <v>27</v>
      </c>
      <c r="L73" s="4" t="s">
        <v>58</v>
      </c>
      <c r="M73" s="4"/>
      <c r="N73" s="4" t="s">
        <v>75</v>
      </c>
      <c r="O73" s="4"/>
    </row>
    <row r="74" spans="2:15">
      <c r="B74" s="15"/>
      <c r="C74" s="15"/>
      <c r="D74" s="24" t="s">
        <v>137</v>
      </c>
      <c r="E74" s="21">
        <v>0.3</v>
      </c>
      <c r="F74" s="22"/>
      <c r="G74" s="22"/>
      <c r="H74" s="22">
        <v>0.3</v>
      </c>
      <c r="I74" s="23">
        <v>0.2</v>
      </c>
      <c r="J74" s="17">
        <v>2018</v>
      </c>
      <c r="K74" s="20" t="s">
        <v>27</v>
      </c>
      <c r="L74" s="4" t="s">
        <v>24</v>
      </c>
      <c r="M74" s="4" t="s">
        <v>21</v>
      </c>
      <c r="N74" s="4"/>
      <c r="O74" s="4" t="s">
        <v>413</v>
      </c>
    </row>
    <row r="75" spans="2:15">
      <c r="B75" s="15"/>
      <c r="C75" s="15"/>
      <c r="D75" s="24" t="s">
        <v>137</v>
      </c>
      <c r="E75" s="21">
        <v>0.1</v>
      </c>
      <c r="F75" s="22"/>
      <c r="G75" s="22"/>
      <c r="H75" s="22"/>
      <c r="I75" s="23"/>
      <c r="J75" s="17">
        <v>2018</v>
      </c>
      <c r="K75" s="20" t="s">
        <v>19</v>
      </c>
      <c r="L75" s="4" t="s">
        <v>384</v>
      </c>
      <c r="M75" s="4" t="s">
        <v>21</v>
      </c>
      <c r="N75" s="4"/>
      <c r="O75" s="4" t="s">
        <v>431</v>
      </c>
    </row>
    <row r="76" spans="2:15">
      <c r="B76" s="15"/>
      <c r="C76" s="15"/>
      <c r="D76" s="24" t="s">
        <v>137</v>
      </c>
      <c r="E76" s="21">
        <v>0.04</v>
      </c>
      <c r="F76" s="22"/>
      <c r="G76" s="22"/>
      <c r="H76" s="22"/>
      <c r="I76" s="23"/>
      <c r="J76" s="17">
        <v>2014</v>
      </c>
      <c r="K76" s="20" t="s">
        <v>19</v>
      </c>
      <c r="L76" s="4" t="s">
        <v>24</v>
      </c>
      <c r="M76" s="4" t="s">
        <v>21</v>
      </c>
      <c r="N76" s="4" t="s">
        <v>410</v>
      </c>
      <c r="O76" s="4" t="s">
        <v>417</v>
      </c>
    </row>
    <row r="77" spans="2:15">
      <c r="B77" s="15"/>
      <c r="C77" s="15"/>
      <c r="D77" s="24" t="s">
        <v>137</v>
      </c>
      <c r="E77" s="21">
        <v>0.01</v>
      </c>
      <c r="F77" s="22"/>
      <c r="G77" s="22"/>
      <c r="H77" s="22"/>
      <c r="I77" s="23"/>
      <c r="J77" s="17">
        <v>2011</v>
      </c>
      <c r="K77" s="20" t="s">
        <v>19</v>
      </c>
      <c r="L77" s="4" t="s">
        <v>24</v>
      </c>
      <c r="M77" s="4" t="s">
        <v>21</v>
      </c>
      <c r="N77" s="4"/>
      <c r="O77" s="4" t="s">
        <v>409</v>
      </c>
    </row>
    <row r="78" spans="2:15">
      <c r="B78" s="15"/>
      <c r="C78" s="15"/>
      <c r="D78" s="24" t="s">
        <v>137</v>
      </c>
      <c r="E78" s="21">
        <v>0.3</v>
      </c>
      <c r="F78" s="22"/>
      <c r="G78" s="22"/>
      <c r="H78" s="22"/>
      <c r="I78" s="23"/>
      <c r="J78" s="17">
        <v>2006</v>
      </c>
      <c r="K78" s="20" t="s">
        <v>27</v>
      </c>
      <c r="L78" s="4" t="s">
        <v>38</v>
      </c>
      <c r="M78" s="4" t="s">
        <v>51</v>
      </c>
      <c r="N78" s="4" t="s">
        <v>416</v>
      </c>
      <c r="O78" s="4" t="s">
        <v>417</v>
      </c>
    </row>
    <row r="79" spans="2:15">
      <c r="B79" s="15"/>
      <c r="C79" s="15"/>
      <c r="D79" s="24" t="s">
        <v>138</v>
      </c>
      <c r="E79" s="21">
        <v>0.43</v>
      </c>
      <c r="F79" s="22"/>
      <c r="G79" s="22"/>
      <c r="H79" s="22">
        <v>0.25</v>
      </c>
      <c r="I79" s="23">
        <v>0.61</v>
      </c>
      <c r="J79" s="17">
        <v>2022</v>
      </c>
      <c r="K79" s="20" t="s">
        <v>79</v>
      </c>
      <c r="L79" s="4" t="s">
        <v>24</v>
      </c>
      <c r="M79" s="4" t="s">
        <v>21</v>
      </c>
      <c r="N79" s="4"/>
      <c r="O79" s="4" t="s">
        <v>409</v>
      </c>
    </row>
    <row r="80" spans="2:15">
      <c r="B80" s="15"/>
      <c r="C80" s="15"/>
      <c r="D80" s="24" t="s">
        <v>138</v>
      </c>
      <c r="E80" s="21">
        <v>9.5000000000000001E-2</v>
      </c>
      <c r="F80" s="22">
        <v>7.0000000000000007E-2</v>
      </c>
      <c r="G80" s="22">
        <v>0.12</v>
      </c>
      <c r="H80" s="22"/>
      <c r="I80" s="23"/>
      <c r="J80" s="17">
        <v>2011</v>
      </c>
      <c r="K80" s="20" t="s">
        <v>19</v>
      </c>
      <c r="L80" s="4" t="s">
        <v>97</v>
      </c>
      <c r="M80" s="4" t="s">
        <v>21</v>
      </c>
      <c r="N80" s="4"/>
      <c r="O80" s="4" t="s">
        <v>431</v>
      </c>
    </row>
    <row r="81" spans="2:15">
      <c r="B81" s="15"/>
      <c r="C81" s="15"/>
      <c r="D81" s="24" t="s">
        <v>138</v>
      </c>
      <c r="E81" s="21">
        <v>0.6</v>
      </c>
      <c r="F81" s="22"/>
      <c r="G81" s="22"/>
      <c r="H81" s="22"/>
      <c r="I81" s="23"/>
      <c r="J81" s="17">
        <v>2002</v>
      </c>
      <c r="K81" s="20" t="s">
        <v>27</v>
      </c>
      <c r="L81" s="4" t="s">
        <v>58</v>
      </c>
      <c r="M81" s="4"/>
      <c r="N81" s="4" t="s">
        <v>75</v>
      </c>
      <c r="O81" s="4"/>
    </row>
    <row r="82" spans="2:15">
      <c r="B82" s="15" t="s">
        <v>139</v>
      </c>
      <c r="C82" s="15" t="s">
        <v>140</v>
      </c>
      <c r="D82" s="24" t="s">
        <v>141</v>
      </c>
      <c r="E82" s="21">
        <v>0.04</v>
      </c>
      <c r="F82" s="22"/>
      <c r="G82" s="22"/>
      <c r="H82" s="22"/>
      <c r="I82" s="23"/>
      <c r="J82" s="17">
        <v>2005</v>
      </c>
      <c r="K82" s="20" t="s">
        <v>27</v>
      </c>
      <c r="L82" s="4" t="s">
        <v>61</v>
      </c>
      <c r="M82" s="4" t="s">
        <v>21</v>
      </c>
      <c r="N82" s="4"/>
      <c r="O82" s="4"/>
    </row>
    <row r="83" spans="2:15">
      <c r="B83" s="15"/>
      <c r="C83" s="15"/>
      <c r="D83" s="24" t="s">
        <v>143</v>
      </c>
      <c r="E83" s="21">
        <v>0</v>
      </c>
      <c r="F83" s="22">
        <v>0</v>
      </c>
      <c r="G83" s="22">
        <v>0.1</v>
      </c>
      <c r="H83" s="22">
        <v>0.1</v>
      </c>
      <c r="I83" s="23">
        <v>0</v>
      </c>
      <c r="J83" s="17">
        <v>2022</v>
      </c>
      <c r="K83" s="20" t="s">
        <v>144</v>
      </c>
      <c r="L83" s="4" t="s">
        <v>109</v>
      </c>
      <c r="M83" s="4" t="s">
        <v>21</v>
      </c>
      <c r="N83" s="4"/>
      <c r="O83" s="4"/>
    </row>
    <row r="84" spans="2:15">
      <c r="B84" s="15"/>
      <c r="C84" s="15"/>
      <c r="D84" s="24" t="s">
        <v>143</v>
      </c>
      <c r="E84" s="21">
        <v>0</v>
      </c>
      <c r="F84" s="22"/>
      <c r="G84" s="22"/>
      <c r="H84" s="22">
        <v>0</v>
      </c>
      <c r="I84" s="23">
        <v>0</v>
      </c>
      <c r="J84" s="17">
        <v>2015</v>
      </c>
      <c r="K84" s="20" t="s">
        <v>144</v>
      </c>
      <c r="L84" s="4" t="s">
        <v>24</v>
      </c>
      <c r="M84" s="4" t="s">
        <v>21</v>
      </c>
      <c r="N84" s="4"/>
      <c r="O84" s="4"/>
    </row>
    <row r="85" spans="2:15">
      <c r="B85" s="15"/>
      <c r="C85" s="15"/>
      <c r="D85" s="24" t="s">
        <v>143</v>
      </c>
      <c r="E85" s="21">
        <v>0.56000000000000005</v>
      </c>
      <c r="F85" s="22">
        <v>0.1</v>
      </c>
      <c r="G85" s="22">
        <v>1.06</v>
      </c>
      <c r="H85" s="22"/>
      <c r="I85" s="23"/>
      <c r="J85" s="17">
        <v>2009</v>
      </c>
      <c r="K85" s="20" t="s">
        <v>27</v>
      </c>
      <c r="L85" s="4" t="s">
        <v>146</v>
      </c>
      <c r="M85" s="4" t="s">
        <v>44</v>
      </c>
      <c r="N85" s="4" t="s">
        <v>147</v>
      </c>
      <c r="O85" s="4"/>
    </row>
    <row r="86" spans="2:15">
      <c r="B86" s="15"/>
      <c r="C86" s="15" t="s">
        <v>152</v>
      </c>
      <c r="D86" s="24" t="s">
        <v>432</v>
      </c>
      <c r="E86" s="21">
        <v>0.25</v>
      </c>
      <c r="F86" s="22"/>
      <c r="G86" s="22"/>
      <c r="H86" s="22"/>
      <c r="I86" s="23"/>
      <c r="J86" s="17">
        <v>2006</v>
      </c>
      <c r="K86" s="20" t="s">
        <v>27</v>
      </c>
      <c r="L86" s="4" t="s">
        <v>61</v>
      </c>
      <c r="M86" s="4"/>
      <c r="N86" s="4" t="s">
        <v>382</v>
      </c>
      <c r="O86" s="4"/>
    </row>
    <row r="87" spans="2:15">
      <c r="B87" s="15"/>
      <c r="C87" s="15"/>
      <c r="D87" s="24" t="s">
        <v>153</v>
      </c>
      <c r="E87" s="21">
        <v>0.6</v>
      </c>
      <c r="F87" s="22"/>
      <c r="G87" s="22"/>
      <c r="H87" s="22"/>
      <c r="I87" s="23"/>
      <c r="J87" s="17">
        <v>2004</v>
      </c>
      <c r="K87" s="20" t="s">
        <v>27</v>
      </c>
      <c r="L87" s="4" t="s">
        <v>61</v>
      </c>
      <c r="M87" s="4"/>
      <c r="N87" s="4" t="s">
        <v>33</v>
      </c>
      <c r="O87" s="4"/>
    </row>
    <row r="88" spans="2:15">
      <c r="B88" s="15"/>
      <c r="C88" s="15"/>
      <c r="D88" s="24" t="s">
        <v>433</v>
      </c>
      <c r="E88" s="21">
        <v>0.56999999999999995</v>
      </c>
      <c r="F88" s="22"/>
      <c r="G88" s="22"/>
      <c r="H88" s="22"/>
      <c r="I88" s="23"/>
      <c r="J88" s="17">
        <v>2018</v>
      </c>
      <c r="K88" s="20" t="s">
        <v>27</v>
      </c>
      <c r="L88" s="4" t="s">
        <v>216</v>
      </c>
      <c r="M88" s="4" t="s">
        <v>21</v>
      </c>
      <c r="N88" s="4"/>
      <c r="O88" s="4" t="s">
        <v>409</v>
      </c>
    </row>
    <row r="89" spans="2:15">
      <c r="B89" s="15"/>
      <c r="C89" s="15"/>
      <c r="D89" s="24" t="s">
        <v>158</v>
      </c>
      <c r="E89" s="21">
        <v>0.6</v>
      </c>
      <c r="F89" s="22"/>
      <c r="G89" s="22"/>
      <c r="H89" s="22"/>
      <c r="I89" s="23"/>
      <c r="J89" s="17">
        <v>2005</v>
      </c>
      <c r="K89" s="20" t="s">
        <v>159</v>
      </c>
      <c r="L89" s="4" t="s">
        <v>160</v>
      </c>
      <c r="M89" s="4"/>
      <c r="N89" s="4"/>
      <c r="O89" s="4"/>
    </row>
    <row r="90" spans="2:15">
      <c r="B90" s="15"/>
      <c r="C90" s="15"/>
      <c r="D90" s="24" t="s">
        <v>161</v>
      </c>
      <c r="E90" s="21">
        <v>0.6</v>
      </c>
      <c r="F90" s="22">
        <v>0.6</v>
      </c>
      <c r="G90" s="22">
        <v>0.6</v>
      </c>
      <c r="H90" s="22"/>
      <c r="I90" s="23"/>
      <c r="J90" s="17">
        <v>2019</v>
      </c>
      <c r="K90" s="20" t="s">
        <v>27</v>
      </c>
      <c r="L90" s="4" t="s">
        <v>122</v>
      </c>
      <c r="M90" s="4" t="s">
        <v>21</v>
      </c>
      <c r="N90" s="4"/>
      <c r="O90" s="4" t="s">
        <v>415</v>
      </c>
    </row>
    <row r="91" spans="2:15">
      <c r="B91" s="15"/>
      <c r="C91" s="15"/>
      <c r="D91" s="24" t="s">
        <v>161</v>
      </c>
      <c r="E91" s="21">
        <v>0.52</v>
      </c>
      <c r="F91" s="22">
        <v>0.45</v>
      </c>
      <c r="G91" s="22">
        <v>0.58000000000000007</v>
      </c>
      <c r="H91" s="22"/>
      <c r="I91" s="23"/>
      <c r="J91" s="17">
        <v>2017</v>
      </c>
      <c r="K91" s="20" t="s">
        <v>162</v>
      </c>
      <c r="L91" s="4" t="s">
        <v>61</v>
      </c>
      <c r="M91" s="4" t="s">
        <v>21</v>
      </c>
      <c r="N91" s="4"/>
      <c r="O91" s="4" t="s">
        <v>434</v>
      </c>
    </row>
    <row r="92" spans="2:15">
      <c r="B92" s="15"/>
      <c r="C92" s="15"/>
      <c r="D92" s="24" t="s">
        <v>161</v>
      </c>
      <c r="E92" s="21">
        <v>0.09</v>
      </c>
      <c r="F92" s="22"/>
      <c r="G92" s="22"/>
      <c r="H92" s="22">
        <v>0.2</v>
      </c>
      <c r="I92" s="23">
        <v>0</v>
      </c>
      <c r="J92" s="17">
        <v>2015</v>
      </c>
      <c r="K92" s="20" t="s">
        <v>164</v>
      </c>
      <c r="L92" s="4" t="s">
        <v>24</v>
      </c>
      <c r="M92" s="4" t="s">
        <v>21</v>
      </c>
      <c r="N92" s="4"/>
      <c r="O92" s="4" t="s">
        <v>435</v>
      </c>
    </row>
    <row r="93" spans="2:15">
      <c r="B93" s="15"/>
      <c r="C93" s="15"/>
      <c r="D93" s="24" t="s">
        <v>161</v>
      </c>
      <c r="E93" s="21">
        <v>0.18</v>
      </c>
      <c r="F93" s="22"/>
      <c r="G93" s="22"/>
      <c r="H93" s="22"/>
      <c r="I93" s="23"/>
      <c r="J93" s="17">
        <v>2010</v>
      </c>
      <c r="K93" s="20" t="s">
        <v>164</v>
      </c>
      <c r="L93" s="4" t="s">
        <v>24</v>
      </c>
      <c r="M93" s="4" t="s">
        <v>21</v>
      </c>
      <c r="N93" s="4"/>
      <c r="O93" s="4"/>
    </row>
    <row r="94" spans="2:15">
      <c r="B94" s="15"/>
      <c r="C94" s="15"/>
      <c r="D94" s="24" t="s">
        <v>161</v>
      </c>
      <c r="E94" s="21">
        <v>0.16</v>
      </c>
      <c r="F94" s="22"/>
      <c r="G94" s="22"/>
      <c r="H94" s="22"/>
      <c r="I94" s="23"/>
      <c r="J94" s="17">
        <v>2008</v>
      </c>
      <c r="K94" s="20" t="s">
        <v>162</v>
      </c>
      <c r="L94" s="4" t="s">
        <v>38</v>
      </c>
      <c r="M94" s="4" t="s">
        <v>51</v>
      </c>
      <c r="N94" s="4"/>
      <c r="O94" s="4"/>
    </row>
    <row r="95" spans="2:15">
      <c r="B95" s="15"/>
      <c r="C95" s="15"/>
      <c r="D95" s="24" t="s">
        <v>166</v>
      </c>
      <c r="E95" s="21">
        <v>0.12</v>
      </c>
      <c r="F95" s="22">
        <v>0.05</v>
      </c>
      <c r="G95" s="22">
        <v>0.3</v>
      </c>
      <c r="H95" s="22">
        <v>0.08</v>
      </c>
      <c r="I95" s="23">
        <v>0.16</v>
      </c>
      <c r="J95" s="17">
        <v>2023</v>
      </c>
      <c r="K95" s="20" t="s">
        <v>27</v>
      </c>
      <c r="L95" s="4" t="s">
        <v>36</v>
      </c>
      <c r="M95" s="4" t="s">
        <v>21</v>
      </c>
      <c r="N95" s="4"/>
      <c r="O95" s="4" t="s">
        <v>409</v>
      </c>
    </row>
    <row r="96" spans="2:15">
      <c r="B96" s="15"/>
      <c r="C96" s="15"/>
      <c r="D96" s="24" t="s">
        <v>166</v>
      </c>
      <c r="E96" s="21">
        <v>0.06</v>
      </c>
      <c r="F96" s="22">
        <v>0</v>
      </c>
      <c r="G96" s="22">
        <v>0.19</v>
      </c>
      <c r="H96" s="22">
        <v>0.12</v>
      </c>
      <c r="I96" s="23"/>
      <c r="J96" s="17">
        <v>2021</v>
      </c>
      <c r="K96" s="20" t="s">
        <v>27</v>
      </c>
      <c r="L96" s="4" t="s">
        <v>36</v>
      </c>
      <c r="M96" s="4" t="s">
        <v>21</v>
      </c>
      <c r="N96" s="4"/>
      <c r="O96" s="4" t="s">
        <v>409</v>
      </c>
    </row>
    <row r="97" spans="2:15">
      <c r="B97" s="15"/>
      <c r="C97" s="15"/>
      <c r="D97" s="24" t="s">
        <v>166</v>
      </c>
      <c r="E97" s="21">
        <v>0.04</v>
      </c>
      <c r="F97" s="22"/>
      <c r="G97" s="22"/>
      <c r="H97" s="22"/>
      <c r="I97" s="23"/>
      <c r="J97" s="17">
        <v>2019</v>
      </c>
      <c r="K97" s="20" t="s">
        <v>27</v>
      </c>
      <c r="L97" s="4" t="s">
        <v>24</v>
      </c>
      <c r="M97" s="4" t="s">
        <v>21</v>
      </c>
      <c r="N97" s="4"/>
      <c r="O97" s="4" t="s">
        <v>409</v>
      </c>
    </row>
    <row r="98" spans="2:15">
      <c r="B98" s="15"/>
      <c r="C98" s="15"/>
      <c r="D98" s="24" t="s">
        <v>166</v>
      </c>
      <c r="E98" s="21">
        <v>0.3</v>
      </c>
      <c r="F98" s="22">
        <v>0.03</v>
      </c>
      <c r="G98" s="22">
        <v>0.4</v>
      </c>
      <c r="H98" s="22"/>
      <c r="I98" s="23"/>
      <c r="J98" s="17">
        <v>2011</v>
      </c>
      <c r="K98" s="20" t="s">
        <v>27</v>
      </c>
      <c r="L98" s="4" t="s">
        <v>61</v>
      </c>
      <c r="M98" s="4" t="s">
        <v>21</v>
      </c>
      <c r="N98" s="4" t="s">
        <v>22</v>
      </c>
      <c r="O98" s="4"/>
    </row>
    <row r="99" spans="2:15">
      <c r="B99" s="15"/>
      <c r="C99" s="15"/>
      <c r="D99" s="24" t="s">
        <v>166</v>
      </c>
      <c r="E99" s="21">
        <v>0.2</v>
      </c>
      <c r="F99" s="22">
        <v>0.18</v>
      </c>
      <c r="G99" s="22">
        <v>0.22</v>
      </c>
      <c r="H99" s="22"/>
      <c r="I99" s="23"/>
      <c r="J99" s="17">
        <v>2009</v>
      </c>
      <c r="K99" s="20" t="s">
        <v>27</v>
      </c>
      <c r="L99" s="4" t="s">
        <v>58</v>
      </c>
      <c r="M99" s="4" t="s">
        <v>51</v>
      </c>
      <c r="N99" s="4" t="s">
        <v>87</v>
      </c>
      <c r="O99" s="4"/>
    </row>
    <row r="100" spans="2:15">
      <c r="B100" s="15"/>
      <c r="C100" s="15"/>
      <c r="D100" s="24" t="s">
        <v>168</v>
      </c>
      <c r="E100" s="21">
        <v>1.39</v>
      </c>
      <c r="F100" s="22">
        <v>1.07</v>
      </c>
      <c r="G100" s="22">
        <v>1.71</v>
      </c>
      <c r="H100" s="22"/>
      <c r="I100" s="23"/>
      <c r="J100" s="17">
        <v>2008</v>
      </c>
      <c r="K100" s="20" t="s">
        <v>27</v>
      </c>
      <c r="L100" s="4" t="s">
        <v>216</v>
      </c>
      <c r="M100" s="4" t="s">
        <v>44</v>
      </c>
      <c r="N100" s="4" t="s">
        <v>436</v>
      </c>
      <c r="O100" s="4"/>
    </row>
    <row r="101" spans="2:15">
      <c r="B101" s="15"/>
      <c r="C101" s="15"/>
      <c r="D101" s="24" t="s">
        <v>170</v>
      </c>
      <c r="E101" s="21">
        <v>1.25</v>
      </c>
      <c r="F101" s="22">
        <v>0.81</v>
      </c>
      <c r="G101" s="22">
        <v>1.7</v>
      </c>
      <c r="H101" s="22"/>
      <c r="I101" s="23"/>
      <c r="J101" s="17" t="s">
        <v>171</v>
      </c>
      <c r="K101" s="20" t="s">
        <v>27</v>
      </c>
      <c r="L101" s="4" t="s">
        <v>172</v>
      </c>
      <c r="M101" s="4" t="s">
        <v>51</v>
      </c>
      <c r="N101" s="4" t="s">
        <v>37</v>
      </c>
      <c r="O101" s="4" t="s">
        <v>173</v>
      </c>
    </row>
    <row r="102" spans="2:15">
      <c r="B102" s="15"/>
      <c r="C102" s="15"/>
      <c r="D102" s="24" t="s">
        <v>170</v>
      </c>
      <c r="E102" s="21">
        <v>0.55000000000000004</v>
      </c>
      <c r="F102" s="22"/>
      <c r="G102" s="22"/>
      <c r="H102" s="22"/>
      <c r="I102" s="23"/>
      <c r="J102" s="17">
        <v>2005</v>
      </c>
      <c r="K102" s="20" t="s">
        <v>27</v>
      </c>
      <c r="L102" s="4" t="s">
        <v>61</v>
      </c>
      <c r="M102" s="4"/>
      <c r="N102" s="4" t="s">
        <v>437</v>
      </c>
      <c r="O102" s="4"/>
    </row>
    <row r="103" spans="2:15">
      <c r="B103" s="15"/>
      <c r="C103" s="15"/>
      <c r="D103" s="24" t="s">
        <v>174</v>
      </c>
      <c r="E103" s="21">
        <v>0.22</v>
      </c>
      <c r="F103" s="22"/>
      <c r="G103" s="22"/>
      <c r="H103" s="22"/>
      <c r="I103" s="23"/>
      <c r="J103" s="17">
        <v>2005</v>
      </c>
      <c r="K103" s="20" t="s">
        <v>27</v>
      </c>
      <c r="L103" s="4" t="s">
        <v>61</v>
      </c>
      <c r="M103" s="4"/>
      <c r="N103" s="4" t="s">
        <v>438</v>
      </c>
      <c r="O103" s="4"/>
    </row>
    <row r="104" spans="2:15">
      <c r="B104" s="15"/>
      <c r="C104" s="15"/>
      <c r="D104" s="24" t="s">
        <v>175</v>
      </c>
      <c r="E104" s="21">
        <v>0.54039999999999999</v>
      </c>
      <c r="F104" s="22"/>
      <c r="G104" s="22"/>
      <c r="H104" s="22"/>
      <c r="I104" s="23"/>
      <c r="J104" s="17">
        <v>2019</v>
      </c>
      <c r="K104" s="20" t="s">
        <v>27</v>
      </c>
      <c r="L104" s="4" t="s">
        <v>176</v>
      </c>
      <c r="M104" s="4" t="s">
        <v>21</v>
      </c>
      <c r="N104" s="4" t="s">
        <v>177</v>
      </c>
      <c r="O104" s="4" t="s">
        <v>409</v>
      </c>
    </row>
    <row r="105" spans="2:15">
      <c r="B105" s="15"/>
      <c r="C105" s="15"/>
      <c r="D105" s="24" t="s">
        <v>175</v>
      </c>
      <c r="E105" s="21">
        <v>1.1000000000000001</v>
      </c>
      <c r="F105" s="22"/>
      <c r="G105" s="22"/>
      <c r="H105" s="22"/>
      <c r="I105" s="23"/>
      <c r="J105" s="17">
        <v>2016</v>
      </c>
      <c r="K105" s="20" t="s">
        <v>178</v>
      </c>
      <c r="L105" s="4" t="s">
        <v>24</v>
      </c>
      <c r="M105" s="4" t="s">
        <v>21</v>
      </c>
      <c r="N105" s="4"/>
      <c r="O105" s="4" t="s">
        <v>439</v>
      </c>
    </row>
    <row r="106" spans="2:15">
      <c r="B106" s="15"/>
      <c r="C106" s="15"/>
      <c r="D106" s="24" t="s">
        <v>175</v>
      </c>
      <c r="E106" s="21">
        <v>0.78</v>
      </c>
      <c r="F106" s="22"/>
      <c r="G106" s="22"/>
      <c r="H106" s="22"/>
      <c r="I106" s="23"/>
      <c r="J106" s="17">
        <v>2012</v>
      </c>
      <c r="K106" s="20" t="s">
        <v>178</v>
      </c>
      <c r="L106" s="4" t="s">
        <v>36</v>
      </c>
      <c r="M106" s="4" t="s">
        <v>21</v>
      </c>
      <c r="N106" s="4"/>
      <c r="O106" s="4" t="s">
        <v>440</v>
      </c>
    </row>
    <row r="107" spans="2:15">
      <c r="B107" s="15"/>
      <c r="C107" s="15"/>
      <c r="D107" s="24" t="s">
        <v>175</v>
      </c>
      <c r="E107" s="21">
        <v>2.13</v>
      </c>
      <c r="F107" s="22">
        <v>1.91</v>
      </c>
      <c r="G107" s="22">
        <v>2.35</v>
      </c>
      <c r="H107" s="22"/>
      <c r="I107" s="23"/>
      <c r="J107" s="17">
        <v>2008</v>
      </c>
      <c r="K107" s="20" t="s">
        <v>27</v>
      </c>
      <c r="L107" s="4" t="s">
        <v>36</v>
      </c>
      <c r="M107" s="4" t="s">
        <v>21</v>
      </c>
      <c r="N107" s="4" t="s">
        <v>182</v>
      </c>
      <c r="O107" s="4"/>
    </row>
    <row r="108" spans="2:15">
      <c r="B108" s="15"/>
      <c r="C108" s="15"/>
      <c r="D108" s="24" t="s">
        <v>181</v>
      </c>
      <c r="E108" s="21">
        <v>0.12</v>
      </c>
      <c r="F108" s="22">
        <v>0.08</v>
      </c>
      <c r="G108" s="22">
        <v>0.16</v>
      </c>
      <c r="H108" s="22"/>
      <c r="I108" s="23"/>
      <c r="J108" s="17">
        <v>2004</v>
      </c>
      <c r="K108" s="20" t="s">
        <v>27</v>
      </c>
      <c r="L108" s="4" t="s">
        <v>24</v>
      </c>
      <c r="M108" s="4" t="s">
        <v>21</v>
      </c>
      <c r="N108" s="4" t="s">
        <v>441</v>
      </c>
      <c r="O108" s="4"/>
    </row>
    <row r="109" spans="2:15">
      <c r="B109" s="15"/>
      <c r="C109" s="15"/>
      <c r="D109" s="24" t="s">
        <v>187</v>
      </c>
      <c r="E109" s="21">
        <v>1.67</v>
      </c>
      <c r="F109" s="22">
        <v>1.3</v>
      </c>
      <c r="G109" s="22">
        <v>2.04</v>
      </c>
      <c r="H109" s="22"/>
      <c r="I109" s="23"/>
      <c r="J109" s="17">
        <v>2019</v>
      </c>
      <c r="K109" s="20" t="s">
        <v>79</v>
      </c>
      <c r="L109" s="4" t="s">
        <v>97</v>
      </c>
      <c r="M109" s="4" t="s">
        <v>21</v>
      </c>
      <c r="N109" s="4"/>
      <c r="O109" s="4" t="s">
        <v>442</v>
      </c>
    </row>
    <row r="110" spans="2:15">
      <c r="B110" s="15"/>
      <c r="C110" s="15"/>
      <c r="D110" s="24" t="s">
        <v>187</v>
      </c>
      <c r="E110" s="21">
        <v>1.4</v>
      </c>
      <c r="F110" s="22"/>
      <c r="G110" s="22"/>
      <c r="H110" s="22"/>
      <c r="I110" s="23"/>
      <c r="J110" s="17">
        <v>2007</v>
      </c>
      <c r="K110" s="20" t="s">
        <v>79</v>
      </c>
      <c r="L110" s="4" t="s">
        <v>24</v>
      </c>
      <c r="M110" s="4" t="s">
        <v>21</v>
      </c>
      <c r="N110" s="4"/>
      <c r="O110" s="4"/>
    </row>
    <row r="111" spans="2:15">
      <c r="B111" s="15"/>
      <c r="C111" s="15"/>
      <c r="D111" s="24" t="s">
        <v>443</v>
      </c>
      <c r="E111" s="21">
        <v>0.22</v>
      </c>
      <c r="F111" s="22"/>
      <c r="G111" s="22"/>
      <c r="H111" s="22"/>
      <c r="I111" s="23"/>
      <c r="J111" s="17">
        <v>2003</v>
      </c>
      <c r="K111" s="20" t="s">
        <v>27</v>
      </c>
      <c r="L111" s="4" t="s">
        <v>61</v>
      </c>
      <c r="M111" s="4"/>
      <c r="N111" s="4" t="s">
        <v>230</v>
      </c>
      <c r="O111" s="4"/>
    </row>
    <row r="112" spans="2:15">
      <c r="B112" s="15"/>
      <c r="C112" s="15" t="s">
        <v>188</v>
      </c>
      <c r="D112" s="24" t="s">
        <v>189</v>
      </c>
      <c r="E112" s="21">
        <v>0</v>
      </c>
      <c r="F112" s="22"/>
      <c r="G112" s="22"/>
      <c r="H112" s="22"/>
      <c r="I112" s="23"/>
      <c r="J112" s="17">
        <v>2009</v>
      </c>
      <c r="K112" s="20" t="s">
        <v>27</v>
      </c>
      <c r="L112" s="4" t="s">
        <v>444</v>
      </c>
      <c r="M112" s="4" t="s">
        <v>21</v>
      </c>
      <c r="N112" s="4"/>
      <c r="O112" s="4"/>
    </row>
    <row r="113" spans="2:15">
      <c r="B113" s="15"/>
      <c r="C113" s="15"/>
      <c r="D113" s="24" t="s">
        <v>193</v>
      </c>
      <c r="E113" s="21">
        <v>0.4</v>
      </c>
      <c r="F113" s="22"/>
      <c r="G113" s="22"/>
      <c r="H113" s="22"/>
      <c r="I113" s="23"/>
      <c r="J113" s="17">
        <v>2015</v>
      </c>
      <c r="K113" s="20" t="s">
        <v>27</v>
      </c>
      <c r="L113" s="4" t="s">
        <v>97</v>
      </c>
      <c r="M113" s="4" t="s">
        <v>21</v>
      </c>
      <c r="N113" s="4"/>
      <c r="O113" s="4" t="s">
        <v>409</v>
      </c>
    </row>
    <row r="114" spans="2:15">
      <c r="B114" s="15"/>
      <c r="C114" s="15"/>
      <c r="D114" s="24" t="s">
        <v>193</v>
      </c>
      <c r="E114" s="21">
        <v>0.77</v>
      </c>
      <c r="F114" s="22">
        <v>0.68</v>
      </c>
      <c r="G114" s="22">
        <v>0.88</v>
      </c>
      <c r="H114" s="22"/>
      <c r="I114" s="23"/>
      <c r="J114" s="17">
        <v>2013</v>
      </c>
      <c r="K114" s="20" t="s">
        <v>195</v>
      </c>
      <c r="L114" s="4" t="s">
        <v>196</v>
      </c>
      <c r="M114" s="4" t="s">
        <v>197</v>
      </c>
      <c r="N114" s="4" t="s">
        <v>37</v>
      </c>
      <c r="O114" s="4" t="s">
        <v>409</v>
      </c>
    </row>
    <row r="115" spans="2:15">
      <c r="B115" s="15"/>
      <c r="C115" s="15"/>
      <c r="D115" s="24" t="s">
        <v>193</v>
      </c>
      <c r="E115" s="21">
        <v>0.7</v>
      </c>
      <c r="F115" s="22"/>
      <c r="G115" s="22"/>
      <c r="H115" s="22"/>
      <c r="I115" s="23"/>
      <c r="J115" s="17">
        <v>2011</v>
      </c>
      <c r="K115" s="20" t="s">
        <v>27</v>
      </c>
      <c r="L115" s="4" t="s">
        <v>36</v>
      </c>
      <c r="M115" s="4"/>
      <c r="N115" s="4"/>
      <c r="O115" s="4" t="s">
        <v>409</v>
      </c>
    </row>
    <row r="116" spans="2:15">
      <c r="B116" s="15"/>
      <c r="C116" s="15"/>
      <c r="D116" s="24" t="s">
        <v>200</v>
      </c>
      <c r="E116" s="21">
        <v>0.7</v>
      </c>
      <c r="F116" s="22"/>
      <c r="G116" s="22"/>
      <c r="H116" s="22">
        <v>1.3</v>
      </c>
      <c r="I116" s="23">
        <v>0.1</v>
      </c>
      <c r="J116" s="17">
        <v>2016</v>
      </c>
      <c r="K116" s="20" t="s">
        <v>202</v>
      </c>
      <c r="L116" s="4" t="s">
        <v>24</v>
      </c>
      <c r="M116" s="4" t="s">
        <v>21</v>
      </c>
      <c r="N116" s="4"/>
      <c r="O116" s="4" t="s">
        <v>420</v>
      </c>
    </row>
    <row r="117" spans="2:15">
      <c r="B117" s="15"/>
      <c r="C117" s="15"/>
      <c r="D117" s="24" t="s">
        <v>200</v>
      </c>
      <c r="E117" s="21">
        <v>1.01</v>
      </c>
      <c r="F117" s="22"/>
      <c r="G117" s="22"/>
      <c r="H117" s="22">
        <v>1.63</v>
      </c>
      <c r="I117" s="23">
        <v>0.31</v>
      </c>
      <c r="J117" s="17">
        <v>2009</v>
      </c>
      <c r="K117" s="20" t="s">
        <v>203</v>
      </c>
      <c r="L117" s="4" t="s">
        <v>24</v>
      </c>
      <c r="M117" s="4" t="s">
        <v>21</v>
      </c>
      <c r="N117" s="4"/>
      <c r="O117" s="4"/>
    </row>
    <row r="118" spans="2:15">
      <c r="B118" s="15"/>
      <c r="C118" s="15"/>
      <c r="D118" s="24" t="s">
        <v>200</v>
      </c>
      <c r="E118" s="21">
        <v>0.4</v>
      </c>
      <c r="F118" s="22"/>
      <c r="G118" s="22"/>
      <c r="H118" s="22"/>
      <c r="I118" s="23"/>
      <c r="J118" s="17">
        <v>2005</v>
      </c>
      <c r="K118" s="20" t="s">
        <v>203</v>
      </c>
      <c r="L118" s="4" t="s">
        <v>38</v>
      </c>
      <c r="M118" s="4"/>
      <c r="N118" s="4"/>
      <c r="O118" s="4"/>
    </row>
    <row r="119" spans="2:15">
      <c r="B119" s="15"/>
      <c r="C119" s="15"/>
      <c r="D119" s="24" t="s">
        <v>204</v>
      </c>
      <c r="E119" s="21">
        <v>0.27</v>
      </c>
      <c r="F119" s="22"/>
      <c r="G119" s="22"/>
      <c r="H119" s="22"/>
      <c r="I119" s="23"/>
      <c r="J119" s="17">
        <v>2005</v>
      </c>
      <c r="K119" s="20" t="s">
        <v>27</v>
      </c>
      <c r="L119" s="4" t="s">
        <v>61</v>
      </c>
      <c r="M119" s="4"/>
      <c r="N119" s="4" t="s">
        <v>382</v>
      </c>
      <c r="O119" s="4"/>
    </row>
    <row r="120" spans="2:15">
      <c r="B120" s="15"/>
      <c r="C120" s="15"/>
      <c r="D120" s="24" t="s">
        <v>208</v>
      </c>
      <c r="E120" s="21">
        <v>0.08</v>
      </c>
      <c r="F120" s="22">
        <v>0.04</v>
      </c>
      <c r="G120" s="22">
        <v>0.2</v>
      </c>
      <c r="H120" s="22">
        <v>0.1</v>
      </c>
      <c r="I120" s="23">
        <v>0.14000000000000001</v>
      </c>
      <c r="J120" s="17">
        <v>2012</v>
      </c>
      <c r="K120" s="20" t="s">
        <v>27</v>
      </c>
      <c r="L120" s="4" t="s">
        <v>354</v>
      </c>
      <c r="M120" s="4" t="s">
        <v>70</v>
      </c>
      <c r="N120" s="4" t="s">
        <v>421</v>
      </c>
      <c r="O120" s="4" t="s">
        <v>417</v>
      </c>
    </row>
    <row r="121" spans="2:15">
      <c r="B121" s="15"/>
      <c r="C121" s="15"/>
      <c r="D121" s="24" t="s">
        <v>210</v>
      </c>
      <c r="E121" s="21">
        <v>0.4</v>
      </c>
      <c r="F121" s="22"/>
      <c r="G121" s="22"/>
      <c r="H121" s="22"/>
      <c r="I121" s="23"/>
      <c r="J121" s="17">
        <v>2006</v>
      </c>
      <c r="K121" s="20" t="s">
        <v>27</v>
      </c>
      <c r="L121" s="4" t="s">
        <v>61</v>
      </c>
      <c r="M121" s="4"/>
      <c r="N121" s="4" t="s">
        <v>382</v>
      </c>
      <c r="O121" s="4"/>
    </row>
    <row r="122" spans="2:15">
      <c r="B122" s="15"/>
      <c r="C122" s="15" t="s">
        <v>213</v>
      </c>
      <c r="D122" s="24" t="s">
        <v>214</v>
      </c>
      <c r="E122" s="21">
        <v>1.1020000000000001</v>
      </c>
      <c r="F122" s="22">
        <v>0.44080000000000003</v>
      </c>
      <c r="G122" s="22">
        <v>1.7632000000000001</v>
      </c>
      <c r="H122" s="22"/>
      <c r="I122" s="23"/>
      <c r="J122" s="17">
        <v>2018</v>
      </c>
      <c r="K122" s="20" t="s">
        <v>215</v>
      </c>
      <c r="L122" s="4" t="s">
        <v>97</v>
      </c>
      <c r="M122" s="4" t="s">
        <v>21</v>
      </c>
      <c r="N122" s="4" t="s">
        <v>22</v>
      </c>
      <c r="O122" s="4" t="s">
        <v>445</v>
      </c>
    </row>
    <row r="123" spans="2:15">
      <c r="B123" s="15"/>
      <c r="C123" s="15"/>
      <c r="D123" s="24" t="s">
        <v>219</v>
      </c>
      <c r="E123" s="21">
        <v>0.18</v>
      </c>
      <c r="F123" s="22"/>
      <c r="G123" s="22"/>
      <c r="H123" s="22"/>
      <c r="I123" s="23"/>
      <c r="J123" s="17">
        <v>2018</v>
      </c>
      <c r="K123" s="20" t="s">
        <v>220</v>
      </c>
      <c r="L123" s="4" t="s">
        <v>36</v>
      </c>
      <c r="M123" s="4" t="s">
        <v>70</v>
      </c>
      <c r="N123" s="4"/>
      <c r="O123" s="4"/>
    </row>
    <row r="124" spans="2:15">
      <c r="B124" s="15"/>
      <c r="C124" s="15"/>
      <c r="D124" s="24" t="s">
        <v>222</v>
      </c>
      <c r="E124" s="21">
        <v>0.1</v>
      </c>
      <c r="F124" s="22"/>
      <c r="G124" s="22"/>
      <c r="H124" s="22"/>
      <c r="I124" s="23"/>
      <c r="J124" s="17">
        <v>2012</v>
      </c>
      <c r="K124" s="20" t="s">
        <v>27</v>
      </c>
      <c r="L124" s="4" t="s">
        <v>36</v>
      </c>
      <c r="M124" s="4" t="s">
        <v>21</v>
      </c>
      <c r="N124" s="4"/>
      <c r="O124" s="4"/>
    </row>
    <row r="125" spans="2:15">
      <c r="B125" s="15" t="s">
        <v>231</v>
      </c>
      <c r="C125" s="15" t="s">
        <v>232</v>
      </c>
      <c r="D125" s="24" t="s">
        <v>233</v>
      </c>
      <c r="E125" s="21">
        <v>0.35</v>
      </c>
      <c r="F125" s="22"/>
      <c r="G125" s="22"/>
      <c r="H125" s="22"/>
      <c r="I125" s="23"/>
      <c r="J125" s="17">
        <v>2006</v>
      </c>
      <c r="K125" s="20" t="s">
        <v>27</v>
      </c>
      <c r="L125" s="4" t="s">
        <v>61</v>
      </c>
      <c r="M125" s="4"/>
      <c r="N125" s="4" t="s">
        <v>382</v>
      </c>
      <c r="O125" s="4"/>
    </row>
    <row r="126" spans="2:15">
      <c r="B126" s="15"/>
      <c r="C126" s="15"/>
      <c r="D126" s="24" t="s">
        <v>236</v>
      </c>
      <c r="E126" s="21">
        <v>0.03</v>
      </c>
      <c r="F126" s="22">
        <v>0.03</v>
      </c>
      <c r="G126" s="22">
        <v>0.04</v>
      </c>
      <c r="H126" s="22"/>
      <c r="I126" s="23"/>
      <c r="J126" s="17">
        <v>2008</v>
      </c>
      <c r="K126" s="20" t="s">
        <v>27</v>
      </c>
      <c r="L126" s="4" t="s">
        <v>36</v>
      </c>
      <c r="M126" s="4" t="s">
        <v>21</v>
      </c>
      <c r="N126" s="4" t="s">
        <v>22</v>
      </c>
      <c r="O126" s="4"/>
    </row>
    <row r="127" spans="2:15">
      <c r="B127" s="15"/>
      <c r="C127" s="15"/>
      <c r="D127" s="24" t="s">
        <v>237</v>
      </c>
      <c r="E127" s="21">
        <v>0.39</v>
      </c>
      <c r="F127" s="22">
        <v>0.22</v>
      </c>
      <c r="G127" s="22">
        <v>0.56000000000000005</v>
      </c>
      <c r="H127" s="22"/>
      <c r="I127" s="23"/>
      <c r="J127" s="17">
        <v>2007</v>
      </c>
      <c r="K127" s="20" t="s">
        <v>27</v>
      </c>
      <c r="L127" s="4" t="s">
        <v>238</v>
      </c>
      <c r="M127" s="4" t="s">
        <v>44</v>
      </c>
      <c r="N127" s="4" t="s">
        <v>33</v>
      </c>
      <c r="O127" s="4" t="s">
        <v>239</v>
      </c>
    </row>
    <row r="128" spans="2:15">
      <c r="B128" s="15"/>
      <c r="C128" s="15"/>
      <c r="D128" s="24" t="s">
        <v>240</v>
      </c>
      <c r="E128" s="21">
        <v>0.3</v>
      </c>
      <c r="F128" s="22">
        <v>0.13</v>
      </c>
      <c r="G128" s="22">
        <v>0.48</v>
      </c>
      <c r="H128" s="22"/>
      <c r="I128" s="23"/>
      <c r="J128" s="17">
        <v>2015</v>
      </c>
      <c r="K128" s="20" t="s">
        <v>27</v>
      </c>
      <c r="L128" s="4" t="s">
        <v>238</v>
      </c>
      <c r="M128" s="4" t="s">
        <v>44</v>
      </c>
      <c r="N128" s="4" t="s">
        <v>33</v>
      </c>
      <c r="O128" s="4"/>
    </row>
    <row r="129" spans="2:15">
      <c r="B129" s="15"/>
      <c r="C129" s="15"/>
      <c r="D129" s="24" t="s">
        <v>240</v>
      </c>
      <c r="E129" s="21">
        <v>0.72</v>
      </c>
      <c r="F129" s="22">
        <v>0.19</v>
      </c>
      <c r="G129" s="22">
        <v>1.25</v>
      </c>
      <c r="H129" s="22"/>
      <c r="I129" s="23"/>
      <c r="J129" s="17">
        <v>2011</v>
      </c>
      <c r="K129" s="20" t="s">
        <v>27</v>
      </c>
      <c r="L129" s="4" t="s">
        <v>24</v>
      </c>
      <c r="M129" s="4" t="s">
        <v>44</v>
      </c>
      <c r="N129" s="4" t="s">
        <v>33</v>
      </c>
      <c r="O129" s="4"/>
    </row>
    <row r="130" spans="2:15">
      <c r="B130" s="15"/>
      <c r="C130" s="15"/>
      <c r="D130" s="24" t="s">
        <v>240</v>
      </c>
      <c r="E130" s="21">
        <v>0.39</v>
      </c>
      <c r="F130" s="22">
        <v>0.22</v>
      </c>
      <c r="G130" s="22">
        <v>0.56000000000000005</v>
      </c>
      <c r="H130" s="22"/>
      <c r="I130" s="23"/>
      <c r="J130" s="17">
        <v>2007</v>
      </c>
      <c r="K130" s="20" t="s">
        <v>27</v>
      </c>
      <c r="L130" s="4" t="s">
        <v>241</v>
      </c>
      <c r="M130" s="4" t="s">
        <v>74</v>
      </c>
      <c r="N130" s="4" t="s">
        <v>75</v>
      </c>
      <c r="O130" s="4"/>
    </row>
    <row r="131" spans="2:15">
      <c r="B131" s="15"/>
      <c r="C131" s="15" t="s">
        <v>242</v>
      </c>
      <c r="D131" s="24" t="s">
        <v>243</v>
      </c>
      <c r="E131" s="21">
        <v>0.1</v>
      </c>
      <c r="F131" s="22"/>
      <c r="G131" s="22"/>
      <c r="H131" s="22"/>
      <c r="I131" s="23"/>
      <c r="J131" s="17">
        <v>2014</v>
      </c>
      <c r="K131" s="20" t="s">
        <v>27</v>
      </c>
      <c r="L131" s="4" t="s">
        <v>244</v>
      </c>
      <c r="M131" s="4" t="s">
        <v>21</v>
      </c>
      <c r="N131" s="4"/>
      <c r="O131" s="4" t="s">
        <v>420</v>
      </c>
    </row>
    <row r="132" spans="2:15">
      <c r="B132" s="15"/>
      <c r="C132" s="15"/>
      <c r="D132" s="24" t="s">
        <v>243</v>
      </c>
      <c r="E132" s="21">
        <v>0.1</v>
      </c>
      <c r="F132" s="22"/>
      <c r="G132" s="22"/>
      <c r="H132" s="22">
        <v>0.4</v>
      </c>
      <c r="I132" s="23">
        <v>0</v>
      </c>
      <c r="J132" s="17">
        <v>2014</v>
      </c>
      <c r="K132" s="20" t="s">
        <v>27</v>
      </c>
      <c r="L132" s="4" t="s">
        <v>24</v>
      </c>
      <c r="M132" s="4" t="s">
        <v>21</v>
      </c>
      <c r="N132" s="4"/>
      <c r="O132" s="4" t="s">
        <v>420</v>
      </c>
    </row>
    <row r="133" spans="2:15">
      <c r="B133" s="15"/>
      <c r="C133" s="15"/>
      <c r="D133" s="24" t="s">
        <v>243</v>
      </c>
      <c r="E133" s="21">
        <v>0.02</v>
      </c>
      <c r="F133" s="22"/>
      <c r="G133" s="22"/>
      <c r="H133" s="22"/>
      <c r="I133" s="23"/>
      <c r="J133" s="17">
        <v>2004</v>
      </c>
      <c r="K133" s="20" t="s">
        <v>27</v>
      </c>
      <c r="L133" s="4" t="s">
        <v>24</v>
      </c>
      <c r="M133" s="4"/>
      <c r="N133" s="4"/>
      <c r="O133" s="4"/>
    </row>
    <row r="134" spans="2:15">
      <c r="B134" s="15"/>
      <c r="C134" s="15"/>
      <c r="D134" s="24" t="s">
        <v>245</v>
      </c>
      <c r="E134" s="21">
        <v>0.5</v>
      </c>
      <c r="F134" s="22">
        <v>0.09</v>
      </c>
      <c r="G134" s="22">
        <v>0.91</v>
      </c>
      <c r="H134" s="22"/>
      <c r="I134" s="23"/>
      <c r="J134" s="17">
        <v>2011</v>
      </c>
      <c r="K134" s="20" t="s">
        <v>27</v>
      </c>
      <c r="L134" s="4" t="s">
        <v>24</v>
      </c>
      <c r="M134" s="4" t="s">
        <v>44</v>
      </c>
      <c r="N134" s="4" t="s">
        <v>147</v>
      </c>
      <c r="O134" s="4"/>
    </row>
    <row r="135" spans="2:15">
      <c r="B135" s="15"/>
      <c r="C135" s="15"/>
      <c r="D135" s="24" t="s">
        <v>245</v>
      </c>
      <c r="E135" s="21">
        <v>1.04</v>
      </c>
      <c r="F135" s="22">
        <v>0.37</v>
      </c>
      <c r="G135" s="22">
        <v>1.71</v>
      </c>
      <c r="H135" s="22"/>
      <c r="I135" s="23"/>
      <c r="J135" s="17">
        <v>2008</v>
      </c>
      <c r="K135" s="20" t="s">
        <v>27</v>
      </c>
      <c r="L135" s="4" t="s">
        <v>241</v>
      </c>
      <c r="M135" s="4" t="s">
        <v>74</v>
      </c>
      <c r="N135" s="4" t="s">
        <v>246</v>
      </c>
      <c r="O135" s="4"/>
    </row>
    <row r="136" spans="2:15">
      <c r="B136" s="15"/>
      <c r="C136" s="15"/>
      <c r="D136" s="24" t="s">
        <v>247</v>
      </c>
      <c r="E136" s="21">
        <v>0.7</v>
      </c>
      <c r="F136" s="22"/>
      <c r="G136" s="22"/>
      <c r="H136" s="22">
        <v>0.8</v>
      </c>
      <c r="I136" s="23">
        <v>0.6</v>
      </c>
      <c r="J136" s="17">
        <v>2020</v>
      </c>
      <c r="K136" s="20" t="s">
        <v>27</v>
      </c>
      <c r="L136" s="4" t="s">
        <v>24</v>
      </c>
      <c r="M136" s="4" t="s">
        <v>21</v>
      </c>
      <c r="N136" s="4"/>
      <c r="O136" s="4" t="s">
        <v>415</v>
      </c>
    </row>
    <row r="137" spans="2:15">
      <c r="B137" s="15"/>
      <c r="C137" s="15"/>
      <c r="D137" s="24" t="s">
        <v>247</v>
      </c>
      <c r="E137" s="21">
        <v>0.8</v>
      </c>
      <c r="F137" s="22">
        <v>0.7</v>
      </c>
      <c r="G137" s="22">
        <v>0.9</v>
      </c>
      <c r="H137" s="22">
        <v>1</v>
      </c>
      <c r="I137" s="23">
        <v>0.55000000000000004</v>
      </c>
      <c r="J137" s="17">
        <v>2016</v>
      </c>
      <c r="K137" s="20" t="s">
        <v>27</v>
      </c>
      <c r="L137" s="4" t="s">
        <v>61</v>
      </c>
      <c r="M137" s="4" t="s">
        <v>21</v>
      </c>
      <c r="N137" s="4"/>
      <c r="O137" s="4" t="s">
        <v>415</v>
      </c>
    </row>
    <row r="138" spans="2:15">
      <c r="B138" s="15"/>
      <c r="C138" s="15"/>
      <c r="D138" s="24" t="s">
        <v>247</v>
      </c>
      <c r="E138" s="21">
        <v>0.65</v>
      </c>
      <c r="F138" s="22">
        <v>0.6</v>
      </c>
      <c r="G138" s="22">
        <v>0.7</v>
      </c>
      <c r="H138" s="22">
        <v>0.85</v>
      </c>
      <c r="I138" s="23">
        <v>0.4</v>
      </c>
      <c r="J138" s="17">
        <v>2012</v>
      </c>
      <c r="K138" s="20" t="s">
        <v>27</v>
      </c>
      <c r="L138" s="4" t="s">
        <v>24</v>
      </c>
      <c r="M138" s="4" t="s">
        <v>21</v>
      </c>
      <c r="N138" s="4"/>
      <c r="O138" s="4"/>
    </row>
    <row r="139" spans="2:15">
      <c r="B139" s="15"/>
      <c r="C139" s="15"/>
      <c r="D139" s="24" t="s">
        <v>247</v>
      </c>
      <c r="E139" s="21">
        <v>0.95</v>
      </c>
      <c r="F139" s="22">
        <v>0.9</v>
      </c>
      <c r="G139" s="22">
        <v>1</v>
      </c>
      <c r="H139" s="22"/>
      <c r="I139" s="23"/>
      <c r="J139" s="17">
        <v>2008</v>
      </c>
      <c r="K139" s="20" t="s">
        <v>27</v>
      </c>
      <c r="L139" s="4" t="s">
        <v>24</v>
      </c>
      <c r="M139" s="4" t="s">
        <v>21</v>
      </c>
      <c r="N139" s="4"/>
      <c r="O139" s="4"/>
    </row>
    <row r="140" spans="2:15">
      <c r="B140" s="15"/>
      <c r="C140" s="15"/>
      <c r="D140" s="24" t="s">
        <v>247</v>
      </c>
      <c r="E140" s="21">
        <v>0.5</v>
      </c>
      <c r="F140" s="22"/>
      <c r="G140" s="22"/>
      <c r="H140" s="22"/>
      <c r="I140" s="23"/>
      <c r="J140" s="17">
        <v>2007</v>
      </c>
      <c r="K140" s="20" t="s">
        <v>27</v>
      </c>
      <c r="L140" s="4" t="s">
        <v>38</v>
      </c>
      <c r="M140" s="4" t="s">
        <v>446</v>
      </c>
      <c r="N140" s="4"/>
      <c r="O140" s="4"/>
    </row>
    <row r="141" spans="2:15">
      <c r="B141" s="15"/>
      <c r="C141" s="15"/>
      <c r="D141" s="24" t="s">
        <v>248</v>
      </c>
      <c r="E141" s="21">
        <v>1.8</v>
      </c>
      <c r="F141" s="22"/>
      <c r="G141" s="22"/>
      <c r="H141" s="22">
        <v>2.6</v>
      </c>
      <c r="I141" s="23">
        <v>1</v>
      </c>
      <c r="J141" s="17">
        <v>2019</v>
      </c>
      <c r="K141" s="20" t="s">
        <v>27</v>
      </c>
      <c r="L141" s="4" t="s">
        <v>24</v>
      </c>
      <c r="M141" s="4" t="s">
        <v>21</v>
      </c>
      <c r="N141" s="4"/>
      <c r="O141" s="4" t="s">
        <v>413</v>
      </c>
    </row>
    <row r="142" spans="2:15">
      <c r="B142" s="15"/>
      <c r="C142" s="15"/>
      <c r="D142" s="24" t="s">
        <v>248</v>
      </c>
      <c r="E142" s="21">
        <v>1</v>
      </c>
      <c r="F142" s="22"/>
      <c r="G142" s="22"/>
      <c r="H142" s="22">
        <v>1.6</v>
      </c>
      <c r="I142" s="23">
        <v>0.4</v>
      </c>
      <c r="J142" s="17">
        <v>2015</v>
      </c>
      <c r="K142" s="20" t="s">
        <v>27</v>
      </c>
      <c r="L142" s="4" t="s">
        <v>24</v>
      </c>
      <c r="M142" s="4" t="s">
        <v>21</v>
      </c>
      <c r="N142" s="4"/>
      <c r="O142" s="4" t="s">
        <v>420</v>
      </c>
    </row>
    <row r="143" spans="2:15">
      <c r="B143" s="15"/>
      <c r="C143" s="15"/>
      <c r="D143" s="24" t="s">
        <v>248</v>
      </c>
      <c r="E143" s="21">
        <v>0.8</v>
      </c>
      <c r="F143" s="22"/>
      <c r="G143" s="22"/>
      <c r="H143" s="22"/>
      <c r="I143" s="23"/>
      <c r="J143" s="17">
        <v>2012</v>
      </c>
      <c r="K143" s="20" t="s">
        <v>27</v>
      </c>
      <c r="L143" s="4" t="s">
        <v>249</v>
      </c>
      <c r="M143" s="4" t="s">
        <v>21</v>
      </c>
      <c r="N143" s="4"/>
      <c r="O143" s="4"/>
    </row>
    <row r="144" spans="2:15">
      <c r="B144" s="15"/>
      <c r="C144" s="15"/>
      <c r="D144" s="24" t="s">
        <v>248</v>
      </c>
      <c r="E144" s="21">
        <v>0.7</v>
      </c>
      <c r="F144" s="22">
        <v>0.57999999999999996</v>
      </c>
      <c r="G144" s="22">
        <v>0.83</v>
      </c>
      <c r="H144" s="22"/>
      <c r="I144" s="23"/>
      <c r="J144" s="17">
        <v>2007</v>
      </c>
      <c r="K144" s="20" t="s">
        <v>27</v>
      </c>
      <c r="L144" s="4" t="s">
        <v>241</v>
      </c>
      <c r="M144" s="4" t="s">
        <v>74</v>
      </c>
      <c r="N144" s="4" t="s">
        <v>75</v>
      </c>
      <c r="O144" s="4"/>
    </row>
    <row r="145" spans="2:15">
      <c r="B145" s="15"/>
      <c r="C145" s="15"/>
      <c r="D145" s="24" t="s">
        <v>251</v>
      </c>
      <c r="E145" s="21">
        <v>0.1</v>
      </c>
      <c r="F145" s="22"/>
      <c r="G145" s="22"/>
      <c r="H145" s="22">
        <v>0.2</v>
      </c>
      <c r="I145" s="23">
        <v>0.1</v>
      </c>
      <c r="J145" s="17">
        <v>2017</v>
      </c>
      <c r="K145" s="20" t="s">
        <v>27</v>
      </c>
      <c r="L145" s="4" t="s">
        <v>24</v>
      </c>
      <c r="M145" s="4" t="s">
        <v>21</v>
      </c>
      <c r="N145" s="4"/>
      <c r="O145" s="4" t="s">
        <v>413</v>
      </c>
    </row>
    <row r="146" spans="2:15">
      <c r="B146" s="15"/>
      <c r="C146" s="15"/>
      <c r="D146" s="24" t="s">
        <v>251</v>
      </c>
      <c r="E146" s="21">
        <v>0.66</v>
      </c>
      <c r="F146" s="22">
        <v>0.28000000000000003</v>
      </c>
      <c r="G146" s="22">
        <v>1.04</v>
      </c>
      <c r="H146" s="22"/>
      <c r="I146" s="23"/>
      <c r="J146" s="17">
        <v>2015</v>
      </c>
      <c r="K146" s="20" t="s">
        <v>27</v>
      </c>
      <c r="L146" s="4" t="s">
        <v>238</v>
      </c>
      <c r="M146" s="4" t="s">
        <v>44</v>
      </c>
      <c r="N146" s="4" t="s">
        <v>33</v>
      </c>
      <c r="O146" s="4"/>
    </row>
    <row r="147" spans="2:15">
      <c r="B147" s="15"/>
      <c r="C147" s="15"/>
      <c r="D147" s="24" t="s">
        <v>251</v>
      </c>
      <c r="E147" s="21">
        <v>0.72</v>
      </c>
      <c r="F147" s="22">
        <v>0.19</v>
      </c>
      <c r="G147" s="22">
        <v>1.25</v>
      </c>
      <c r="H147" s="22"/>
      <c r="I147" s="23"/>
      <c r="J147" s="17">
        <v>2011</v>
      </c>
      <c r="K147" s="20" t="s">
        <v>27</v>
      </c>
      <c r="L147" s="4" t="s">
        <v>234</v>
      </c>
      <c r="M147" s="4" t="s">
        <v>44</v>
      </c>
      <c r="N147" s="4" t="s">
        <v>33</v>
      </c>
      <c r="O147" s="4"/>
    </row>
    <row r="148" spans="2:15">
      <c r="B148" s="15"/>
      <c r="C148" s="15"/>
      <c r="D148" s="24" t="s">
        <v>251</v>
      </c>
      <c r="E148" s="21">
        <v>0.45</v>
      </c>
      <c r="F148" s="22">
        <v>7.0000000000000007E-2</v>
      </c>
      <c r="G148" s="22">
        <v>0.93</v>
      </c>
      <c r="H148" s="22"/>
      <c r="I148" s="23"/>
      <c r="J148" s="17">
        <v>2007</v>
      </c>
      <c r="K148" s="20" t="s">
        <v>27</v>
      </c>
      <c r="L148" s="4" t="s">
        <v>241</v>
      </c>
      <c r="M148" s="4" t="s">
        <v>74</v>
      </c>
      <c r="N148" s="4" t="s">
        <v>75</v>
      </c>
      <c r="O148" s="4"/>
    </row>
    <row r="149" spans="2:15">
      <c r="B149" s="15"/>
      <c r="C149" s="15"/>
      <c r="D149" s="24" t="s">
        <v>252</v>
      </c>
      <c r="E149" s="21">
        <v>0.06</v>
      </c>
      <c r="F149" s="22"/>
      <c r="G149" s="22"/>
      <c r="H149" s="22">
        <v>0.08</v>
      </c>
      <c r="I149" s="23">
        <v>0.04</v>
      </c>
      <c r="J149" s="17">
        <v>2017</v>
      </c>
      <c r="K149" s="20" t="s">
        <v>27</v>
      </c>
      <c r="L149" s="4" t="s">
        <v>24</v>
      </c>
      <c r="M149" s="4" t="s">
        <v>21</v>
      </c>
      <c r="N149" s="4"/>
      <c r="O149" s="4" t="s">
        <v>447</v>
      </c>
    </row>
    <row r="150" spans="2:15">
      <c r="B150" s="15"/>
      <c r="C150" s="15"/>
      <c r="D150" s="24" t="s">
        <v>252</v>
      </c>
      <c r="E150" s="21">
        <v>0.33</v>
      </c>
      <c r="F150" s="22">
        <v>0.14000000000000001</v>
      </c>
      <c r="G150" s="22">
        <v>0.53</v>
      </c>
      <c r="H150" s="22"/>
      <c r="I150" s="23"/>
      <c r="J150" s="17">
        <v>2015</v>
      </c>
      <c r="K150" s="20" t="s">
        <v>27</v>
      </c>
      <c r="L150" s="4" t="s">
        <v>238</v>
      </c>
      <c r="M150" s="4" t="s">
        <v>44</v>
      </c>
      <c r="N150" s="4" t="s">
        <v>33</v>
      </c>
      <c r="O150" s="4"/>
    </row>
    <row r="151" spans="2:15">
      <c r="B151" s="15"/>
      <c r="C151" s="15"/>
      <c r="D151" s="24" t="s">
        <v>253</v>
      </c>
      <c r="E151" s="21">
        <v>0.1</v>
      </c>
      <c r="F151" s="22"/>
      <c r="G151" s="22"/>
      <c r="H151" s="22">
        <v>0.1</v>
      </c>
      <c r="I151" s="23">
        <v>0</v>
      </c>
      <c r="J151" s="17">
        <v>2016</v>
      </c>
      <c r="K151" s="20" t="s">
        <v>27</v>
      </c>
      <c r="L151" s="4" t="s">
        <v>24</v>
      </c>
      <c r="M151" s="4" t="s">
        <v>21</v>
      </c>
      <c r="N151" s="4"/>
      <c r="O151" s="4" t="s">
        <v>420</v>
      </c>
    </row>
    <row r="152" spans="2:15">
      <c r="B152" s="15"/>
      <c r="C152" s="15"/>
      <c r="D152" s="24" t="s">
        <v>253</v>
      </c>
      <c r="E152" s="21">
        <v>0.1</v>
      </c>
      <c r="F152" s="22"/>
      <c r="G152" s="22"/>
      <c r="H152" s="22">
        <v>0.1</v>
      </c>
      <c r="I152" s="23">
        <v>0.1</v>
      </c>
      <c r="J152" s="17">
        <v>2013</v>
      </c>
      <c r="K152" s="20" t="s">
        <v>27</v>
      </c>
      <c r="L152" s="4" t="s">
        <v>24</v>
      </c>
      <c r="M152" s="4" t="s">
        <v>21</v>
      </c>
      <c r="N152" s="4"/>
      <c r="O152" s="4" t="s">
        <v>420</v>
      </c>
    </row>
    <row r="153" spans="2:15">
      <c r="B153" s="15"/>
      <c r="C153" s="15"/>
      <c r="D153" s="24" t="s">
        <v>253</v>
      </c>
      <c r="E153" s="21">
        <v>0.03</v>
      </c>
      <c r="F153" s="22"/>
      <c r="G153" s="22"/>
      <c r="H153" s="22"/>
      <c r="I153" s="23"/>
      <c r="J153" s="17">
        <v>2010</v>
      </c>
      <c r="K153" s="20" t="s">
        <v>27</v>
      </c>
      <c r="L153" s="4" t="s">
        <v>249</v>
      </c>
      <c r="M153" s="4" t="s">
        <v>21</v>
      </c>
      <c r="N153" s="4"/>
      <c r="O153" s="4"/>
    </row>
    <row r="154" spans="2:15">
      <c r="B154" s="15"/>
      <c r="C154" s="15"/>
      <c r="D154" s="24" t="s">
        <v>253</v>
      </c>
      <c r="E154" s="21">
        <v>0.1</v>
      </c>
      <c r="F154" s="22"/>
      <c r="G154" s="22"/>
      <c r="H154" s="22"/>
      <c r="I154" s="23"/>
      <c r="J154" s="17">
        <v>2004</v>
      </c>
      <c r="K154" s="20" t="s">
        <v>27</v>
      </c>
      <c r="L154" s="4" t="s">
        <v>58</v>
      </c>
      <c r="M154" s="4"/>
      <c r="N154" s="4" t="s">
        <v>75</v>
      </c>
      <c r="O154" s="4"/>
    </row>
    <row r="155" spans="2:15">
      <c r="B155" s="15"/>
      <c r="C155" s="15"/>
      <c r="D155" s="24" t="s">
        <v>254</v>
      </c>
      <c r="E155" s="21">
        <v>0.1</v>
      </c>
      <c r="F155" s="22"/>
      <c r="G155" s="22"/>
      <c r="H155" s="22">
        <v>0.1</v>
      </c>
      <c r="I155" s="23">
        <v>0</v>
      </c>
      <c r="J155" s="17">
        <v>2023</v>
      </c>
      <c r="K155" s="20" t="s">
        <v>144</v>
      </c>
      <c r="L155" s="4" t="s">
        <v>24</v>
      </c>
      <c r="M155" s="4" t="s">
        <v>51</v>
      </c>
      <c r="N155" s="4"/>
      <c r="O155" s="4"/>
    </row>
    <row r="156" spans="2:15">
      <c r="B156" s="15"/>
      <c r="C156" s="15"/>
      <c r="D156" s="24" t="s">
        <v>254</v>
      </c>
      <c r="E156" s="21">
        <v>0.2</v>
      </c>
      <c r="F156" s="22"/>
      <c r="G156" s="22"/>
      <c r="H156" s="22">
        <v>0.2</v>
      </c>
      <c r="I156" s="23">
        <v>0.2</v>
      </c>
      <c r="J156" s="17">
        <v>2018</v>
      </c>
      <c r="K156" s="20" t="s">
        <v>27</v>
      </c>
      <c r="L156" s="4" t="s">
        <v>24</v>
      </c>
      <c r="M156" s="4" t="s">
        <v>21</v>
      </c>
      <c r="N156" s="4"/>
      <c r="O156" s="4" t="s">
        <v>420</v>
      </c>
    </row>
    <row r="157" spans="2:15">
      <c r="B157" s="15"/>
      <c r="C157" s="15"/>
      <c r="D157" s="24" t="s">
        <v>254</v>
      </c>
      <c r="E157" s="21">
        <v>0.1</v>
      </c>
      <c r="F157" s="22"/>
      <c r="G157" s="22"/>
      <c r="H157" s="22">
        <v>0.2</v>
      </c>
      <c r="I157" s="23">
        <v>0.1</v>
      </c>
      <c r="J157" s="17">
        <v>2014</v>
      </c>
      <c r="K157" s="20" t="s">
        <v>144</v>
      </c>
      <c r="L157" s="4" t="s">
        <v>384</v>
      </c>
      <c r="M157" s="4" t="s">
        <v>21</v>
      </c>
      <c r="N157" s="4"/>
      <c r="O157" s="4"/>
    </row>
    <row r="158" spans="2:15">
      <c r="B158" s="15"/>
      <c r="C158" s="15"/>
      <c r="D158" s="24" t="s">
        <v>254</v>
      </c>
      <c r="E158" s="21">
        <v>0.24</v>
      </c>
      <c r="F158" s="22">
        <v>0.12</v>
      </c>
      <c r="G158" s="22">
        <v>0.47</v>
      </c>
      <c r="H158" s="22"/>
      <c r="I158" s="23"/>
      <c r="J158" s="17">
        <v>2006</v>
      </c>
      <c r="K158" s="20" t="s">
        <v>27</v>
      </c>
      <c r="L158" s="4" t="s">
        <v>384</v>
      </c>
      <c r="M158" s="4" t="s">
        <v>21</v>
      </c>
      <c r="N158" s="4" t="s">
        <v>177</v>
      </c>
      <c r="O158" s="4"/>
    </row>
    <row r="159" spans="2:15">
      <c r="B159" s="15"/>
      <c r="C159" s="15"/>
      <c r="D159" s="24" t="s">
        <v>256</v>
      </c>
      <c r="E159" s="21">
        <v>0.02</v>
      </c>
      <c r="F159" s="22"/>
      <c r="G159" s="22"/>
      <c r="H159" s="22">
        <v>0.04</v>
      </c>
      <c r="I159" s="23">
        <v>0.01</v>
      </c>
      <c r="J159" s="17">
        <v>2018</v>
      </c>
      <c r="K159" s="20" t="s">
        <v>27</v>
      </c>
      <c r="L159" s="4" t="s">
        <v>24</v>
      </c>
      <c r="M159" s="4" t="s">
        <v>21</v>
      </c>
      <c r="N159" s="4"/>
      <c r="O159" s="4" t="s">
        <v>409</v>
      </c>
    </row>
    <row r="160" spans="2:15">
      <c r="B160" s="15"/>
      <c r="C160" s="15"/>
      <c r="D160" s="24" t="s">
        <v>256</v>
      </c>
      <c r="E160" s="21"/>
      <c r="F160" s="22"/>
      <c r="G160" s="22"/>
      <c r="H160" s="22">
        <v>0.1</v>
      </c>
      <c r="I160" s="23"/>
      <c r="J160" s="17">
        <v>2011</v>
      </c>
      <c r="K160" s="20" t="s">
        <v>27</v>
      </c>
      <c r="L160" s="4" t="s">
        <v>249</v>
      </c>
      <c r="M160" s="4" t="s">
        <v>21</v>
      </c>
      <c r="N160" s="4"/>
      <c r="O160" s="4"/>
    </row>
    <row r="161" spans="2:15">
      <c r="B161" s="15"/>
      <c r="C161" s="15"/>
      <c r="D161" s="24" t="s">
        <v>256</v>
      </c>
      <c r="E161" s="21">
        <v>0.2</v>
      </c>
      <c r="F161" s="22"/>
      <c r="G161" s="22"/>
      <c r="H161" s="22"/>
      <c r="I161" s="23"/>
      <c r="J161" s="17">
        <v>2003</v>
      </c>
      <c r="K161" s="20" t="s">
        <v>27</v>
      </c>
      <c r="L161" s="4" t="s">
        <v>61</v>
      </c>
      <c r="M161" s="4"/>
      <c r="N161" s="4"/>
      <c r="O161" s="4"/>
    </row>
    <row r="162" spans="2:15">
      <c r="B162" s="15"/>
      <c r="C162" s="15" t="s">
        <v>257</v>
      </c>
      <c r="D162" s="24" t="s">
        <v>258</v>
      </c>
      <c r="E162" s="21">
        <v>1.17</v>
      </c>
      <c r="F162" s="22"/>
      <c r="G162" s="22"/>
      <c r="H162" s="22">
        <v>1.6</v>
      </c>
      <c r="I162" s="23">
        <v>0.7</v>
      </c>
      <c r="J162" s="17">
        <v>2022</v>
      </c>
      <c r="K162" s="20" t="s">
        <v>27</v>
      </c>
      <c r="L162" s="4" t="s">
        <v>36</v>
      </c>
      <c r="M162" s="4"/>
      <c r="N162" s="4"/>
      <c r="O162" s="4"/>
    </row>
    <row r="163" spans="2:15">
      <c r="B163" s="15"/>
      <c r="C163" s="15"/>
      <c r="D163" s="24" t="s">
        <v>258</v>
      </c>
      <c r="E163" s="21">
        <v>2.31</v>
      </c>
      <c r="F163" s="22">
        <v>1.81</v>
      </c>
      <c r="G163" s="22">
        <v>2.82</v>
      </c>
      <c r="H163" s="22"/>
      <c r="I163" s="23"/>
      <c r="J163" s="17">
        <v>2020</v>
      </c>
      <c r="K163" s="20" t="s">
        <v>27</v>
      </c>
      <c r="L163" s="4" t="s">
        <v>448</v>
      </c>
      <c r="M163" s="4" t="s">
        <v>21</v>
      </c>
      <c r="N163" s="4"/>
      <c r="O163" s="4" t="s">
        <v>415</v>
      </c>
    </row>
    <row r="164" spans="2:15">
      <c r="B164" s="15"/>
      <c r="C164" s="15"/>
      <c r="D164" s="24" t="s">
        <v>258</v>
      </c>
      <c r="E164" s="21">
        <v>0.4</v>
      </c>
      <c r="F164" s="22">
        <v>0.2</v>
      </c>
      <c r="G164" s="22">
        <v>0.6</v>
      </c>
      <c r="H164" s="22">
        <v>0.5</v>
      </c>
      <c r="I164" s="23">
        <v>0.4</v>
      </c>
      <c r="J164" s="17">
        <v>2015</v>
      </c>
      <c r="K164" s="20" t="s">
        <v>27</v>
      </c>
      <c r="L164" s="4" t="s">
        <v>36</v>
      </c>
      <c r="M164" s="4" t="s">
        <v>21</v>
      </c>
      <c r="N164" s="4"/>
      <c r="O164" s="4"/>
    </row>
    <row r="165" spans="2:15">
      <c r="B165" s="15"/>
      <c r="C165" s="15"/>
      <c r="D165" s="24" t="s">
        <v>258</v>
      </c>
      <c r="E165" s="21">
        <v>0.5</v>
      </c>
      <c r="F165" s="22"/>
      <c r="G165" s="22"/>
      <c r="H165" s="22"/>
      <c r="I165" s="23"/>
      <c r="J165" s="17">
        <v>2008</v>
      </c>
      <c r="K165" s="20" t="s">
        <v>27</v>
      </c>
      <c r="L165" s="4" t="s">
        <v>36</v>
      </c>
      <c r="M165" s="4" t="s">
        <v>21</v>
      </c>
      <c r="N165" s="4" t="s">
        <v>37</v>
      </c>
      <c r="O165" s="4"/>
    </row>
    <row r="166" spans="2:15">
      <c r="B166" s="15"/>
      <c r="C166" s="15"/>
      <c r="D166" s="24" t="s">
        <v>258</v>
      </c>
      <c r="E166" s="21">
        <v>0.8</v>
      </c>
      <c r="F166" s="22"/>
      <c r="G166" s="22"/>
      <c r="H166" s="22"/>
      <c r="I166" s="23"/>
      <c r="J166" s="17">
        <v>2004</v>
      </c>
      <c r="K166" s="20" t="s">
        <v>27</v>
      </c>
      <c r="L166" s="4" t="s">
        <v>259</v>
      </c>
      <c r="M166" s="4" t="s">
        <v>51</v>
      </c>
      <c r="N166" s="4"/>
      <c r="O166" s="4"/>
    </row>
    <row r="167" spans="2:15">
      <c r="B167" s="15"/>
      <c r="C167" s="15"/>
      <c r="D167" s="24" t="s">
        <v>260</v>
      </c>
      <c r="E167" s="21">
        <v>0.65</v>
      </c>
      <c r="F167" s="22">
        <v>0.5</v>
      </c>
      <c r="G167" s="22">
        <v>0.8</v>
      </c>
      <c r="H167" s="22"/>
      <c r="I167" s="23"/>
      <c r="J167" s="17">
        <v>2018</v>
      </c>
      <c r="K167" s="20" t="s">
        <v>27</v>
      </c>
      <c r="L167" s="4" t="s">
        <v>122</v>
      </c>
      <c r="M167" s="4" t="s">
        <v>21</v>
      </c>
      <c r="N167" s="4"/>
      <c r="O167" s="4" t="s">
        <v>415</v>
      </c>
    </row>
    <row r="168" spans="2:15">
      <c r="B168" s="15"/>
      <c r="C168" s="15"/>
      <c r="D168" s="24" t="s">
        <v>260</v>
      </c>
      <c r="E168" s="21">
        <v>0.2</v>
      </c>
      <c r="F168" s="22"/>
      <c r="G168" s="22"/>
      <c r="H168" s="22">
        <v>0.3</v>
      </c>
      <c r="I168" s="23">
        <v>0.1</v>
      </c>
      <c r="J168" s="17">
        <v>2013</v>
      </c>
      <c r="K168" s="20" t="s">
        <v>27</v>
      </c>
      <c r="L168" s="4" t="s">
        <v>249</v>
      </c>
      <c r="M168" s="4" t="s">
        <v>21</v>
      </c>
      <c r="N168" s="4"/>
      <c r="O168" s="4"/>
    </row>
    <row r="169" spans="2:15">
      <c r="B169" s="15"/>
      <c r="C169" s="15"/>
      <c r="D169" s="24" t="s">
        <v>260</v>
      </c>
      <c r="E169" s="21">
        <v>0.9</v>
      </c>
      <c r="F169" s="22"/>
      <c r="G169" s="22"/>
      <c r="H169" s="22">
        <v>1.4</v>
      </c>
      <c r="I169" s="23">
        <v>0.4</v>
      </c>
      <c r="J169" s="17">
        <v>2008</v>
      </c>
      <c r="K169" s="20" t="s">
        <v>27</v>
      </c>
      <c r="L169" s="4" t="s">
        <v>24</v>
      </c>
      <c r="M169" s="4" t="s">
        <v>21</v>
      </c>
      <c r="N169" s="4"/>
      <c r="O169" s="4"/>
    </row>
    <row r="170" spans="2:15">
      <c r="B170" s="15"/>
      <c r="C170" s="15"/>
      <c r="D170" s="24" t="s">
        <v>260</v>
      </c>
      <c r="E170" s="21">
        <v>0.85</v>
      </c>
      <c r="F170" s="22"/>
      <c r="G170" s="22"/>
      <c r="H170" s="22"/>
      <c r="I170" s="23"/>
      <c r="J170" s="17">
        <v>2007</v>
      </c>
      <c r="K170" s="20" t="s">
        <v>27</v>
      </c>
      <c r="L170" s="4" t="s">
        <v>241</v>
      </c>
      <c r="M170" s="4" t="s">
        <v>74</v>
      </c>
      <c r="N170" s="4" t="s">
        <v>246</v>
      </c>
      <c r="O170" s="4"/>
    </row>
    <row r="171" spans="2:15">
      <c r="B171" s="15"/>
      <c r="C171" s="15"/>
      <c r="D171" s="24" t="s">
        <v>262</v>
      </c>
      <c r="E171" s="21">
        <v>0.5</v>
      </c>
      <c r="F171" s="22"/>
      <c r="G171" s="22"/>
      <c r="H171" s="22">
        <v>0.6</v>
      </c>
      <c r="I171" s="23">
        <v>0.3</v>
      </c>
      <c r="J171" s="17">
        <v>2022</v>
      </c>
      <c r="K171" s="20" t="s">
        <v>27</v>
      </c>
      <c r="L171" s="4" t="s">
        <v>24</v>
      </c>
      <c r="M171" s="4" t="s">
        <v>51</v>
      </c>
      <c r="N171" s="4"/>
      <c r="O171" s="4"/>
    </row>
    <row r="172" spans="2:15">
      <c r="B172" s="15"/>
      <c r="C172" s="15"/>
      <c r="D172" s="24" t="s">
        <v>262</v>
      </c>
      <c r="E172" s="21">
        <v>0.1</v>
      </c>
      <c r="F172" s="22"/>
      <c r="G172" s="22"/>
      <c r="H172" s="22">
        <v>0.2</v>
      </c>
      <c r="I172" s="23">
        <v>0</v>
      </c>
      <c r="J172" s="17">
        <v>2019</v>
      </c>
      <c r="K172" s="20" t="s">
        <v>27</v>
      </c>
      <c r="L172" s="4" t="s">
        <v>24</v>
      </c>
      <c r="M172" s="4" t="s">
        <v>21</v>
      </c>
      <c r="N172" s="4"/>
      <c r="O172" s="4" t="s">
        <v>420</v>
      </c>
    </row>
    <row r="173" spans="2:15">
      <c r="B173" s="15"/>
      <c r="C173" s="15"/>
      <c r="D173" s="24" t="s">
        <v>262</v>
      </c>
      <c r="E173" s="21">
        <v>0.1</v>
      </c>
      <c r="F173" s="22"/>
      <c r="G173" s="22"/>
      <c r="H173" s="22">
        <v>0.1</v>
      </c>
      <c r="I173" s="23">
        <v>0.1</v>
      </c>
      <c r="J173" s="17">
        <v>2016</v>
      </c>
      <c r="K173" s="20" t="s">
        <v>27</v>
      </c>
      <c r="L173" s="4" t="s">
        <v>24</v>
      </c>
      <c r="M173" s="4" t="s">
        <v>21</v>
      </c>
      <c r="N173" s="4"/>
      <c r="O173" s="4" t="s">
        <v>420</v>
      </c>
    </row>
    <row r="174" spans="2:15">
      <c r="B174" s="15"/>
      <c r="C174" s="15"/>
      <c r="D174" s="24" t="s">
        <v>262</v>
      </c>
      <c r="E174" s="21">
        <v>0.3</v>
      </c>
      <c r="F174" s="22"/>
      <c r="G174" s="22"/>
      <c r="H174" s="22">
        <v>0.5</v>
      </c>
      <c r="I174" s="23">
        <v>0.1</v>
      </c>
      <c r="J174" s="17">
        <v>2012</v>
      </c>
      <c r="K174" s="20" t="s">
        <v>27</v>
      </c>
      <c r="L174" s="4" t="s">
        <v>24</v>
      </c>
      <c r="M174" s="4" t="s">
        <v>21</v>
      </c>
      <c r="N174" s="4"/>
      <c r="O174" s="4"/>
    </row>
    <row r="175" spans="2:15">
      <c r="B175" s="15"/>
      <c r="C175" s="15"/>
      <c r="D175" s="24" t="s">
        <v>262</v>
      </c>
      <c r="E175" s="21">
        <v>0.3</v>
      </c>
      <c r="F175" s="22"/>
      <c r="G175" s="22"/>
      <c r="H175" s="22">
        <v>0.4</v>
      </c>
      <c r="I175" s="23">
        <v>0.2</v>
      </c>
      <c r="J175" s="17">
        <v>2009</v>
      </c>
      <c r="K175" s="20" t="s">
        <v>27</v>
      </c>
      <c r="L175" s="4" t="s">
        <v>24</v>
      </c>
      <c r="M175" s="4" t="s">
        <v>21</v>
      </c>
      <c r="N175" s="4"/>
      <c r="O175" s="4"/>
    </row>
    <row r="176" spans="2:15">
      <c r="B176" s="15"/>
      <c r="C176" s="15"/>
      <c r="D176" s="24" t="s">
        <v>262</v>
      </c>
      <c r="E176" s="21">
        <v>0.4</v>
      </c>
      <c r="F176" s="22"/>
      <c r="G176" s="22"/>
      <c r="H176" s="22">
        <v>0.6</v>
      </c>
      <c r="I176" s="23">
        <v>0.1</v>
      </c>
      <c r="J176" s="17">
        <v>2006</v>
      </c>
      <c r="K176" s="20" t="s">
        <v>27</v>
      </c>
      <c r="L176" s="4" t="s">
        <v>38</v>
      </c>
      <c r="M176" s="4"/>
      <c r="N176" s="4"/>
      <c r="O176" s="4"/>
    </row>
    <row r="177" spans="2:15">
      <c r="B177" s="15"/>
      <c r="C177" s="15"/>
      <c r="D177" s="24" t="s">
        <v>263</v>
      </c>
      <c r="E177" s="21">
        <v>0.3</v>
      </c>
      <c r="F177" s="22"/>
      <c r="G177" s="22"/>
      <c r="H177" s="22">
        <v>0</v>
      </c>
      <c r="I177" s="23">
        <v>0.5</v>
      </c>
      <c r="J177" s="17">
        <v>2021</v>
      </c>
      <c r="K177" s="20" t="s">
        <v>27</v>
      </c>
      <c r="L177" s="4" t="s">
        <v>24</v>
      </c>
      <c r="M177" s="4" t="s">
        <v>21</v>
      </c>
      <c r="N177" s="4"/>
      <c r="O177" s="4"/>
    </row>
    <row r="178" spans="2:15">
      <c r="B178" s="15"/>
      <c r="C178" s="15"/>
      <c r="D178" s="24" t="s">
        <v>263</v>
      </c>
      <c r="E178" s="21">
        <v>0.9</v>
      </c>
      <c r="F178" s="22"/>
      <c r="G178" s="22"/>
      <c r="H178" s="22">
        <v>1.3</v>
      </c>
      <c r="I178" s="23">
        <v>0.5</v>
      </c>
      <c r="J178" s="17">
        <v>2020</v>
      </c>
      <c r="K178" s="20" t="s">
        <v>27</v>
      </c>
      <c r="L178" s="4" t="s">
        <v>24</v>
      </c>
      <c r="M178" s="4" t="s">
        <v>21</v>
      </c>
      <c r="N178" s="4"/>
      <c r="O178" s="4" t="s">
        <v>413</v>
      </c>
    </row>
    <row r="179" spans="2:15">
      <c r="B179" s="15"/>
      <c r="C179" s="15"/>
      <c r="D179" s="24" t="s">
        <v>263</v>
      </c>
      <c r="E179" s="21">
        <v>0.5</v>
      </c>
      <c r="F179" s="22"/>
      <c r="G179" s="22"/>
      <c r="H179" s="22">
        <v>0.5</v>
      </c>
      <c r="I179" s="23">
        <v>0.5</v>
      </c>
      <c r="J179" s="17">
        <v>2019</v>
      </c>
      <c r="K179" s="20" t="s">
        <v>27</v>
      </c>
      <c r="L179" s="4" t="s">
        <v>24</v>
      </c>
      <c r="M179" s="4" t="s">
        <v>21</v>
      </c>
      <c r="N179" s="4"/>
      <c r="O179" s="4" t="s">
        <v>415</v>
      </c>
    </row>
    <row r="180" spans="2:15">
      <c r="B180" s="15"/>
      <c r="C180" s="15"/>
      <c r="D180" s="24" t="s">
        <v>263</v>
      </c>
      <c r="E180" s="21">
        <v>0.3</v>
      </c>
      <c r="F180" s="22"/>
      <c r="G180" s="22"/>
      <c r="H180" s="22">
        <v>0.1</v>
      </c>
      <c r="I180" s="23">
        <v>0.5</v>
      </c>
      <c r="J180" s="17">
        <v>2018</v>
      </c>
      <c r="K180" s="20" t="s">
        <v>27</v>
      </c>
      <c r="L180" s="4" t="s">
        <v>24</v>
      </c>
      <c r="M180" s="4" t="s">
        <v>21</v>
      </c>
      <c r="N180" s="4"/>
      <c r="O180" s="4" t="s">
        <v>409</v>
      </c>
    </row>
    <row r="181" spans="2:15">
      <c r="B181" s="15"/>
      <c r="C181" s="15"/>
      <c r="D181" s="24" t="s">
        <v>263</v>
      </c>
      <c r="E181" s="21">
        <v>0.8</v>
      </c>
      <c r="F181" s="22"/>
      <c r="G181" s="22"/>
      <c r="H181" s="22">
        <v>0.6</v>
      </c>
      <c r="I181" s="23">
        <v>1</v>
      </c>
      <c r="J181" s="17">
        <v>2016</v>
      </c>
      <c r="K181" s="20" t="s">
        <v>27</v>
      </c>
      <c r="L181" s="4" t="s">
        <v>24</v>
      </c>
      <c r="M181" s="4" t="s">
        <v>21</v>
      </c>
      <c r="N181" s="4"/>
      <c r="O181" s="4" t="s">
        <v>409</v>
      </c>
    </row>
    <row r="182" spans="2:15">
      <c r="B182" s="15"/>
      <c r="C182" s="15"/>
      <c r="D182" s="24" t="s">
        <v>263</v>
      </c>
      <c r="E182" s="21">
        <v>0.8</v>
      </c>
      <c r="F182" s="22"/>
      <c r="G182" s="22"/>
      <c r="H182" s="22">
        <v>0.7</v>
      </c>
      <c r="I182" s="23">
        <v>1</v>
      </c>
      <c r="J182" s="17">
        <v>2015</v>
      </c>
      <c r="K182" s="20" t="s">
        <v>27</v>
      </c>
      <c r="L182" s="4" t="s">
        <v>24</v>
      </c>
      <c r="M182" s="4" t="s">
        <v>21</v>
      </c>
      <c r="N182" s="4"/>
      <c r="O182" s="4" t="s">
        <v>409</v>
      </c>
    </row>
    <row r="183" spans="2:15">
      <c r="B183" s="15"/>
      <c r="C183" s="15"/>
      <c r="D183" s="24" t="s">
        <v>263</v>
      </c>
      <c r="E183" s="21">
        <v>0.8</v>
      </c>
      <c r="F183" s="22"/>
      <c r="G183" s="22"/>
      <c r="H183" s="22">
        <v>1.4</v>
      </c>
      <c r="I183" s="23">
        <v>0.2</v>
      </c>
      <c r="J183" s="17">
        <v>2014</v>
      </c>
      <c r="K183" s="20" t="s">
        <v>27</v>
      </c>
      <c r="L183" s="4" t="s">
        <v>24</v>
      </c>
      <c r="M183" s="4" t="s">
        <v>21</v>
      </c>
      <c r="N183" s="4"/>
      <c r="O183" s="4" t="s">
        <v>409</v>
      </c>
    </row>
    <row r="184" spans="2:15">
      <c r="B184" s="15"/>
      <c r="C184" s="15"/>
      <c r="D184" s="24" t="s">
        <v>263</v>
      </c>
      <c r="E184" s="21">
        <v>0.2</v>
      </c>
      <c r="F184" s="22">
        <v>0.2</v>
      </c>
      <c r="G184" s="22">
        <v>0.2</v>
      </c>
      <c r="H184" s="22"/>
      <c r="I184" s="23"/>
      <c r="J184" s="17">
        <v>2013</v>
      </c>
      <c r="K184" s="20" t="s">
        <v>27</v>
      </c>
      <c r="L184" s="4" t="s">
        <v>24</v>
      </c>
      <c r="M184" s="4" t="s">
        <v>21</v>
      </c>
      <c r="N184" s="4"/>
      <c r="O184" s="4"/>
    </row>
    <row r="185" spans="2:15">
      <c r="B185" s="15"/>
      <c r="C185" s="15"/>
      <c r="D185" s="24" t="s">
        <v>263</v>
      </c>
      <c r="E185" s="21">
        <v>0.5</v>
      </c>
      <c r="F185" s="22"/>
      <c r="G185" s="22"/>
      <c r="H185" s="22">
        <v>0.7</v>
      </c>
      <c r="I185" s="23">
        <v>0.3</v>
      </c>
      <c r="J185" s="17">
        <v>2012</v>
      </c>
      <c r="K185" s="20" t="s">
        <v>27</v>
      </c>
      <c r="L185" s="4" t="s">
        <v>24</v>
      </c>
      <c r="M185" s="4" t="s">
        <v>21</v>
      </c>
      <c r="N185" s="4"/>
      <c r="O185" s="4"/>
    </row>
    <row r="186" spans="2:15">
      <c r="B186" s="15"/>
      <c r="C186" s="15"/>
      <c r="D186" s="24" t="s">
        <v>263</v>
      </c>
      <c r="E186" s="21">
        <v>0.9</v>
      </c>
      <c r="F186" s="22"/>
      <c r="G186" s="22"/>
      <c r="H186" s="22"/>
      <c r="I186" s="23"/>
      <c r="J186" s="17">
        <v>2010</v>
      </c>
      <c r="K186" s="20" t="s">
        <v>27</v>
      </c>
      <c r="L186" s="4" t="s">
        <v>36</v>
      </c>
      <c r="M186" s="4" t="s">
        <v>21</v>
      </c>
      <c r="N186" s="4"/>
      <c r="O186" s="4"/>
    </row>
    <row r="187" spans="2:15">
      <c r="B187" s="15"/>
      <c r="C187" s="15"/>
      <c r="D187" s="24" t="s">
        <v>263</v>
      </c>
      <c r="E187" s="21">
        <v>1.7</v>
      </c>
      <c r="F187" s="22"/>
      <c r="G187" s="22"/>
      <c r="H187" s="22"/>
      <c r="I187" s="23"/>
      <c r="J187" s="17">
        <v>2008</v>
      </c>
      <c r="K187" s="20" t="s">
        <v>27</v>
      </c>
      <c r="L187" s="4" t="s">
        <v>125</v>
      </c>
      <c r="M187" s="4" t="s">
        <v>51</v>
      </c>
      <c r="N187" s="4"/>
      <c r="O187" s="4"/>
    </row>
    <row r="188" spans="2:15">
      <c r="B188" s="15"/>
      <c r="C188" s="15"/>
      <c r="D188" s="24" t="s">
        <v>264</v>
      </c>
      <c r="E188" s="21">
        <v>0.6</v>
      </c>
      <c r="F188" s="22"/>
      <c r="G188" s="22"/>
      <c r="H188" s="22">
        <v>1</v>
      </c>
      <c r="I188" s="23">
        <v>0.3</v>
      </c>
      <c r="J188" s="17">
        <v>2023</v>
      </c>
      <c r="K188" s="20" t="s">
        <v>265</v>
      </c>
      <c r="L188" s="4" t="s">
        <v>266</v>
      </c>
      <c r="M188" s="4" t="s">
        <v>51</v>
      </c>
      <c r="N188" s="4"/>
      <c r="O188" s="4"/>
    </row>
    <row r="189" spans="2:15">
      <c r="B189" s="15"/>
      <c r="C189" s="15"/>
      <c r="D189" s="24" t="s">
        <v>264</v>
      </c>
      <c r="E189" s="21">
        <v>0.7</v>
      </c>
      <c r="F189" s="22"/>
      <c r="G189" s="22"/>
      <c r="H189" s="22">
        <v>1.3</v>
      </c>
      <c r="I189" s="23">
        <v>0.2</v>
      </c>
      <c r="J189" s="17">
        <v>2021</v>
      </c>
      <c r="K189" s="20" t="s">
        <v>27</v>
      </c>
      <c r="L189" s="4" t="s">
        <v>249</v>
      </c>
      <c r="M189" s="4" t="s">
        <v>21</v>
      </c>
      <c r="N189" s="4"/>
      <c r="O189" s="4"/>
    </row>
    <row r="190" spans="2:15">
      <c r="B190" s="15"/>
      <c r="C190" s="15"/>
      <c r="D190" s="24" t="s">
        <v>264</v>
      </c>
      <c r="E190" s="21">
        <v>0.7</v>
      </c>
      <c r="F190" s="22"/>
      <c r="G190" s="22"/>
      <c r="H190" s="22">
        <v>1.1000000000000001</v>
      </c>
      <c r="I190" s="23">
        <v>0.4</v>
      </c>
      <c r="J190" s="17">
        <v>2017</v>
      </c>
      <c r="K190" s="20" t="s">
        <v>265</v>
      </c>
      <c r="L190" s="4" t="s">
        <v>24</v>
      </c>
      <c r="M190" s="4" t="s">
        <v>21</v>
      </c>
      <c r="N190" s="4"/>
      <c r="O190" s="4" t="s">
        <v>420</v>
      </c>
    </row>
    <row r="191" spans="2:15">
      <c r="B191" s="15"/>
      <c r="C191" s="15"/>
      <c r="D191" s="24" t="s">
        <v>264</v>
      </c>
      <c r="E191" s="21">
        <v>0.6</v>
      </c>
      <c r="F191" s="22"/>
      <c r="G191" s="22"/>
      <c r="H191" s="22">
        <v>1</v>
      </c>
      <c r="I191" s="23">
        <v>0.3</v>
      </c>
      <c r="J191" s="17">
        <v>2013</v>
      </c>
      <c r="K191" s="20" t="s">
        <v>265</v>
      </c>
      <c r="L191" s="4" t="s">
        <v>24</v>
      </c>
      <c r="M191" s="4" t="s">
        <v>21</v>
      </c>
      <c r="N191" s="4"/>
      <c r="O191" s="4"/>
    </row>
    <row r="192" spans="2:15">
      <c r="B192" s="15"/>
      <c r="C192" s="15"/>
      <c r="D192" s="24" t="s">
        <v>264</v>
      </c>
      <c r="E192" s="21">
        <v>0.7</v>
      </c>
      <c r="F192" s="22"/>
      <c r="G192" s="22"/>
      <c r="H192" s="22"/>
      <c r="I192" s="23"/>
      <c r="J192" s="17">
        <v>2010</v>
      </c>
      <c r="K192" s="20" t="s">
        <v>265</v>
      </c>
      <c r="L192" s="4" t="s">
        <v>24</v>
      </c>
      <c r="M192" s="4" t="s">
        <v>21</v>
      </c>
      <c r="N192" s="4"/>
      <c r="O192" s="4"/>
    </row>
    <row r="193" spans="2:15">
      <c r="B193" s="15"/>
      <c r="C193" s="15"/>
      <c r="D193" s="24" t="s">
        <v>264</v>
      </c>
      <c r="E193" s="21">
        <v>1.2</v>
      </c>
      <c r="F193" s="22"/>
      <c r="G193" s="22"/>
      <c r="H193" s="22"/>
      <c r="I193" s="23"/>
      <c r="J193" s="17">
        <v>2008</v>
      </c>
      <c r="K193" s="20" t="s">
        <v>265</v>
      </c>
      <c r="L193" s="4" t="s">
        <v>38</v>
      </c>
      <c r="M193" s="4" t="s">
        <v>51</v>
      </c>
      <c r="N193" s="4"/>
      <c r="O193" s="4"/>
    </row>
    <row r="194" spans="2:15">
      <c r="B194" s="15"/>
      <c r="C194" s="15"/>
      <c r="D194" s="24" t="s">
        <v>267</v>
      </c>
      <c r="E194" s="21">
        <v>0.94</v>
      </c>
      <c r="F194" s="22"/>
      <c r="G194" s="22"/>
      <c r="H194" s="22">
        <v>1.65</v>
      </c>
      <c r="I194" s="23">
        <v>0.45</v>
      </c>
      <c r="J194" s="17">
        <v>2018</v>
      </c>
      <c r="K194" s="20" t="s">
        <v>265</v>
      </c>
      <c r="L194" s="4" t="s">
        <v>24</v>
      </c>
      <c r="M194" s="4" t="s">
        <v>21</v>
      </c>
      <c r="N194" s="4"/>
      <c r="O194" s="4" t="s">
        <v>420</v>
      </c>
    </row>
    <row r="195" spans="2:15">
      <c r="B195" s="15"/>
      <c r="C195" s="15"/>
      <c r="D195" s="24" t="s">
        <v>267</v>
      </c>
      <c r="E195" s="21">
        <v>1</v>
      </c>
      <c r="F195" s="22"/>
      <c r="G195" s="22"/>
      <c r="H195" s="22">
        <v>1.3</v>
      </c>
      <c r="I195" s="23">
        <v>0.8</v>
      </c>
      <c r="J195" s="17">
        <v>2008</v>
      </c>
      <c r="K195" s="20" t="s">
        <v>27</v>
      </c>
      <c r="L195" s="4" t="s">
        <v>24</v>
      </c>
      <c r="M195" s="4" t="s">
        <v>21</v>
      </c>
      <c r="N195" s="4"/>
      <c r="O195" s="4"/>
    </row>
    <row r="196" spans="2:15">
      <c r="B196" s="15"/>
      <c r="C196" s="15"/>
      <c r="D196" s="24" t="s">
        <v>267</v>
      </c>
      <c r="E196" s="21">
        <v>1.3</v>
      </c>
      <c r="F196" s="22"/>
      <c r="G196" s="22"/>
      <c r="H196" s="22"/>
      <c r="I196" s="23"/>
      <c r="J196" s="17">
        <v>2003</v>
      </c>
      <c r="K196" s="20" t="s">
        <v>27</v>
      </c>
      <c r="L196" s="4" t="s">
        <v>38</v>
      </c>
      <c r="M196" s="4" t="s">
        <v>51</v>
      </c>
      <c r="N196" s="4"/>
      <c r="O196" s="4"/>
    </row>
    <row r="197" spans="2:15">
      <c r="B197" s="15"/>
      <c r="C197" s="15"/>
      <c r="D197" s="24" t="s">
        <v>268</v>
      </c>
      <c r="E197" s="21">
        <v>2.2999999999999998</v>
      </c>
      <c r="F197" s="22"/>
      <c r="G197" s="22"/>
      <c r="H197" s="22">
        <v>3.3</v>
      </c>
      <c r="I197" s="23">
        <v>1.4</v>
      </c>
      <c r="J197" s="17">
        <v>2022</v>
      </c>
      <c r="K197" s="20" t="s">
        <v>27</v>
      </c>
      <c r="L197" s="4" t="s">
        <v>24</v>
      </c>
      <c r="M197" s="4" t="s">
        <v>21</v>
      </c>
      <c r="N197" s="4"/>
      <c r="O197" s="4" t="s">
        <v>420</v>
      </c>
    </row>
    <row r="198" spans="2:15">
      <c r="B198" s="15"/>
      <c r="C198" s="15"/>
      <c r="D198" s="24" t="s">
        <v>268</v>
      </c>
      <c r="E198" s="21">
        <v>1.7</v>
      </c>
      <c r="F198" s="22"/>
      <c r="G198" s="22"/>
      <c r="H198" s="22">
        <v>2.5</v>
      </c>
      <c r="I198" s="23">
        <v>0.9</v>
      </c>
      <c r="J198" s="17">
        <v>2018</v>
      </c>
      <c r="K198" s="20" t="s">
        <v>27</v>
      </c>
      <c r="L198" s="4" t="s">
        <v>24</v>
      </c>
      <c r="M198" s="4" t="s">
        <v>21</v>
      </c>
      <c r="N198" s="4"/>
      <c r="O198" s="4" t="s">
        <v>420</v>
      </c>
    </row>
    <row r="199" spans="2:15">
      <c r="B199" s="15"/>
      <c r="C199" s="15"/>
      <c r="D199" s="24" t="s">
        <v>268</v>
      </c>
      <c r="E199" s="21">
        <v>1.1000000000000001</v>
      </c>
      <c r="F199" s="22"/>
      <c r="G199" s="22"/>
      <c r="H199" s="22">
        <v>1.6</v>
      </c>
      <c r="I199" s="23">
        <v>0.6</v>
      </c>
      <c r="J199" s="17">
        <v>2014</v>
      </c>
      <c r="K199" s="20" t="s">
        <v>27</v>
      </c>
      <c r="L199" s="4" t="s">
        <v>24</v>
      </c>
      <c r="M199" s="4" t="s">
        <v>21</v>
      </c>
      <c r="N199" s="4"/>
      <c r="O199" s="4" t="s">
        <v>420</v>
      </c>
    </row>
    <row r="200" spans="2:15">
      <c r="B200" s="15"/>
      <c r="C200" s="15"/>
      <c r="D200" s="24" t="s">
        <v>268</v>
      </c>
      <c r="E200" s="21">
        <v>0.8</v>
      </c>
      <c r="F200" s="22"/>
      <c r="G200" s="22"/>
      <c r="H200" s="22">
        <v>1.2</v>
      </c>
      <c r="I200" s="23">
        <v>0.4</v>
      </c>
      <c r="J200" s="17">
        <v>2010</v>
      </c>
      <c r="K200" s="20" t="s">
        <v>27</v>
      </c>
      <c r="L200" s="4" t="s">
        <v>24</v>
      </c>
      <c r="M200" s="4" t="s">
        <v>21</v>
      </c>
      <c r="N200" s="4"/>
      <c r="O200" s="4"/>
    </row>
    <row r="201" spans="2:15">
      <c r="B201" s="15"/>
      <c r="C201" s="15"/>
      <c r="D201" s="24" t="s">
        <v>268</v>
      </c>
      <c r="E201" s="21">
        <v>0.6</v>
      </c>
      <c r="F201" s="22"/>
      <c r="G201" s="22"/>
      <c r="H201" s="22"/>
      <c r="I201" s="23"/>
      <c r="J201" s="17">
        <v>2006</v>
      </c>
      <c r="K201" s="20" t="s">
        <v>27</v>
      </c>
      <c r="L201" s="4" t="s">
        <v>38</v>
      </c>
      <c r="M201" s="4"/>
      <c r="N201" s="4"/>
      <c r="O201" s="4"/>
    </row>
    <row r="202" spans="2:15">
      <c r="B202" s="15"/>
      <c r="C202" s="15"/>
      <c r="D202" s="24" t="s">
        <v>269</v>
      </c>
      <c r="E202" s="21">
        <v>0.6</v>
      </c>
      <c r="F202" s="22"/>
      <c r="G202" s="22"/>
      <c r="H202" s="22">
        <v>0.6</v>
      </c>
      <c r="I202" s="23">
        <v>0.5</v>
      </c>
      <c r="J202" s="17">
        <v>2023</v>
      </c>
      <c r="K202" s="20" t="s">
        <v>144</v>
      </c>
      <c r="L202" s="4" t="s">
        <v>24</v>
      </c>
      <c r="M202" s="4" t="s">
        <v>51</v>
      </c>
      <c r="N202" s="4"/>
      <c r="O202" s="4" t="s">
        <v>420</v>
      </c>
    </row>
    <row r="203" spans="2:15">
      <c r="B203" s="15"/>
      <c r="C203" s="15"/>
      <c r="D203" s="24" t="s">
        <v>269</v>
      </c>
      <c r="E203" s="21">
        <v>0.3</v>
      </c>
      <c r="F203" s="22"/>
      <c r="G203" s="22"/>
      <c r="H203" s="22">
        <v>0.5</v>
      </c>
      <c r="I203" s="23">
        <v>0.1</v>
      </c>
      <c r="J203" s="17">
        <v>2017</v>
      </c>
      <c r="K203" s="20" t="s">
        <v>144</v>
      </c>
      <c r="L203" s="4" t="s">
        <v>249</v>
      </c>
      <c r="M203" s="4" t="s">
        <v>21</v>
      </c>
      <c r="N203" s="4"/>
      <c r="O203" s="4" t="s">
        <v>420</v>
      </c>
    </row>
    <row r="204" spans="2:15">
      <c r="B204" s="15"/>
      <c r="C204" s="15"/>
      <c r="D204" s="24" t="s">
        <v>269</v>
      </c>
      <c r="E204" s="21">
        <v>0.3</v>
      </c>
      <c r="F204" s="22"/>
      <c r="G204" s="22"/>
      <c r="H204" s="22">
        <v>0.4</v>
      </c>
      <c r="I204" s="23">
        <v>0.2</v>
      </c>
      <c r="J204" s="17">
        <v>2014</v>
      </c>
      <c r="K204" s="20" t="s">
        <v>27</v>
      </c>
      <c r="L204" s="4" t="s">
        <v>24</v>
      </c>
      <c r="M204" s="4" t="s">
        <v>21</v>
      </c>
      <c r="N204" s="4"/>
      <c r="O204" s="4"/>
    </row>
    <row r="205" spans="2:15">
      <c r="B205" s="15"/>
      <c r="C205" s="15"/>
      <c r="D205" s="24" t="s">
        <v>269</v>
      </c>
      <c r="E205" s="21">
        <v>0.2</v>
      </c>
      <c r="F205" s="22"/>
      <c r="G205" s="22"/>
      <c r="H205" s="22">
        <v>0.3</v>
      </c>
      <c r="I205" s="23">
        <v>0.1</v>
      </c>
      <c r="J205" s="17">
        <v>2010</v>
      </c>
      <c r="K205" s="20" t="s">
        <v>27</v>
      </c>
      <c r="L205" s="4" t="s">
        <v>24</v>
      </c>
      <c r="M205" s="4"/>
      <c r="N205" s="4"/>
      <c r="O205" s="4"/>
    </row>
    <row r="206" spans="2:15">
      <c r="B206" s="15"/>
      <c r="C206" s="15"/>
      <c r="D206" s="24" t="s">
        <v>269</v>
      </c>
      <c r="E206" s="21">
        <v>0.2</v>
      </c>
      <c r="F206" s="22"/>
      <c r="G206" s="22"/>
      <c r="H206" s="22"/>
      <c r="I206" s="23"/>
      <c r="J206" s="17">
        <v>2005</v>
      </c>
      <c r="K206" s="20" t="s">
        <v>27</v>
      </c>
      <c r="L206" s="4" t="s">
        <v>38</v>
      </c>
      <c r="M206" s="4"/>
      <c r="N206" s="4"/>
      <c r="O206" s="4"/>
    </row>
    <row r="207" spans="2:15">
      <c r="B207" s="15"/>
      <c r="C207" s="15"/>
      <c r="D207" s="24" t="s">
        <v>270</v>
      </c>
      <c r="E207" s="21">
        <v>1.4</v>
      </c>
      <c r="F207" s="22"/>
      <c r="G207" s="22"/>
      <c r="H207" s="22">
        <v>1.5</v>
      </c>
      <c r="I207" s="23">
        <v>1.3</v>
      </c>
      <c r="J207" s="17">
        <v>2021</v>
      </c>
      <c r="K207" s="20" t="s">
        <v>144</v>
      </c>
      <c r="L207" s="4" t="s">
        <v>24</v>
      </c>
      <c r="M207" s="4" t="s">
        <v>21</v>
      </c>
      <c r="N207" s="4"/>
      <c r="O207" s="4"/>
    </row>
    <row r="208" spans="2:15">
      <c r="B208" s="15"/>
      <c r="C208" s="15"/>
      <c r="D208" s="24" t="s">
        <v>270</v>
      </c>
      <c r="E208" s="21">
        <v>1.2</v>
      </c>
      <c r="F208" s="22">
        <v>0.9</v>
      </c>
      <c r="G208" s="22">
        <v>1.6</v>
      </c>
      <c r="H208" s="22">
        <v>1.5</v>
      </c>
      <c r="I208" s="23">
        <v>0.9</v>
      </c>
      <c r="J208" s="17">
        <v>2018</v>
      </c>
      <c r="K208" s="20" t="s">
        <v>144</v>
      </c>
      <c r="L208" s="4" t="s">
        <v>449</v>
      </c>
      <c r="M208" s="4" t="s">
        <v>21</v>
      </c>
      <c r="N208" s="4"/>
      <c r="O208" s="4" t="s">
        <v>415</v>
      </c>
    </row>
    <row r="209" spans="2:15">
      <c r="B209" s="15"/>
      <c r="C209" s="15"/>
      <c r="D209" s="24" t="s">
        <v>270</v>
      </c>
      <c r="E209" s="21">
        <v>1.1000000000000001</v>
      </c>
      <c r="F209" s="22">
        <v>0.8</v>
      </c>
      <c r="G209" s="22">
        <v>1.4</v>
      </c>
      <c r="H209" s="22">
        <v>1.3</v>
      </c>
      <c r="I209" s="23">
        <v>0.8</v>
      </c>
      <c r="J209" s="17">
        <v>2015</v>
      </c>
      <c r="K209" s="20" t="s">
        <v>144</v>
      </c>
      <c r="L209" s="4" t="s">
        <v>449</v>
      </c>
      <c r="M209" s="4" t="s">
        <v>21</v>
      </c>
      <c r="N209" s="4"/>
      <c r="O209" s="4" t="s">
        <v>415</v>
      </c>
    </row>
    <row r="210" spans="2:15">
      <c r="B210" s="15"/>
      <c r="C210" s="15"/>
      <c r="D210" s="24" t="s">
        <v>270</v>
      </c>
      <c r="E210" s="21">
        <v>0.9</v>
      </c>
      <c r="F210" s="22"/>
      <c r="G210" s="22"/>
      <c r="H210" s="22">
        <v>1.4</v>
      </c>
      <c r="I210" s="23">
        <v>0.4</v>
      </c>
      <c r="J210" s="17">
        <v>2012</v>
      </c>
      <c r="K210" s="20" t="s">
        <v>144</v>
      </c>
      <c r="L210" s="4" t="s">
        <v>24</v>
      </c>
      <c r="M210" s="4" t="s">
        <v>21</v>
      </c>
      <c r="N210" s="4"/>
      <c r="O210" s="4" t="s">
        <v>415</v>
      </c>
    </row>
    <row r="211" spans="2:15">
      <c r="B211" s="15"/>
      <c r="C211" s="15"/>
      <c r="D211" s="24" t="s">
        <v>270</v>
      </c>
      <c r="E211" s="21">
        <v>0.8</v>
      </c>
      <c r="F211" s="22"/>
      <c r="G211" s="22"/>
      <c r="H211" s="22">
        <v>1.1000000000000001</v>
      </c>
      <c r="I211" s="23">
        <v>0.5</v>
      </c>
      <c r="J211" s="17">
        <v>2009</v>
      </c>
      <c r="K211" s="20" t="s">
        <v>144</v>
      </c>
      <c r="L211" s="4" t="s">
        <v>24</v>
      </c>
      <c r="M211" s="4" t="s">
        <v>21</v>
      </c>
      <c r="N211" s="4"/>
      <c r="O211" s="4" t="s">
        <v>415</v>
      </c>
    </row>
    <row r="212" spans="2:15">
      <c r="B212" s="15"/>
      <c r="C212" s="15"/>
      <c r="D212" s="24" t="s">
        <v>270</v>
      </c>
      <c r="E212" s="21">
        <v>0.5</v>
      </c>
      <c r="F212" s="22"/>
      <c r="G212" s="22"/>
      <c r="H212" s="22"/>
      <c r="I212" s="23"/>
      <c r="J212" s="17">
        <v>2006</v>
      </c>
      <c r="K212" s="20" t="s">
        <v>144</v>
      </c>
      <c r="L212" s="4" t="s">
        <v>125</v>
      </c>
      <c r="M212" s="4" t="s">
        <v>51</v>
      </c>
      <c r="N212" s="4"/>
      <c r="O212" s="4"/>
    </row>
    <row r="213" spans="2:15">
      <c r="B213" s="15"/>
      <c r="C213" s="15"/>
      <c r="D213" s="24" t="s">
        <v>272</v>
      </c>
      <c r="E213" s="21">
        <v>0</v>
      </c>
      <c r="F213" s="22"/>
      <c r="G213" s="22"/>
      <c r="H213" s="22">
        <v>0.1</v>
      </c>
      <c r="I213" s="23">
        <v>0</v>
      </c>
      <c r="J213" s="17">
        <v>2004</v>
      </c>
      <c r="K213" s="20" t="s">
        <v>27</v>
      </c>
      <c r="L213" s="4" t="s">
        <v>249</v>
      </c>
      <c r="M213" s="4"/>
      <c r="N213" s="4"/>
      <c r="O213" s="4" t="s">
        <v>420</v>
      </c>
    </row>
    <row r="214" spans="2:15">
      <c r="B214" s="15"/>
      <c r="C214" s="15"/>
      <c r="D214" s="24" t="s">
        <v>273</v>
      </c>
      <c r="E214" s="21">
        <v>0.4</v>
      </c>
      <c r="F214" s="22"/>
      <c r="G214" s="22"/>
      <c r="H214" s="22">
        <v>0.5</v>
      </c>
      <c r="I214" s="23">
        <v>0.3</v>
      </c>
      <c r="J214" s="17">
        <v>2019</v>
      </c>
      <c r="K214" s="20" t="s">
        <v>144</v>
      </c>
      <c r="L214" s="4" t="s">
        <v>24</v>
      </c>
      <c r="M214" s="4" t="s">
        <v>21</v>
      </c>
      <c r="N214" s="4"/>
      <c r="O214" s="4" t="s">
        <v>415</v>
      </c>
    </row>
    <row r="215" spans="2:15">
      <c r="B215" s="15"/>
      <c r="C215" s="15"/>
      <c r="D215" s="24" t="s">
        <v>273</v>
      </c>
      <c r="E215" s="21">
        <v>0.45</v>
      </c>
      <c r="F215" s="22"/>
      <c r="G215" s="22"/>
      <c r="H215" s="22">
        <v>0.82</v>
      </c>
      <c r="I215" s="23">
        <v>0.13</v>
      </c>
      <c r="J215" s="17">
        <v>2015</v>
      </c>
      <c r="K215" s="20" t="s">
        <v>144</v>
      </c>
      <c r="L215" s="4" t="s">
        <v>24</v>
      </c>
      <c r="M215" s="4" t="s">
        <v>21</v>
      </c>
      <c r="N215" s="4"/>
      <c r="O215" s="4" t="s">
        <v>420</v>
      </c>
    </row>
    <row r="216" spans="2:15">
      <c r="B216" s="15"/>
      <c r="C216" s="15"/>
      <c r="D216" s="24" t="s">
        <v>273</v>
      </c>
      <c r="E216" s="21">
        <v>0.5</v>
      </c>
      <c r="F216" s="22">
        <v>0.2</v>
      </c>
      <c r="G216" s="22">
        <v>0.8</v>
      </c>
      <c r="H216" s="22"/>
      <c r="I216" s="23"/>
      <c r="J216" s="17">
        <v>2007</v>
      </c>
      <c r="K216" s="20" t="s">
        <v>144</v>
      </c>
      <c r="L216" s="4" t="s">
        <v>24</v>
      </c>
      <c r="M216" s="4" t="s">
        <v>21</v>
      </c>
      <c r="N216" s="4"/>
      <c r="O216" s="4"/>
    </row>
    <row r="217" spans="2:15">
      <c r="B217" s="15"/>
      <c r="C217" s="15"/>
      <c r="D217" s="24" t="s">
        <v>274</v>
      </c>
      <c r="E217" s="21">
        <v>1.4</v>
      </c>
      <c r="F217" s="22"/>
      <c r="G217" s="22"/>
      <c r="H217" s="22">
        <v>1.8</v>
      </c>
      <c r="I217" s="23">
        <v>1</v>
      </c>
      <c r="J217" s="17">
        <v>2017</v>
      </c>
      <c r="K217" s="20" t="s">
        <v>144</v>
      </c>
      <c r="L217" s="4" t="s">
        <v>24</v>
      </c>
      <c r="M217" s="4" t="s">
        <v>21</v>
      </c>
      <c r="N217" s="4"/>
      <c r="O217" s="4" t="s">
        <v>420</v>
      </c>
    </row>
    <row r="218" spans="2:15">
      <c r="B218" s="15"/>
      <c r="C218" s="15"/>
      <c r="D218" s="24" t="s">
        <v>274</v>
      </c>
      <c r="E218" s="21">
        <v>0.78</v>
      </c>
      <c r="F218" s="22">
        <v>0.21</v>
      </c>
      <c r="G218" s="22">
        <v>1.34</v>
      </c>
      <c r="H218" s="22"/>
      <c r="I218" s="23"/>
      <c r="J218" s="17">
        <v>2015</v>
      </c>
      <c r="K218" s="20" t="s">
        <v>27</v>
      </c>
      <c r="L218" s="4" t="s">
        <v>238</v>
      </c>
      <c r="M218" s="4" t="s">
        <v>44</v>
      </c>
      <c r="N218" s="4" t="s">
        <v>33</v>
      </c>
      <c r="O218" s="4"/>
    </row>
    <row r="219" spans="2:15">
      <c r="B219" s="15"/>
      <c r="C219" s="15"/>
      <c r="D219" s="24" t="s">
        <v>274</v>
      </c>
      <c r="E219" s="21">
        <v>0.93</v>
      </c>
      <c r="F219" s="22">
        <v>0.28999999999999998</v>
      </c>
      <c r="G219" s="22">
        <v>1.57</v>
      </c>
      <c r="H219" s="22"/>
      <c r="I219" s="23"/>
      <c r="J219" s="17">
        <v>2011</v>
      </c>
      <c r="K219" s="20" t="s">
        <v>27</v>
      </c>
      <c r="L219" s="4" t="s">
        <v>234</v>
      </c>
      <c r="M219" s="4" t="s">
        <v>44</v>
      </c>
      <c r="N219" s="4" t="s">
        <v>33</v>
      </c>
      <c r="O219" s="4"/>
    </row>
    <row r="220" spans="2:15">
      <c r="B220" s="15"/>
      <c r="C220" s="15"/>
      <c r="D220" s="24" t="s">
        <v>274</v>
      </c>
      <c r="E220" s="21">
        <v>0.74</v>
      </c>
      <c r="F220" s="22">
        <v>0.57999999999999996</v>
      </c>
      <c r="G220" s="22">
        <v>0.89</v>
      </c>
      <c r="H220" s="22"/>
      <c r="I220" s="23"/>
      <c r="J220" s="17">
        <v>2003</v>
      </c>
      <c r="K220" s="20" t="s">
        <v>27</v>
      </c>
      <c r="L220" s="4" t="s">
        <v>241</v>
      </c>
      <c r="M220" s="4" t="s">
        <v>74</v>
      </c>
      <c r="N220" s="4"/>
      <c r="O220" s="4"/>
    </row>
    <row r="221" spans="2:15">
      <c r="B221" s="15"/>
      <c r="C221" s="15"/>
      <c r="D221" s="24" t="s">
        <v>276</v>
      </c>
      <c r="E221" s="21">
        <v>1</v>
      </c>
      <c r="F221" s="22"/>
      <c r="G221" s="22"/>
      <c r="H221" s="22">
        <v>1.5</v>
      </c>
      <c r="I221" s="23">
        <v>0.5</v>
      </c>
      <c r="J221" s="17">
        <v>2019</v>
      </c>
      <c r="K221" s="20" t="s">
        <v>27</v>
      </c>
      <c r="L221" s="4" t="s">
        <v>24</v>
      </c>
      <c r="M221" s="4" t="s">
        <v>21</v>
      </c>
      <c r="N221" s="4"/>
      <c r="O221" s="4" t="s">
        <v>413</v>
      </c>
    </row>
    <row r="222" spans="2:15">
      <c r="B222" s="15"/>
      <c r="C222" s="15"/>
      <c r="D222" s="24" t="s">
        <v>276</v>
      </c>
      <c r="E222" s="21">
        <v>0.3</v>
      </c>
      <c r="F222" s="22"/>
      <c r="G222" s="22"/>
      <c r="H222" s="22">
        <v>0.5</v>
      </c>
      <c r="I222" s="23">
        <v>0.1</v>
      </c>
      <c r="J222" s="17">
        <v>2015</v>
      </c>
      <c r="K222" s="20" t="s">
        <v>27</v>
      </c>
      <c r="L222" s="4" t="s">
        <v>24</v>
      </c>
      <c r="M222" s="4" t="s">
        <v>21</v>
      </c>
      <c r="N222" s="4"/>
      <c r="O222" s="4" t="s">
        <v>450</v>
      </c>
    </row>
    <row r="223" spans="2:15">
      <c r="B223" s="15"/>
      <c r="C223" s="15"/>
      <c r="D223" s="24" t="s">
        <v>276</v>
      </c>
      <c r="E223" s="21">
        <v>0.4</v>
      </c>
      <c r="F223" s="22"/>
      <c r="G223" s="22"/>
      <c r="H223" s="22">
        <v>0.4</v>
      </c>
      <c r="I223" s="23">
        <v>0.4</v>
      </c>
      <c r="J223" s="17">
        <v>2011</v>
      </c>
      <c r="K223" s="20" t="s">
        <v>27</v>
      </c>
      <c r="L223" s="4" t="s">
        <v>24</v>
      </c>
      <c r="M223" s="4" t="s">
        <v>21</v>
      </c>
      <c r="N223" s="4"/>
      <c r="O223" s="4"/>
    </row>
    <row r="224" spans="2:15">
      <c r="B224" s="15"/>
      <c r="C224" s="15"/>
      <c r="D224" s="24" t="s">
        <v>276</v>
      </c>
      <c r="E224" s="21">
        <v>0.4</v>
      </c>
      <c r="F224" s="22"/>
      <c r="G224" s="22"/>
      <c r="H224" s="22"/>
      <c r="I224" s="23"/>
      <c r="J224" s="17">
        <v>2007</v>
      </c>
      <c r="K224" s="20" t="s">
        <v>27</v>
      </c>
      <c r="L224" s="4" t="s">
        <v>125</v>
      </c>
      <c r="M224" s="4" t="s">
        <v>51</v>
      </c>
      <c r="N224" s="4"/>
      <c r="O224" s="4"/>
    </row>
    <row r="225" spans="2:15">
      <c r="B225" s="15"/>
      <c r="C225" s="15"/>
      <c r="D225" s="24" t="s">
        <v>278</v>
      </c>
      <c r="E225" s="21">
        <v>0.7</v>
      </c>
      <c r="F225" s="22"/>
      <c r="G225" s="22"/>
      <c r="H225" s="22">
        <v>0.8</v>
      </c>
      <c r="I225" s="23">
        <v>0.6</v>
      </c>
      <c r="J225" s="17">
        <v>2022</v>
      </c>
      <c r="K225" s="20" t="s">
        <v>144</v>
      </c>
      <c r="L225" s="4" t="s">
        <v>24</v>
      </c>
      <c r="M225" s="4" t="s">
        <v>21</v>
      </c>
      <c r="N225" s="4"/>
      <c r="O225" s="4"/>
    </row>
    <row r="226" spans="2:15">
      <c r="B226" s="15"/>
      <c r="C226" s="15"/>
      <c r="D226" s="24" t="s">
        <v>278</v>
      </c>
      <c r="E226" s="21">
        <v>0.6</v>
      </c>
      <c r="F226" s="22"/>
      <c r="G226" s="22"/>
      <c r="H226" s="22">
        <v>0.8</v>
      </c>
      <c r="I226" s="23">
        <v>0.4</v>
      </c>
      <c r="J226" s="17">
        <v>2017</v>
      </c>
      <c r="K226" s="20" t="s">
        <v>27</v>
      </c>
      <c r="L226" s="4" t="s">
        <v>24</v>
      </c>
      <c r="M226" s="4" t="s">
        <v>21</v>
      </c>
      <c r="N226" s="4"/>
      <c r="O226" s="4" t="s">
        <v>413</v>
      </c>
    </row>
    <row r="227" spans="2:15">
      <c r="B227" s="15"/>
      <c r="C227" s="15"/>
      <c r="D227" s="24" t="s">
        <v>278</v>
      </c>
      <c r="E227" s="21">
        <v>0.2</v>
      </c>
      <c r="F227" s="22"/>
      <c r="G227" s="22"/>
      <c r="H227" s="22">
        <v>0.3</v>
      </c>
      <c r="I227" s="23">
        <v>0.1</v>
      </c>
      <c r="J227" s="17">
        <v>2013</v>
      </c>
      <c r="K227" s="20" t="s">
        <v>27</v>
      </c>
      <c r="L227" s="4" t="s">
        <v>24</v>
      </c>
      <c r="M227" s="4" t="s">
        <v>21</v>
      </c>
      <c r="N227" s="4"/>
      <c r="O227" s="4" t="s">
        <v>451</v>
      </c>
    </row>
    <row r="228" spans="2:15">
      <c r="B228" s="15"/>
      <c r="C228" s="15"/>
      <c r="D228" s="24" t="s">
        <v>278</v>
      </c>
      <c r="E228" s="21">
        <v>0.09</v>
      </c>
      <c r="F228" s="22"/>
      <c r="G228" s="22"/>
      <c r="H228" s="22">
        <v>0.09</v>
      </c>
      <c r="I228" s="23">
        <v>0.09</v>
      </c>
      <c r="J228" s="17">
        <v>2012</v>
      </c>
      <c r="K228" s="20" t="s">
        <v>27</v>
      </c>
      <c r="L228" s="4" t="s">
        <v>24</v>
      </c>
      <c r="M228" s="4" t="s">
        <v>21</v>
      </c>
      <c r="N228" s="4"/>
      <c r="O228" s="4"/>
    </row>
    <row r="229" spans="2:15">
      <c r="B229" s="15"/>
      <c r="C229" s="15"/>
      <c r="D229" s="24" t="s">
        <v>278</v>
      </c>
      <c r="E229" s="21">
        <v>0.4</v>
      </c>
      <c r="F229" s="22"/>
      <c r="G229" s="22"/>
      <c r="H229" s="22"/>
      <c r="I229" s="23"/>
      <c r="J229" s="17">
        <v>2008</v>
      </c>
      <c r="K229" s="20" t="s">
        <v>27</v>
      </c>
      <c r="L229" s="4" t="s">
        <v>249</v>
      </c>
      <c r="M229" s="4" t="s">
        <v>21</v>
      </c>
      <c r="N229" s="4"/>
      <c r="O229" s="4"/>
    </row>
    <row r="230" spans="2:15">
      <c r="B230" s="15"/>
      <c r="C230" s="15"/>
      <c r="D230" s="24" t="s">
        <v>278</v>
      </c>
      <c r="E230" s="21">
        <v>0.4</v>
      </c>
      <c r="F230" s="22"/>
      <c r="G230" s="22"/>
      <c r="H230" s="22"/>
      <c r="I230" s="23"/>
      <c r="J230" s="17">
        <v>2005</v>
      </c>
      <c r="K230" s="20" t="s">
        <v>27</v>
      </c>
      <c r="L230" s="4" t="s">
        <v>259</v>
      </c>
      <c r="M230" s="4" t="s">
        <v>51</v>
      </c>
      <c r="N230" s="4"/>
      <c r="O230" s="4"/>
    </row>
    <row r="231" spans="2:15">
      <c r="B231" s="15"/>
      <c r="C231" s="15"/>
      <c r="D231" s="24" t="s">
        <v>280</v>
      </c>
      <c r="E231" s="21">
        <v>0.6</v>
      </c>
      <c r="F231" s="22"/>
      <c r="G231" s="22"/>
      <c r="H231" s="22">
        <v>0.8</v>
      </c>
      <c r="I231" s="23">
        <v>0.4</v>
      </c>
      <c r="J231" s="17">
        <v>2020</v>
      </c>
      <c r="K231" s="20" t="s">
        <v>27</v>
      </c>
      <c r="L231" s="4" t="s">
        <v>24</v>
      </c>
      <c r="M231" s="4" t="s">
        <v>21</v>
      </c>
      <c r="N231" s="4"/>
      <c r="O231" s="4" t="s">
        <v>413</v>
      </c>
    </row>
    <row r="232" spans="2:15">
      <c r="B232" s="15"/>
      <c r="C232" s="15"/>
      <c r="D232" s="24" t="s">
        <v>280</v>
      </c>
      <c r="E232" s="21">
        <v>0.3</v>
      </c>
      <c r="F232" s="22"/>
      <c r="G232" s="22"/>
      <c r="H232" s="22">
        <v>0.5</v>
      </c>
      <c r="I232" s="23">
        <v>0.2</v>
      </c>
      <c r="J232" s="17">
        <v>2015</v>
      </c>
      <c r="K232" s="20" t="s">
        <v>27</v>
      </c>
      <c r="L232" s="4" t="s">
        <v>24</v>
      </c>
      <c r="M232" s="4" t="s">
        <v>21</v>
      </c>
      <c r="N232" s="4"/>
      <c r="O232" s="4" t="s">
        <v>420</v>
      </c>
    </row>
    <row r="233" spans="2:15">
      <c r="B233" s="15"/>
      <c r="C233" s="15"/>
      <c r="D233" s="24" t="s">
        <v>280</v>
      </c>
      <c r="E233" s="21">
        <v>0.3</v>
      </c>
      <c r="F233" s="22"/>
      <c r="G233" s="22"/>
      <c r="H233" s="22">
        <v>0.5</v>
      </c>
      <c r="I233" s="23">
        <v>0.1</v>
      </c>
      <c r="J233" s="17">
        <v>2011</v>
      </c>
      <c r="K233" s="20" t="s">
        <v>27</v>
      </c>
      <c r="L233" s="4" t="s">
        <v>24</v>
      </c>
      <c r="M233" s="4" t="s">
        <v>21</v>
      </c>
      <c r="N233" s="4"/>
      <c r="O233" s="4"/>
    </row>
    <row r="234" spans="2:15">
      <c r="B234" s="15"/>
      <c r="C234" s="15"/>
      <c r="D234" s="24" t="s">
        <v>280</v>
      </c>
      <c r="E234" s="21">
        <v>0.9</v>
      </c>
      <c r="F234" s="22"/>
      <c r="G234" s="22"/>
      <c r="H234" s="22"/>
      <c r="I234" s="23"/>
      <c r="J234" s="17">
        <v>2007</v>
      </c>
      <c r="K234" s="20" t="s">
        <v>27</v>
      </c>
      <c r="L234" s="4" t="s">
        <v>38</v>
      </c>
      <c r="M234" s="4"/>
      <c r="N234" s="4"/>
      <c r="O234" s="4"/>
    </row>
    <row r="235" spans="2:15">
      <c r="B235" s="15"/>
      <c r="C235" s="15"/>
      <c r="D235" s="24" t="s">
        <v>281</v>
      </c>
      <c r="E235" s="21">
        <v>0.2</v>
      </c>
      <c r="F235" s="22"/>
      <c r="G235" s="22"/>
      <c r="H235" s="22">
        <v>0.4</v>
      </c>
      <c r="I235" s="23">
        <v>0</v>
      </c>
      <c r="J235" s="17">
        <v>2021</v>
      </c>
      <c r="K235" s="20" t="s">
        <v>27</v>
      </c>
      <c r="L235" s="4" t="s">
        <v>24</v>
      </c>
      <c r="M235" s="4" t="s">
        <v>21</v>
      </c>
      <c r="N235" s="4"/>
      <c r="O235" s="4" t="s">
        <v>415</v>
      </c>
    </row>
    <row r="236" spans="2:15">
      <c r="B236" s="15"/>
      <c r="C236" s="15"/>
      <c r="D236" s="24" t="s">
        <v>281</v>
      </c>
      <c r="E236" s="21">
        <v>0.3</v>
      </c>
      <c r="F236" s="22"/>
      <c r="G236" s="22"/>
      <c r="H236" s="22">
        <v>0.6</v>
      </c>
      <c r="I236" s="23">
        <v>0.04</v>
      </c>
      <c r="J236" s="17">
        <v>2016</v>
      </c>
      <c r="K236" s="20" t="s">
        <v>27</v>
      </c>
      <c r="L236" s="4" t="s">
        <v>24</v>
      </c>
      <c r="M236" s="4" t="s">
        <v>21</v>
      </c>
      <c r="N236" s="4"/>
      <c r="O236" s="4" t="s">
        <v>420</v>
      </c>
    </row>
    <row r="237" spans="2:15">
      <c r="B237" s="15"/>
      <c r="C237" s="15"/>
      <c r="D237" s="24" t="s">
        <v>281</v>
      </c>
      <c r="E237" s="21">
        <v>0.2</v>
      </c>
      <c r="F237" s="22"/>
      <c r="G237" s="22"/>
      <c r="H237" s="22">
        <v>0.5</v>
      </c>
      <c r="I237" s="23">
        <v>0</v>
      </c>
      <c r="J237" s="17">
        <v>2012</v>
      </c>
      <c r="K237" s="20" t="s">
        <v>27</v>
      </c>
      <c r="L237" s="4" t="s">
        <v>24</v>
      </c>
      <c r="M237" s="4" t="s">
        <v>21</v>
      </c>
      <c r="N237" s="4"/>
      <c r="O237" s="4"/>
    </row>
    <row r="238" spans="2:15">
      <c r="B238" s="15"/>
      <c r="C238" s="15"/>
      <c r="D238" s="24" t="s">
        <v>281</v>
      </c>
      <c r="E238" s="21">
        <v>0.7</v>
      </c>
      <c r="F238" s="22"/>
      <c r="G238" s="22"/>
      <c r="H238" s="22"/>
      <c r="I238" s="23"/>
      <c r="J238" s="17">
        <v>2008</v>
      </c>
      <c r="K238" s="20" t="s">
        <v>27</v>
      </c>
      <c r="L238" s="4" t="s">
        <v>24</v>
      </c>
      <c r="M238" s="4" t="s">
        <v>21</v>
      </c>
      <c r="N238" s="4"/>
      <c r="O238" s="4"/>
    </row>
    <row r="239" spans="2:15">
      <c r="B239" s="15"/>
      <c r="C239" s="15"/>
      <c r="D239" s="24" t="s">
        <v>281</v>
      </c>
      <c r="E239" s="21">
        <v>0.3</v>
      </c>
      <c r="F239" s="22"/>
      <c r="G239" s="22"/>
      <c r="H239" s="22"/>
      <c r="I239" s="23"/>
      <c r="J239" s="17">
        <v>2004</v>
      </c>
      <c r="K239" s="20" t="s">
        <v>27</v>
      </c>
      <c r="L239" s="4" t="s">
        <v>38</v>
      </c>
      <c r="M239" s="4" t="s">
        <v>51</v>
      </c>
      <c r="N239" s="4"/>
      <c r="O239" s="4"/>
    </row>
    <row r="240" spans="2:15">
      <c r="B240" s="15"/>
      <c r="C240" s="15"/>
      <c r="D240" s="24" t="s">
        <v>282</v>
      </c>
      <c r="E240" s="21">
        <v>0.1</v>
      </c>
      <c r="F240" s="22"/>
      <c r="G240" s="22"/>
      <c r="H240" s="22">
        <v>0.1</v>
      </c>
      <c r="I240" s="23">
        <v>0.1</v>
      </c>
      <c r="J240" s="17">
        <v>2019</v>
      </c>
      <c r="K240" s="20" t="s">
        <v>27</v>
      </c>
      <c r="L240" s="4" t="s">
        <v>283</v>
      </c>
      <c r="M240" s="4" t="s">
        <v>21</v>
      </c>
      <c r="N240" s="4"/>
      <c r="O240" s="4" t="s">
        <v>420</v>
      </c>
    </row>
    <row r="241" spans="2:15">
      <c r="B241" s="15"/>
      <c r="C241" s="15"/>
      <c r="D241" s="24" t="s">
        <v>282</v>
      </c>
      <c r="E241" s="21">
        <v>0.1</v>
      </c>
      <c r="F241" s="22"/>
      <c r="G241" s="22"/>
      <c r="H241" s="22">
        <v>0.1</v>
      </c>
      <c r="I241" s="23">
        <v>0.1</v>
      </c>
      <c r="J241" s="17">
        <v>2014</v>
      </c>
      <c r="K241" s="20" t="s">
        <v>27</v>
      </c>
      <c r="L241" s="4" t="s">
        <v>283</v>
      </c>
      <c r="M241" s="4" t="s">
        <v>21</v>
      </c>
      <c r="N241" s="4"/>
      <c r="O241" s="4"/>
    </row>
    <row r="242" spans="2:15">
      <c r="B242" s="15"/>
      <c r="C242" s="15"/>
      <c r="D242" s="24" t="s">
        <v>284</v>
      </c>
      <c r="E242" s="21">
        <v>0</v>
      </c>
      <c r="F242" s="22"/>
      <c r="G242" s="22"/>
      <c r="H242" s="22"/>
      <c r="I242" s="23"/>
      <c r="J242" s="17">
        <v>2013</v>
      </c>
      <c r="K242" s="20" t="s">
        <v>27</v>
      </c>
      <c r="L242" s="4" t="s">
        <v>24</v>
      </c>
      <c r="M242" s="4" t="s">
        <v>21</v>
      </c>
      <c r="N242" s="4"/>
      <c r="O242" s="4"/>
    </row>
    <row r="243" spans="2:15">
      <c r="B243" s="15"/>
      <c r="C243" s="15"/>
      <c r="D243" s="24" t="s">
        <v>284</v>
      </c>
      <c r="E243" s="21">
        <v>0.93</v>
      </c>
      <c r="F243" s="22">
        <v>0.28999999999999998</v>
      </c>
      <c r="G243" s="22">
        <v>1.57</v>
      </c>
      <c r="H243" s="22"/>
      <c r="I243" s="23"/>
      <c r="J243" s="17">
        <v>2011</v>
      </c>
      <c r="K243" s="20" t="s">
        <v>27</v>
      </c>
      <c r="L243" s="4" t="s">
        <v>234</v>
      </c>
      <c r="M243" s="4" t="s">
        <v>44</v>
      </c>
      <c r="N243" s="4" t="s">
        <v>33</v>
      </c>
      <c r="O243" s="4"/>
    </row>
    <row r="244" spans="2:15">
      <c r="B244" s="15"/>
      <c r="C244" s="15"/>
      <c r="D244" s="24" t="s">
        <v>284</v>
      </c>
      <c r="E244" s="21">
        <v>0.88</v>
      </c>
      <c r="F244" s="22">
        <v>0.59</v>
      </c>
      <c r="G244" s="22">
        <v>1.1599999999999999</v>
      </c>
      <c r="H244" s="22"/>
      <c r="I244" s="23"/>
      <c r="J244" s="17">
        <v>2007</v>
      </c>
      <c r="K244" s="20" t="s">
        <v>27</v>
      </c>
      <c r="L244" s="4" t="s">
        <v>241</v>
      </c>
      <c r="M244" s="4" t="s">
        <v>74</v>
      </c>
      <c r="N244" s="4" t="s">
        <v>75</v>
      </c>
      <c r="O244" s="4"/>
    </row>
    <row r="245" spans="2:15">
      <c r="B245" s="15"/>
      <c r="C245" s="15"/>
      <c r="D245" s="24" t="s">
        <v>286</v>
      </c>
      <c r="E245" s="21">
        <v>1.7</v>
      </c>
      <c r="F245" s="22"/>
      <c r="G245" s="22"/>
      <c r="H245" s="22">
        <v>2</v>
      </c>
      <c r="I245" s="23">
        <v>1.3</v>
      </c>
      <c r="J245" s="17">
        <v>2023</v>
      </c>
      <c r="K245" s="20" t="s">
        <v>27</v>
      </c>
      <c r="L245" s="4" t="s">
        <v>38</v>
      </c>
      <c r="M245" s="4" t="s">
        <v>51</v>
      </c>
      <c r="N245" s="4"/>
      <c r="O245" s="4"/>
    </row>
    <row r="246" spans="2:15">
      <c r="B246" s="15"/>
      <c r="C246" s="15"/>
      <c r="D246" s="24" t="s">
        <v>286</v>
      </c>
      <c r="E246" s="21">
        <v>1.7</v>
      </c>
      <c r="F246" s="22"/>
      <c r="G246" s="22"/>
      <c r="H246" s="22">
        <v>2.4</v>
      </c>
      <c r="I246" s="23">
        <v>1.1000000000000001</v>
      </c>
      <c r="J246" s="17">
        <v>2022</v>
      </c>
      <c r="K246" s="20" t="s">
        <v>27</v>
      </c>
      <c r="L246" s="4" t="s">
        <v>24</v>
      </c>
      <c r="M246" s="4" t="s">
        <v>21</v>
      </c>
      <c r="N246" s="4"/>
      <c r="O246" s="4"/>
    </row>
    <row r="247" spans="2:15">
      <c r="B247" s="15"/>
      <c r="C247" s="15"/>
      <c r="D247" s="24" t="s">
        <v>286</v>
      </c>
      <c r="E247" s="21">
        <v>1.6</v>
      </c>
      <c r="F247" s="22"/>
      <c r="G247" s="22"/>
      <c r="H247" s="22">
        <v>1.8</v>
      </c>
      <c r="I247" s="23">
        <v>1.3</v>
      </c>
      <c r="J247" s="17">
        <v>2021</v>
      </c>
      <c r="K247" s="20" t="s">
        <v>27</v>
      </c>
      <c r="L247" s="4" t="s">
        <v>24</v>
      </c>
      <c r="M247" s="4" t="s">
        <v>21</v>
      </c>
      <c r="N247" s="4"/>
      <c r="O247" s="4" t="s">
        <v>413</v>
      </c>
    </row>
    <row r="248" spans="2:15">
      <c r="B248" s="15"/>
      <c r="C248" s="15"/>
      <c r="D248" s="24" t="s">
        <v>286</v>
      </c>
      <c r="E248" s="21">
        <v>1.6</v>
      </c>
      <c r="F248" s="22"/>
      <c r="G248" s="22"/>
      <c r="H248" s="22">
        <v>1.8</v>
      </c>
      <c r="I248" s="23">
        <v>1.4</v>
      </c>
      <c r="J248" s="17">
        <v>2020</v>
      </c>
      <c r="K248" s="20" t="s">
        <v>27</v>
      </c>
      <c r="L248" s="4" t="s">
        <v>24</v>
      </c>
      <c r="M248" s="4" t="s">
        <v>21</v>
      </c>
      <c r="N248" s="4"/>
      <c r="O248" s="4" t="s">
        <v>413</v>
      </c>
    </row>
    <row r="249" spans="2:15">
      <c r="B249" s="15"/>
      <c r="C249" s="15"/>
      <c r="D249" s="24" t="s">
        <v>286</v>
      </c>
      <c r="E249" s="21">
        <v>2.1</v>
      </c>
      <c r="F249" s="22"/>
      <c r="G249" s="22"/>
      <c r="H249" s="22">
        <v>2.8</v>
      </c>
      <c r="I249" s="23">
        <v>1.4</v>
      </c>
      <c r="J249" s="17">
        <v>2019</v>
      </c>
      <c r="K249" s="20" t="s">
        <v>27</v>
      </c>
      <c r="L249" s="4" t="s">
        <v>249</v>
      </c>
      <c r="M249" s="4" t="s">
        <v>21</v>
      </c>
      <c r="N249" s="4"/>
      <c r="O249" s="4"/>
    </row>
    <row r="250" spans="2:15">
      <c r="B250" s="15"/>
      <c r="C250" s="15"/>
      <c r="D250" s="24" t="s">
        <v>286</v>
      </c>
      <c r="E250" s="21">
        <v>1.4</v>
      </c>
      <c r="F250" s="22"/>
      <c r="G250" s="22"/>
      <c r="H250" s="22">
        <v>1.8</v>
      </c>
      <c r="I250" s="23">
        <v>0.9</v>
      </c>
      <c r="J250" s="17">
        <v>2018</v>
      </c>
      <c r="K250" s="20" t="s">
        <v>27</v>
      </c>
      <c r="L250" s="4" t="s">
        <v>249</v>
      </c>
      <c r="M250" s="4" t="s">
        <v>21</v>
      </c>
      <c r="N250" s="4"/>
      <c r="O250" s="4"/>
    </row>
    <row r="251" spans="2:15">
      <c r="B251" s="15"/>
      <c r="C251" s="15"/>
      <c r="D251" s="24" t="s">
        <v>286</v>
      </c>
      <c r="E251" s="21">
        <v>1.8</v>
      </c>
      <c r="F251" s="22">
        <v>1.4</v>
      </c>
      <c r="G251" s="22">
        <v>2.1</v>
      </c>
      <c r="H251" s="22">
        <v>2.2999999999999998</v>
      </c>
      <c r="I251" s="23">
        <v>1.2</v>
      </c>
      <c r="J251" s="17">
        <v>2017</v>
      </c>
      <c r="K251" s="20" t="s">
        <v>27</v>
      </c>
      <c r="L251" s="4" t="s">
        <v>249</v>
      </c>
      <c r="M251" s="4" t="s">
        <v>21</v>
      </c>
      <c r="N251" s="4"/>
      <c r="O251" s="4"/>
    </row>
    <row r="252" spans="2:15">
      <c r="B252" s="15"/>
      <c r="C252" s="15"/>
      <c r="D252" s="24" t="s">
        <v>286</v>
      </c>
      <c r="E252" s="21">
        <v>1.7</v>
      </c>
      <c r="F252" s="22"/>
      <c r="G252" s="22"/>
      <c r="H252" s="22">
        <v>2.4</v>
      </c>
      <c r="I252" s="23">
        <v>0.9</v>
      </c>
      <c r="J252" s="17">
        <v>2016</v>
      </c>
      <c r="K252" s="20" t="s">
        <v>27</v>
      </c>
      <c r="L252" s="4" t="s">
        <v>249</v>
      </c>
      <c r="M252" s="4" t="s">
        <v>21</v>
      </c>
      <c r="N252" s="4"/>
      <c r="O252" s="4"/>
    </row>
    <row r="253" spans="2:15">
      <c r="B253" s="15"/>
      <c r="C253" s="15"/>
      <c r="D253" s="24" t="s">
        <v>286</v>
      </c>
      <c r="E253" s="21">
        <v>1.6</v>
      </c>
      <c r="F253" s="22"/>
      <c r="G253" s="22"/>
      <c r="H253" s="22">
        <v>2</v>
      </c>
      <c r="I253" s="23">
        <v>1.1000000000000001</v>
      </c>
      <c r="J253" s="17">
        <v>2015</v>
      </c>
      <c r="K253" s="20" t="s">
        <v>27</v>
      </c>
      <c r="L253" s="4" t="s">
        <v>249</v>
      </c>
      <c r="M253" s="4" t="s">
        <v>21</v>
      </c>
      <c r="N253" s="4"/>
      <c r="O253" s="4"/>
    </row>
    <row r="254" spans="2:15">
      <c r="B254" s="15"/>
      <c r="C254" s="15"/>
      <c r="D254" s="24" t="s">
        <v>286</v>
      </c>
      <c r="E254" s="21">
        <v>1.3</v>
      </c>
      <c r="F254" s="22"/>
      <c r="G254" s="22"/>
      <c r="H254" s="22"/>
      <c r="I254" s="23"/>
      <c r="J254" s="17">
        <v>2014</v>
      </c>
      <c r="K254" s="20" t="s">
        <v>265</v>
      </c>
      <c r="L254" s="4" t="s">
        <v>24</v>
      </c>
      <c r="M254" s="4" t="s">
        <v>21</v>
      </c>
      <c r="N254" s="4"/>
      <c r="O254" s="4"/>
    </row>
    <row r="255" spans="2:15">
      <c r="B255" s="15"/>
      <c r="C255" s="15"/>
      <c r="D255" s="24" t="s">
        <v>286</v>
      </c>
      <c r="E255" s="21">
        <v>0.4</v>
      </c>
      <c r="F255" s="22"/>
      <c r="G255" s="22"/>
      <c r="H255" s="22"/>
      <c r="I255" s="23"/>
      <c r="J255" s="17">
        <v>2009</v>
      </c>
      <c r="K255" s="20" t="s">
        <v>27</v>
      </c>
      <c r="L255" s="4" t="s">
        <v>24</v>
      </c>
      <c r="M255" s="4" t="s">
        <v>21</v>
      </c>
      <c r="N255" s="4"/>
      <c r="O255" s="4"/>
    </row>
    <row r="256" spans="2:15">
      <c r="B256" s="15"/>
      <c r="C256" s="15"/>
      <c r="D256" s="24" t="s">
        <v>286</v>
      </c>
      <c r="E256" s="21">
        <v>0.3</v>
      </c>
      <c r="F256" s="22"/>
      <c r="G256" s="22"/>
      <c r="H256" s="22"/>
      <c r="I256" s="23"/>
      <c r="J256" s="17">
        <v>2005</v>
      </c>
      <c r="K256" s="20" t="s">
        <v>27</v>
      </c>
      <c r="L256" s="4" t="s">
        <v>38</v>
      </c>
      <c r="M256" s="4" t="s">
        <v>51</v>
      </c>
      <c r="N256" s="4"/>
      <c r="O256" s="4"/>
    </row>
    <row r="257" spans="2:15">
      <c r="B257" s="15"/>
      <c r="C257" s="15"/>
      <c r="D257" s="24" t="s">
        <v>287</v>
      </c>
      <c r="E257" s="21">
        <v>0.4</v>
      </c>
      <c r="F257" s="22"/>
      <c r="G257" s="22"/>
      <c r="H257" s="22">
        <v>0.6</v>
      </c>
      <c r="I257" s="23">
        <v>0.2</v>
      </c>
      <c r="J257" s="17">
        <v>2023</v>
      </c>
      <c r="K257" s="20" t="s">
        <v>265</v>
      </c>
      <c r="L257" s="4" t="s">
        <v>24</v>
      </c>
      <c r="M257" s="4" t="s">
        <v>51</v>
      </c>
      <c r="N257" s="4"/>
      <c r="O257" s="4"/>
    </row>
    <row r="258" spans="2:15">
      <c r="B258" s="15"/>
      <c r="C258" s="15"/>
      <c r="D258" s="24" t="s">
        <v>287</v>
      </c>
      <c r="E258" s="21">
        <v>0.6</v>
      </c>
      <c r="F258" s="22"/>
      <c r="G258" s="22"/>
      <c r="H258" s="22">
        <v>1</v>
      </c>
      <c r="I258" s="23">
        <v>0.1</v>
      </c>
      <c r="J258" s="17">
        <v>2021</v>
      </c>
      <c r="K258" s="20" t="s">
        <v>265</v>
      </c>
      <c r="L258" s="4" t="s">
        <v>24</v>
      </c>
      <c r="M258" s="4" t="s">
        <v>21</v>
      </c>
      <c r="N258" s="4"/>
      <c r="O258" s="4" t="s">
        <v>415</v>
      </c>
    </row>
    <row r="259" spans="2:15">
      <c r="B259" s="15"/>
      <c r="C259" s="15"/>
      <c r="D259" s="24" t="s">
        <v>287</v>
      </c>
      <c r="E259" s="21">
        <v>0.6</v>
      </c>
      <c r="F259" s="22"/>
      <c r="G259" s="22"/>
      <c r="H259" s="22">
        <v>0.9</v>
      </c>
      <c r="I259" s="23">
        <v>0.4</v>
      </c>
      <c r="J259" s="17">
        <v>2020</v>
      </c>
      <c r="K259" s="20" t="s">
        <v>265</v>
      </c>
      <c r="L259" s="4" t="s">
        <v>24</v>
      </c>
      <c r="M259" s="4" t="s">
        <v>21</v>
      </c>
      <c r="N259" s="4"/>
      <c r="O259" s="4" t="s">
        <v>415</v>
      </c>
    </row>
    <row r="260" spans="2:15">
      <c r="B260" s="15"/>
      <c r="C260" s="15"/>
      <c r="D260" s="24" t="s">
        <v>287</v>
      </c>
      <c r="E260" s="21">
        <v>0.3</v>
      </c>
      <c r="F260" s="22"/>
      <c r="G260" s="22"/>
      <c r="H260" s="22">
        <v>0.5</v>
      </c>
      <c r="I260" s="23">
        <v>0.1</v>
      </c>
      <c r="J260" s="17">
        <v>2019</v>
      </c>
      <c r="K260" s="20" t="s">
        <v>265</v>
      </c>
      <c r="L260" s="4" t="s">
        <v>24</v>
      </c>
      <c r="M260" s="4" t="s">
        <v>21</v>
      </c>
      <c r="N260" s="4"/>
      <c r="O260" s="4" t="s">
        <v>452</v>
      </c>
    </row>
    <row r="261" spans="2:15">
      <c r="B261" s="15"/>
      <c r="C261" s="15"/>
      <c r="D261" s="24" t="s">
        <v>287</v>
      </c>
      <c r="E261" s="21">
        <v>0.7</v>
      </c>
      <c r="F261" s="22"/>
      <c r="G261" s="22"/>
      <c r="H261" s="22">
        <v>1.1000000000000001</v>
      </c>
      <c r="I261" s="23">
        <v>0.1</v>
      </c>
      <c r="J261" s="17">
        <v>2018</v>
      </c>
      <c r="K261" s="20" t="s">
        <v>265</v>
      </c>
      <c r="L261" s="4" t="s">
        <v>24</v>
      </c>
      <c r="M261" s="4" t="s">
        <v>21</v>
      </c>
      <c r="N261" s="4"/>
      <c r="O261" s="4" t="s">
        <v>452</v>
      </c>
    </row>
    <row r="262" spans="2:15">
      <c r="B262" s="15"/>
      <c r="C262" s="15"/>
      <c r="D262" s="24" t="s">
        <v>287</v>
      </c>
      <c r="E262" s="21">
        <v>0.6</v>
      </c>
      <c r="F262" s="22"/>
      <c r="G262" s="22"/>
      <c r="H262" s="22">
        <v>0.8</v>
      </c>
      <c r="I262" s="23">
        <v>0.4</v>
      </c>
      <c r="J262" s="17">
        <v>2017</v>
      </c>
      <c r="K262" s="20" t="s">
        <v>265</v>
      </c>
      <c r="L262" s="4" t="s">
        <v>24</v>
      </c>
      <c r="M262" s="4" t="s">
        <v>21</v>
      </c>
      <c r="N262" s="4"/>
      <c r="O262" s="4" t="s">
        <v>452</v>
      </c>
    </row>
    <row r="263" spans="2:15">
      <c r="B263" s="15"/>
      <c r="C263" s="15"/>
      <c r="D263" s="24" t="s">
        <v>287</v>
      </c>
      <c r="E263" s="21">
        <v>0.3</v>
      </c>
      <c r="F263" s="22"/>
      <c r="G263" s="22"/>
      <c r="H263" s="22">
        <v>0.3</v>
      </c>
      <c r="I263" s="23">
        <v>0.4</v>
      </c>
      <c r="J263" s="17">
        <v>2016</v>
      </c>
      <c r="K263" s="20" t="s">
        <v>265</v>
      </c>
      <c r="L263" s="4" t="s">
        <v>24</v>
      </c>
      <c r="M263" s="4" t="s">
        <v>21</v>
      </c>
      <c r="N263" s="4"/>
      <c r="O263" s="4" t="s">
        <v>420</v>
      </c>
    </row>
    <row r="264" spans="2:15">
      <c r="B264" s="15"/>
      <c r="C264" s="15"/>
      <c r="D264" s="24" t="s">
        <v>287</v>
      </c>
      <c r="E264" s="21">
        <v>0.2</v>
      </c>
      <c r="F264" s="22"/>
      <c r="G264" s="22"/>
      <c r="H264" s="22">
        <v>0.3</v>
      </c>
      <c r="I264" s="23">
        <v>0</v>
      </c>
      <c r="J264" s="17">
        <v>2015</v>
      </c>
      <c r="K264" s="20" t="s">
        <v>265</v>
      </c>
      <c r="L264" s="4" t="s">
        <v>24</v>
      </c>
      <c r="M264" s="4" t="s">
        <v>21</v>
      </c>
      <c r="N264" s="4"/>
      <c r="O264" s="4" t="s">
        <v>420</v>
      </c>
    </row>
    <row r="265" spans="2:15">
      <c r="B265" s="15"/>
      <c r="C265" s="15"/>
      <c r="D265" s="24" t="s">
        <v>287</v>
      </c>
      <c r="E265" s="21">
        <v>0.6</v>
      </c>
      <c r="F265" s="22"/>
      <c r="G265" s="22"/>
      <c r="H265" s="22">
        <v>0.9</v>
      </c>
      <c r="I265" s="23">
        <v>0.2</v>
      </c>
      <c r="J265" s="17">
        <v>2014</v>
      </c>
      <c r="K265" s="20" t="s">
        <v>265</v>
      </c>
      <c r="L265" s="4" t="s">
        <v>24</v>
      </c>
      <c r="M265" s="4" t="s">
        <v>21</v>
      </c>
      <c r="N265" s="4"/>
      <c r="O265" s="4"/>
    </row>
    <row r="266" spans="2:15">
      <c r="B266" s="15"/>
      <c r="C266" s="15"/>
      <c r="D266" s="24" t="s">
        <v>287</v>
      </c>
      <c r="E266" s="21">
        <v>0.6</v>
      </c>
      <c r="F266" s="22"/>
      <c r="G266" s="22"/>
      <c r="H266" s="22">
        <v>1.2</v>
      </c>
      <c r="I266" s="23">
        <v>0.1</v>
      </c>
      <c r="J266" s="17">
        <v>2013</v>
      </c>
      <c r="K266" s="20" t="s">
        <v>265</v>
      </c>
      <c r="L266" s="4" t="s">
        <v>24</v>
      </c>
      <c r="M266" s="4" t="s">
        <v>21</v>
      </c>
      <c r="N266" s="4"/>
      <c r="O266" s="4"/>
    </row>
    <row r="267" spans="2:15">
      <c r="B267" s="15"/>
      <c r="C267" s="15"/>
      <c r="D267" s="24" t="s">
        <v>287</v>
      </c>
      <c r="E267" s="21">
        <v>0.7</v>
      </c>
      <c r="F267" s="22"/>
      <c r="G267" s="22"/>
      <c r="H267" s="22"/>
      <c r="I267" s="23"/>
      <c r="J267" s="17">
        <v>2009</v>
      </c>
      <c r="K267" s="20" t="s">
        <v>27</v>
      </c>
      <c r="L267" s="4" t="s">
        <v>24</v>
      </c>
      <c r="M267" s="4" t="s">
        <v>21</v>
      </c>
      <c r="N267" s="4"/>
      <c r="O267" s="4"/>
    </row>
    <row r="268" spans="2:15">
      <c r="B268" s="15"/>
      <c r="C268" s="15"/>
      <c r="D268" s="24" t="s">
        <v>287</v>
      </c>
      <c r="E268" s="21">
        <v>1.1000000000000001</v>
      </c>
      <c r="F268" s="22"/>
      <c r="G268" s="22"/>
      <c r="H268" s="22"/>
      <c r="I268" s="23"/>
      <c r="J268" s="17">
        <v>2004</v>
      </c>
      <c r="K268" s="20" t="s">
        <v>27</v>
      </c>
      <c r="L268" s="4" t="s">
        <v>38</v>
      </c>
      <c r="M268" s="4" t="s">
        <v>51</v>
      </c>
      <c r="N268" s="4"/>
      <c r="O268" s="4"/>
    </row>
    <row r="269" spans="2:15">
      <c r="B269" s="15"/>
      <c r="C269" s="15"/>
      <c r="D269" s="24" t="s">
        <v>290</v>
      </c>
      <c r="E269" s="21">
        <v>0.8</v>
      </c>
      <c r="F269" s="22"/>
      <c r="G269" s="22"/>
      <c r="H269" s="22">
        <v>0.9</v>
      </c>
      <c r="I269" s="23">
        <v>0.7</v>
      </c>
      <c r="J269" s="17">
        <v>2019</v>
      </c>
      <c r="K269" s="20" t="s">
        <v>27</v>
      </c>
      <c r="L269" s="4" t="s">
        <v>24</v>
      </c>
      <c r="M269" s="4" t="s">
        <v>21</v>
      </c>
      <c r="N269" s="4"/>
      <c r="O269" s="4" t="s">
        <v>397</v>
      </c>
    </row>
    <row r="270" spans="2:15">
      <c r="B270" s="15"/>
      <c r="C270" s="15"/>
      <c r="D270" s="24" t="s">
        <v>290</v>
      </c>
      <c r="E270" s="21">
        <v>1.7</v>
      </c>
      <c r="F270" s="22"/>
      <c r="G270" s="22"/>
      <c r="H270" s="22">
        <v>1.8</v>
      </c>
      <c r="I270" s="23">
        <v>1.5</v>
      </c>
      <c r="J270" s="17">
        <v>2016</v>
      </c>
      <c r="K270" s="20" t="s">
        <v>27</v>
      </c>
      <c r="L270" s="4" t="s">
        <v>24</v>
      </c>
      <c r="M270" s="4" t="s">
        <v>21</v>
      </c>
      <c r="N270" s="4"/>
      <c r="O270" s="4" t="s">
        <v>420</v>
      </c>
    </row>
    <row r="271" spans="2:15">
      <c r="B271" s="15"/>
      <c r="C271" s="15"/>
      <c r="D271" s="24" t="s">
        <v>290</v>
      </c>
      <c r="E271" s="21">
        <v>0.2</v>
      </c>
      <c r="F271" s="22"/>
      <c r="G271" s="22"/>
      <c r="H271" s="22">
        <v>0.3</v>
      </c>
      <c r="I271" s="23"/>
      <c r="J271" s="17">
        <v>2014</v>
      </c>
      <c r="K271" s="20" t="s">
        <v>27</v>
      </c>
      <c r="L271" s="4" t="s">
        <v>24</v>
      </c>
      <c r="M271" s="4" t="s">
        <v>21</v>
      </c>
      <c r="N271" s="4"/>
      <c r="O271" s="4" t="s">
        <v>453</v>
      </c>
    </row>
    <row r="272" spans="2:15">
      <c r="B272" s="15"/>
      <c r="C272" s="15"/>
      <c r="D272" s="24" t="s">
        <v>290</v>
      </c>
      <c r="E272" s="21">
        <v>0.6</v>
      </c>
      <c r="F272" s="22"/>
      <c r="G272" s="22"/>
      <c r="H272" s="22">
        <v>0.8</v>
      </c>
      <c r="I272" s="23">
        <v>0.3</v>
      </c>
      <c r="J272" s="17">
        <v>2012</v>
      </c>
      <c r="K272" s="20" t="s">
        <v>27</v>
      </c>
      <c r="L272" s="4" t="s">
        <v>24</v>
      </c>
      <c r="M272" s="4" t="s">
        <v>21</v>
      </c>
      <c r="N272" s="4"/>
      <c r="O272" s="4"/>
    </row>
    <row r="273" spans="2:15">
      <c r="B273" s="15"/>
      <c r="C273" s="15"/>
      <c r="D273" s="24" t="s">
        <v>290</v>
      </c>
      <c r="E273" s="21">
        <v>1.9</v>
      </c>
      <c r="F273" s="22"/>
      <c r="G273" s="22"/>
      <c r="H273" s="22"/>
      <c r="I273" s="23"/>
      <c r="J273" s="17">
        <v>2010</v>
      </c>
      <c r="K273" s="20" t="s">
        <v>27</v>
      </c>
      <c r="L273" s="4" t="s">
        <v>24</v>
      </c>
      <c r="M273" s="4" t="s">
        <v>21</v>
      </c>
      <c r="N273" s="4"/>
      <c r="O273" s="4"/>
    </row>
    <row r="274" spans="2:15">
      <c r="B274" s="15"/>
      <c r="C274" s="15"/>
      <c r="D274" s="24" t="s">
        <v>290</v>
      </c>
      <c r="E274" s="21">
        <v>0.7</v>
      </c>
      <c r="F274" s="22"/>
      <c r="G274" s="22"/>
      <c r="H274" s="22"/>
      <c r="I274" s="23"/>
      <c r="J274" s="17">
        <v>2006</v>
      </c>
      <c r="K274" s="20" t="s">
        <v>27</v>
      </c>
      <c r="L274" s="4" t="s">
        <v>38</v>
      </c>
      <c r="M274" s="4" t="s">
        <v>51</v>
      </c>
      <c r="N274" s="4"/>
      <c r="O274" s="4"/>
    </row>
    <row r="275" spans="2:15">
      <c r="B275" s="15"/>
      <c r="C275" s="15"/>
      <c r="D275" s="24" t="s">
        <v>293</v>
      </c>
      <c r="E275" s="21">
        <v>0.01</v>
      </c>
      <c r="F275" s="22"/>
      <c r="G275" s="22"/>
      <c r="H275" s="22">
        <v>0.1</v>
      </c>
      <c r="I275" s="23">
        <v>0</v>
      </c>
      <c r="J275" s="17">
        <v>2022</v>
      </c>
      <c r="K275" s="20" t="s">
        <v>27</v>
      </c>
      <c r="L275" s="4" t="s">
        <v>24</v>
      </c>
      <c r="M275" s="4" t="s">
        <v>21</v>
      </c>
      <c r="N275" s="4"/>
      <c r="O275" s="4" t="s">
        <v>454</v>
      </c>
    </row>
    <row r="276" spans="2:15">
      <c r="B276" s="15"/>
      <c r="C276" s="15"/>
      <c r="D276" s="24" t="s">
        <v>293</v>
      </c>
      <c r="E276" s="21">
        <v>0.01</v>
      </c>
      <c r="F276" s="22"/>
      <c r="G276" s="22"/>
      <c r="H276" s="22">
        <v>0.01</v>
      </c>
      <c r="I276" s="23">
        <v>0</v>
      </c>
      <c r="J276" s="17">
        <v>2017</v>
      </c>
      <c r="K276" s="20" t="s">
        <v>27</v>
      </c>
      <c r="L276" s="4" t="s">
        <v>24</v>
      </c>
      <c r="M276" s="4" t="s">
        <v>21</v>
      </c>
      <c r="N276" s="4"/>
      <c r="O276" s="4" t="s">
        <v>455</v>
      </c>
    </row>
    <row r="277" spans="2:15">
      <c r="B277" s="15"/>
      <c r="C277" s="15"/>
      <c r="D277" s="24" t="s">
        <v>293</v>
      </c>
      <c r="E277" s="21">
        <v>0.05</v>
      </c>
      <c r="F277" s="22"/>
      <c r="G277" s="22"/>
      <c r="H277" s="22">
        <v>0.1</v>
      </c>
      <c r="I277" s="23">
        <v>0</v>
      </c>
      <c r="J277" s="17">
        <v>2012</v>
      </c>
      <c r="K277" s="20" t="s">
        <v>27</v>
      </c>
      <c r="L277" s="4" t="s">
        <v>24</v>
      </c>
      <c r="M277" s="4" t="s">
        <v>21</v>
      </c>
      <c r="N277" s="4"/>
      <c r="O277" s="4"/>
    </row>
    <row r="278" spans="2:15">
      <c r="B278" s="15"/>
      <c r="C278" s="15"/>
      <c r="D278" s="24" t="s">
        <v>293</v>
      </c>
      <c r="E278" s="21">
        <v>0.2</v>
      </c>
      <c r="F278" s="22"/>
      <c r="G278" s="22"/>
      <c r="H278" s="22"/>
      <c r="I278" s="23"/>
      <c r="J278" s="17">
        <v>2007</v>
      </c>
      <c r="K278" s="20" t="s">
        <v>27</v>
      </c>
      <c r="L278" s="4" t="s">
        <v>24</v>
      </c>
      <c r="M278" s="4" t="s">
        <v>21</v>
      </c>
      <c r="N278" s="4"/>
      <c r="O278" s="4"/>
    </row>
    <row r="279" spans="2:15">
      <c r="B279" s="15"/>
      <c r="C279" s="15"/>
      <c r="D279" s="24" t="s">
        <v>296</v>
      </c>
      <c r="E279" s="21">
        <v>0.6</v>
      </c>
      <c r="F279" s="22"/>
      <c r="G279" s="22"/>
      <c r="H279" s="22">
        <v>1</v>
      </c>
      <c r="I279" s="23">
        <v>0.2</v>
      </c>
      <c r="J279" s="17">
        <v>2023</v>
      </c>
      <c r="K279" s="20" t="s">
        <v>27</v>
      </c>
      <c r="L279" s="4" t="s">
        <v>24</v>
      </c>
      <c r="M279" s="4" t="s">
        <v>21</v>
      </c>
      <c r="N279" s="4"/>
      <c r="O279" s="4" t="s">
        <v>409</v>
      </c>
    </row>
    <row r="280" spans="2:15">
      <c r="B280" s="15"/>
      <c r="C280" s="15"/>
      <c r="D280" s="24" t="s">
        <v>296</v>
      </c>
      <c r="E280" s="21">
        <v>0.45</v>
      </c>
      <c r="F280" s="22">
        <v>0.4</v>
      </c>
      <c r="G280" s="22">
        <v>0.5</v>
      </c>
      <c r="H280" s="22"/>
      <c r="I280" s="23"/>
      <c r="J280" s="17">
        <v>2019</v>
      </c>
      <c r="K280" s="20" t="s">
        <v>27</v>
      </c>
      <c r="L280" s="4" t="s">
        <v>122</v>
      </c>
      <c r="M280" s="4" t="s">
        <v>21</v>
      </c>
      <c r="N280" s="4"/>
      <c r="O280" s="4" t="s">
        <v>415</v>
      </c>
    </row>
    <row r="281" spans="2:15">
      <c r="B281" s="15"/>
      <c r="C281" s="15"/>
      <c r="D281" s="24" t="s">
        <v>296</v>
      </c>
      <c r="E281" s="21">
        <v>0.4</v>
      </c>
      <c r="F281" s="22"/>
      <c r="G281" s="22"/>
      <c r="H281" s="22">
        <v>0.7</v>
      </c>
      <c r="I281" s="23">
        <v>0.1</v>
      </c>
      <c r="J281" s="17">
        <v>2015</v>
      </c>
      <c r="K281" s="20" t="s">
        <v>27</v>
      </c>
      <c r="L281" s="4" t="s">
        <v>24</v>
      </c>
      <c r="M281" s="4" t="s">
        <v>21</v>
      </c>
      <c r="N281" s="4"/>
      <c r="O281" s="4"/>
    </row>
    <row r="282" spans="2:15">
      <c r="B282" s="15"/>
      <c r="C282" s="15"/>
      <c r="D282" s="24" t="s">
        <v>296</v>
      </c>
      <c r="E282" s="21">
        <v>0.12</v>
      </c>
      <c r="F282" s="22"/>
      <c r="G282" s="22"/>
      <c r="H282" s="22"/>
      <c r="I282" s="23"/>
      <c r="J282" s="17">
        <v>2010</v>
      </c>
      <c r="K282" s="20" t="s">
        <v>27</v>
      </c>
      <c r="L282" s="4" t="s">
        <v>249</v>
      </c>
      <c r="M282" s="4" t="s">
        <v>21</v>
      </c>
      <c r="N282" s="4"/>
      <c r="O282" s="4"/>
    </row>
    <row r="283" spans="2:15">
      <c r="B283" s="15"/>
      <c r="C283" s="15"/>
      <c r="D283" s="24" t="s">
        <v>296</v>
      </c>
      <c r="E283" s="21">
        <v>0.3</v>
      </c>
      <c r="F283" s="22"/>
      <c r="G283" s="22"/>
      <c r="H283" s="22"/>
      <c r="I283" s="23"/>
      <c r="J283" s="17">
        <v>2006</v>
      </c>
      <c r="K283" s="20" t="s">
        <v>27</v>
      </c>
      <c r="L283" s="4" t="s">
        <v>249</v>
      </c>
      <c r="M283" s="4" t="s">
        <v>21</v>
      </c>
      <c r="N283" s="4"/>
      <c r="O283" s="4"/>
    </row>
    <row r="284" spans="2:15">
      <c r="B284" s="15"/>
      <c r="C284" s="15"/>
      <c r="D284" s="24" t="s">
        <v>296</v>
      </c>
      <c r="E284" s="21">
        <v>0.2</v>
      </c>
      <c r="F284" s="22"/>
      <c r="G284" s="22"/>
      <c r="H284" s="22"/>
      <c r="I284" s="23"/>
      <c r="J284" s="17">
        <v>2004</v>
      </c>
      <c r="K284" s="20" t="s">
        <v>27</v>
      </c>
      <c r="L284" s="4" t="s">
        <v>38</v>
      </c>
      <c r="M284" s="4" t="s">
        <v>51</v>
      </c>
      <c r="N284" s="4"/>
      <c r="O284" s="4"/>
    </row>
    <row r="285" spans="2:15">
      <c r="B285" s="15"/>
      <c r="C285" s="15"/>
      <c r="D285" s="24" t="s">
        <v>297</v>
      </c>
      <c r="E285" s="21">
        <v>0.5</v>
      </c>
      <c r="F285" s="22"/>
      <c r="G285" s="22"/>
      <c r="H285" s="22">
        <v>0.6</v>
      </c>
      <c r="I285" s="23">
        <v>0.3</v>
      </c>
      <c r="J285" s="17">
        <v>2023</v>
      </c>
      <c r="K285" s="20" t="s">
        <v>27</v>
      </c>
      <c r="L285" s="4" t="s">
        <v>38</v>
      </c>
      <c r="M285" s="4" t="s">
        <v>51</v>
      </c>
      <c r="N285" s="4"/>
      <c r="O285" s="4" t="s">
        <v>420</v>
      </c>
    </row>
    <row r="286" spans="2:15">
      <c r="B286" s="15"/>
      <c r="C286" s="15"/>
      <c r="D286" s="24" t="s">
        <v>297</v>
      </c>
      <c r="E286" s="21">
        <v>0.4</v>
      </c>
      <c r="F286" s="22">
        <v>0.3</v>
      </c>
      <c r="G286" s="22">
        <v>0.6</v>
      </c>
      <c r="H286" s="22">
        <v>0.5</v>
      </c>
      <c r="I286" s="23">
        <v>0.2</v>
      </c>
      <c r="J286" s="17">
        <v>2018</v>
      </c>
      <c r="K286" s="20" t="s">
        <v>27</v>
      </c>
      <c r="L286" s="4" t="s">
        <v>249</v>
      </c>
      <c r="M286" s="4" t="s">
        <v>21</v>
      </c>
      <c r="N286" s="4" t="s">
        <v>298</v>
      </c>
      <c r="O286" s="4" t="s">
        <v>415</v>
      </c>
    </row>
    <row r="287" spans="2:15">
      <c r="B287" s="15"/>
      <c r="C287" s="15"/>
      <c r="D287" s="24" t="s">
        <v>297</v>
      </c>
      <c r="E287" s="21">
        <v>0.3</v>
      </c>
      <c r="F287" s="22"/>
      <c r="G287" s="22"/>
      <c r="H287" s="22">
        <v>0.5</v>
      </c>
      <c r="I287" s="23">
        <v>0.1</v>
      </c>
      <c r="J287" s="17">
        <v>2012</v>
      </c>
      <c r="K287" s="20" t="s">
        <v>27</v>
      </c>
      <c r="L287" s="4" t="s">
        <v>24</v>
      </c>
      <c r="M287" s="4" t="s">
        <v>21</v>
      </c>
      <c r="N287" s="4"/>
      <c r="O287" s="4" t="s">
        <v>420</v>
      </c>
    </row>
    <row r="288" spans="2:15">
      <c r="B288" s="15"/>
      <c r="C288" s="15"/>
      <c r="D288" s="24" t="s">
        <v>297</v>
      </c>
      <c r="E288" s="21">
        <v>0.72</v>
      </c>
      <c r="F288" s="22">
        <v>0.19</v>
      </c>
      <c r="G288" s="22">
        <v>1.25</v>
      </c>
      <c r="H288" s="22"/>
      <c r="I288" s="23"/>
      <c r="J288" s="17">
        <v>2011</v>
      </c>
      <c r="K288" s="20" t="s">
        <v>27</v>
      </c>
      <c r="L288" s="4" t="s">
        <v>234</v>
      </c>
      <c r="M288" s="4" t="s">
        <v>44</v>
      </c>
      <c r="N288" s="4" t="s">
        <v>33</v>
      </c>
      <c r="O288" s="4"/>
    </row>
    <row r="289" spans="2:15">
      <c r="B289" s="15"/>
      <c r="C289" s="15"/>
      <c r="D289" s="24" t="s">
        <v>297</v>
      </c>
      <c r="E289" s="21">
        <v>0.51</v>
      </c>
      <c r="F289" s="22">
        <v>0.45</v>
      </c>
      <c r="G289" s="22">
        <v>0.56999999999999995</v>
      </c>
      <c r="H289" s="22"/>
      <c r="I289" s="23"/>
      <c r="J289" s="17">
        <v>2007</v>
      </c>
      <c r="K289" s="20" t="s">
        <v>27</v>
      </c>
      <c r="L289" s="4" t="s">
        <v>241</v>
      </c>
      <c r="M289" s="4" t="s">
        <v>74</v>
      </c>
      <c r="N289" s="4" t="s">
        <v>75</v>
      </c>
      <c r="O289" s="4"/>
    </row>
    <row r="290" spans="2:15">
      <c r="B290" s="15"/>
      <c r="C290" s="15"/>
      <c r="D290" s="24" t="s">
        <v>299</v>
      </c>
      <c r="E290" s="21">
        <v>0.7</v>
      </c>
      <c r="F290" s="22"/>
      <c r="G290" s="22"/>
      <c r="H290" s="22">
        <v>1.1000000000000001</v>
      </c>
      <c r="I290" s="23">
        <v>0.4</v>
      </c>
      <c r="J290" s="17">
        <v>2022</v>
      </c>
      <c r="K290" s="20" t="s">
        <v>27</v>
      </c>
      <c r="L290" s="4" t="s">
        <v>24</v>
      </c>
      <c r="M290" s="4" t="s">
        <v>21</v>
      </c>
      <c r="N290" s="4"/>
      <c r="O290" s="4"/>
    </row>
    <row r="291" spans="2:15">
      <c r="B291" s="15"/>
      <c r="C291" s="15"/>
      <c r="D291" s="24" t="s">
        <v>299</v>
      </c>
      <c r="E291" s="21">
        <v>0.8</v>
      </c>
      <c r="F291" s="22"/>
      <c r="G291" s="22"/>
      <c r="H291" s="22">
        <v>1.1000000000000001</v>
      </c>
      <c r="I291" s="23">
        <v>0.5</v>
      </c>
      <c r="J291" s="17">
        <v>2020</v>
      </c>
      <c r="K291" s="20" t="s">
        <v>27</v>
      </c>
      <c r="L291" s="4" t="s">
        <v>24</v>
      </c>
      <c r="M291" s="4" t="s">
        <v>21</v>
      </c>
      <c r="N291" s="4"/>
      <c r="O291" s="4" t="s">
        <v>456</v>
      </c>
    </row>
    <row r="292" spans="2:15">
      <c r="B292" s="15"/>
      <c r="C292" s="15"/>
      <c r="D292" s="24" t="s">
        <v>299</v>
      </c>
      <c r="E292" s="21">
        <v>0.5</v>
      </c>
      <c r="F292" s="22">
        <v>0.4</v>
      </c>
      <c r="G292" s="22">
        <v>0.6</v>
      </c>
      <c r="H292" s="22">
        <v>0.8</v>
      </c>
      <c r="I292" s="23">
        <v>0.2</v>
      </c>
      <c r="J292" s="17">
        <v>2017</v>
      </c>
      <c r="K292" s="20" t="s">
        <v>27</v>
      </c>
      <c r="L292" s="4" t="s">
        <v>249</v>
      </c>
      <c r="M292" s="4" t="s">
        <v>21</v>
      </c>
      <c r="N292" s="4"/>
      <c r="O292" s="4"/>
    </row>
    <row r="293" spans="2:15">
      <c r="B293" s="15"/>
      <c r="C293" s="15"/>
      <c r="D293" s="24" t="s">
        <v>299</v>
      </c>
      <c r="E293" s="21">
        <v>0.57999999999999996</v>
      </c>
      <c r="F293" s="22"/>
      <c r="G293" s="22"/>
      <c r="H293" s="22">
        <v>0.86</v>
      </c>
      <c r="I293" s="23">
        <v>0.31</v>
      </c>
      <c r="J293" s="17">
        <v>2015</v>
      </c>
      <c r="K293" s="20" t="s">
        <v>27</v>
      </c>
      <c r="L293" s="4" t="s">
        <v>97</v>
      </c>
      <c r="M293" s="4" t="s">
        <v>21</v>
      </c>
      <c r="N293" s="4"/>
      <c r="O293" s="4" t="s">
        <v>415</v>
      </c>
    </row>
    <row r="294" spans="2:15">
      <c r="B294" s="15"/>
      <c r="C294" s="15"/>
      <c r="D294" s="24" t="s">
        <v>299</v>
      </c>
      <c r="E294" s="21">
        <v>0.6</v>
      </c>
      <c r="F294" s="22"/>
      <c r="G294" s="22"/>
      <c r="H294" s="22">
        <v>0.8</v>
      </c>
      <c r="I294" s="23">
        <v>0.4</v>
      </c>
      <c r="J294" s="17">
        <v>2013</v>
      </c>
      <c r="K294" s="20" t="s">
        <v>27</v>
      </c>
      <c r="L294" s="4" t="s">
        <v>24</v>
      </c>
      <c r="M294" s="4" t="s">
        <v>21</v>
      </c>
      <c r="N294" s="4"/>
      <c r="O294" s="4"/>
    </row>
    <row r="295" spans="2:15">
      <c r="B295" s="15"/>
      <c r="C295" s="15"/>
      <c r="D295" s="24" t="s">
        <v>299</v>
      </c>
      <c r="E295" s="21">
        <v>0.6</v>
      </c>
      <c r="F295" s="22"/>
      <c r="G295" s="22"/>
      <c r="H295" s="22">
        <v>0.9</v>
      </c>
      <c r="I295" s="23">
        <v>0.3</v>
      </c>
      <c r="J295" s="17">
        <v>2011</v>
      </c>
      <c r="K295" s="20" t="s">
        <v>27</v>
      </c>
      <c r="L295" s="4" t="s">
        <v>24</v>
      </c>
      <c r="M295" s="4" t="s">
        <v>21</v>
      </c>
      <c r="N295" s="4"/>
      <c r="O295" s="4"/>
    </row>
    <row r="296" spans="2:15">
      <c r="B296" s="15"/>
      <c r="C296" s="15"/>
      <c r="D296" s="24" t="s">
        <v>299</v>
      </c>
      <c r="E296" s="21">
        <v>0.6</v>
      </c>
      <c r="F296" s="22"/>
      <c r="G296" s="22"/>
      <c r="H296" s="22"/>
      <c r="I296" s="23"/>
      <c r="J296" s="17">
        <v>2009</v>
      </c>
      <c r="K296" s="20" t="s">
        <v>27</v>
      </c>
      <c r="L296" s="4" t="s">
        <v>38</v>
      </c>
      <c r="M296" s="4" t="s">
        <v>51</v>
      </c>
      <c r="N296" s="4"/>
      <c r="O296" s="4"/>
    </row>
    <row r="297" spans="2:15">
      <c r="B297" s="15"/>
      <c r="C297" s="15"/>
      <c r="D297" s="24" t="s">
        <v>302</v>
      </c>
      <c r="E297" s="21">
        <v>0.7</v>
      </c>
      <c r="F297" s="22"/>
      <c r="G297" s="22"/>
      <c r="H297" s="22">
        <v>0.9</v>
      </c>
      <c r="I297" s="23">
        <v>0.6</v>
      </c>
      <c r="J297" s="17">
        <v>2021</v>
      </c>
      <c r="K297" s="20" t="s">
        <v>265</v>
      </c>
      <c r="L297" s="4" t="s">
        <v>38</v>
      </c>
      <c r="M297" s="4" t="s">
        <v>51</v>
      </c>
      <c r="N297" s="4"/>
      <c r="O297" s="4" t="s">
        <v>413</v>
      </c>
    </row>
    <row r="298" spans="2:15">
      <c r="B298" s="15"/>
      <c r="C298" s="15"/>
      <c r="D298" s="24" t="s">
        <v>302</v>
      </c>
      <c r="E298" s="21">
        <v>0.7</v>
      </c>
      <c r="F298" s="22"/>
      <c r="G298" s="22"/>
      <c r="H298" s="22"/>
      <c r="I298" s="23"/>
      <c r="J298" s="17">
        <v>2017</v>
      </c>
      <c r="K298" s="20" t="s">
        <v>303</v>
      </c>
      <c r="L298" s="4" t="s">
        <v>24</v>
      </c>
      <c r="M298" s="4" t="s">
        <v>21</v>
      </c>
      <c r="N298" s="4"/>
      <c r="O298" s="4"/>
    </row>
    <row r="299" spans="2:15">
      <c r="B299" s="15"/>
      <c r="C299" s="15"/>
      <c r="D299" s="24" t="s">
        <v>302</v>
      </c>
      <c r="E299" s="21">
        <v>0.72</v>
      </c>
      <c r="F299" s="22"/>
      <c r="G299" s="22"/>
      <c r="H299" s="22">
        <v>0.96</v>
      </c>
      <c r="I299" s="23">
        <v>0.47</v>
      </c>
      <c r="J299" s="17">
        <v>2013</v>
      </c>
      <c r="K299" s="20" t="s">
        <v>303</v>
      </c>
      <c r="L299" s="4" t="s">
        <v>24</v>
      </c>
      <c r="M299" s="4" t="s">
        <v>21</v>
      </c>
      <c r="N299" s="4"/>
      <c r="O299" s="4"/>
    </row>
    <row r="300" spans="2:15">
      <c r="B300" s="15"/>
      <c r="C300" s="15"/>
      <c r="D300" s="24" t="s">
        <v>302</v>
      </c>
      <c r="E300" s="21">
        <v>0.8</v>
      </c>
      <c r="F300" s="22"/>
      <c r="G300" s="22"/>
      <c r="H300" s="22"/>
      <c r="I300" s="23"/>
      <c r="J300" s="17">
        <v>2008</v>
      </c>
      <c r="K300" s="20" t="s">
        <v>27</v>
      </c>
      <c r="L300" s="4" t="s">
        <v>24</v>
      </c>
      <c r="M300" s="4" t="s">
        <v>21</v>
      </c>
      <c r="N300" s="4"/>
      <c r="O300" s="4"/>
    </row>
    <row r="301" spans="2:15">
      <c r="B301" s="15"/>
      <c r="C301" s="15"/>
      <c r="D301" s="24" t="s">
        <v>302</v>
      </c>
      <c r="E301" s="21">
        <v>0.39</v>
      </c>
      <c r="F301" s="22"/>
      <c r="G301" s="22"/>
      <c r="H301" s="22"/>
      <c r="I301" s="23"/>
      <c r="J301" s="17">
        <v>2007</v>
      </c>
      <c r="K301" s="20" t="s">
        <v>27</v>
      </c>
      <c r="L301" s="4" t="s">
        <v>241</v>
      </c>
      <c r="M301" s="4" t="s">
        <v>74</v>
      </c>
      <c r="N301" s="4" t="s">
        <v>75</v>
      </c>
      <c r="O301" s="4"/>
    </row>
    <row r="302" spans="2:15">
      <c r="B302" s="15"/>
      <c r="C302" s="15"/>
      <c r="D302" s="24" t="s">
        <v>304</v>
      </c>
      <c r="E302" s="21">
        <v>0.8</v>
      </c>
      <c r="F302" s="22"/>
      <c r="G302" s="22"/>
      <c r="H302" s="22"/>
      <c r="I302" s="23"/>
      <c r="J302" s="17">
        <v>2017</v>
      </c>
      <c r="K302" s="20" t="s">
        <v>27</v>
      </c>
      <c r="L302" s="4" t="s">
        <v>24</v>
      </c>
      <c r="M302" s="4" t="s">
        <v>21</v>
      </c>
      <c r="N302" s="4"/>
      <c r="O302" s="4" t="s">
        <v>420</v>
      </c>
    </row>
    <row r="303" spans="2:15">
      <c r="B303" s="15"/>
      <c r="C303" s="15"/>
      <c r="D303" s="24" t="s">
        <v>304</v>
      </c>
      <c r="E303" s="21">
        <v>0.32</v>
      </c>
      <c r="F303" s="22">
        <v>0.3</v>
      </c>
      <c r="G303" s="22">
        <v>0.34</v>
      </c>
      <c r="H303" s="22"/>
      <c r="I303" s="23"/>
      <c r="J303" s="17">
        <v>2016</v>
      </c>
      <c r="K303" s="20" t="s">
        <v>27</v>
      </c>
      <c r="L303" s="4" t="s">
        <v>61</v>
      </c>
      <c r="M303" s="4" t="s">
        <v>21</v>
      </c>
      <c r="N303" s="4" t="s">
        <v>37</v>
      </c>
      <c r="O303" s="4" t="s">
        <v>457</v>
      </c>
    </row>
    <row r="304" spans="2:15">
      <c r="B304" s="15"/>
      <c r="C304" s="15"/>
      <c r="D304" s="24" t="s">
        <v>304</v>
      </c>
      <c r="E304" s="21">
        <v>0.43</v>
      </c>
      <c r="F304" s="22">
        <v>0.36</v>
      </c>
      <c r="G304" s="22">
        <v>0.5</v>
      </c>
      <c r="H304" s="22"/>
      <c r="I304" s="23"/>
      <c r="J304" s="17">
        <v>2015</v>
      </c>
      <c r="K304" s="20" t="s">
        <v>27</v>
      </c>
      <c r="L304" s="4" t="s">
        <v>61</v>
      </c>
      <c r="M304" s="4" t="s">
        <v>21</v>
      </c>
      <c r="N304" s="4" t="s">
        <v>37</v>
      </c>
      <c r="O304" s="4" t="s">
        <v>457</v>
      </c>
    </row>
    <row r="305" spans="2:15">
      <c r="B305" s="15"/>
      <c r="C305" s="15"/>
      <c r="D305" s="24" t="s">
        <v>304</v>
      </c>
      <c r="E305" s="21">
        <v>0.27</v>
      </c>
      <c r="F305" s="22"/>
      <c r="G305" s="22"/>
      <c r="H305" s="22">
        <v>0.28999999999999998</v>
      </c>
      <c r="I305" s="23">
        <v>0.26</v>
      </c>
      <c r="J305" s="17">
        <v>2013</v>
      </c>
      <c r="K305" s="20" t="s">
        <v>27</v>
      </c>
      <c r="L305" s="4" t="s">
        <v>24</v>
      </c>
      <c r="M305" s="4" t="s">
        <v>21</v>
      </c>
      <c r="N305" s="4"/>
      <c r="O305" s="4"/>
    </row>
    <row r="306" spans="2:15">
      <c r="B306" s="15"/>
      <c r="C306" s="15"/>
      <c r="D306" s="24" t="s">
        <v>304</v>
      </c>
      <c r="E306" s="21">
        <v>0.08</v>
      </c>
      <c r="F306" s="22">
        <v>0.08</v>
      </c>
      <c r="G306" s="22">
        <v>0.09</v>
      </c>
      <c r="H306" s="22"/>
      <c r="I306" s="23"/>
      <c r="J306" s="17">
        <v>2012</v>
      </c>
      <c r="K306" s="20" t="s">
        <v>50</v>
      </c>
      <c r="L306" s="4" t="s">
        <v>24</v>
      </c>
      <c r="M306" s="4" t="s">
        <v>21</v>
      </c>
      <c r="N306" s="4"/>
      <c r="O306" s="4"/>
    </row>
    <row r="307" spans="2:15">
      <c r="B307" s="15"/>
      <c r="C307" s="15"/>
      <c r="D307" s="24" t="s">
        <v>304</v>
      </c>
      <c r="E307" s="21">
        <v>0.63</v>
      </c>
      <c r="F307" s="22">
        <v>0.56999999999999995</v>
      </c>
      <c r="G307" s="22">
        <v>0.69</v>
      </c>
      <c r="H307" s="22"/>
      <c r="I307" s="23"/>
      <c r="J307" s="17">
        <v>2007</v>
      </c>
      <c r="K307" s="20" t="s">
        <v>27</v>
      </c>
      <c r="L307" s="4" t="s">
        <v>234</v>
      </c>
      <c r="M307" s="4" t="s">
        <v>44</v>
      </c>
      <c r="N307" s="4" t="s">
        <v>33</v>
      </c>
      <c r="O307" s="4"/>
    </row>
    <row r="308" spans="2:15">
      <c r="B308" s="15"/>
      <c r="C308" s="15"/>
      <c r="D308" s="24" t="s">
        <v>305</v>
      </c>
      <c r="E308" s="21">
        <v>0.24248018188516579</v>
      </c>
      <c r="F308" s="22"/>
      <c r="G308" s="22"/>
      <c r="H308" s="22">
        <v>0.26470399134709882</v>
      </c>
      <c r="I308" s="23">
        <v>0.1819631142653079</v>
      </c>
      <c r="J308" s="17">
        <v>2023</v>
      </c>
      <c r="K308" s="20" t="s">
        <v>306</v>
      </c>
      <c r="L308" s="4" t="s">
        <v>36</v>
      </c>
      <c r="M308" s="4" t="s">
        <v>21</v>
      </c>
      <c r="N308" s="4"/>
      <c r="O308" s="4" t="s">
        <v>307</v>
      </c>
    </row>
    <row r="309" spans="2:15">
      <c r="B309" s="15"/>
      <c r="C309" s="15"/>
      <c r="D309" s="24" t="s">
        <v>305</v>
      </c>
      <c r="E309" s="21">
        <v>0.32</v>
      </c>
      <c r="F309" s="22"/>
      <c r="G309" s="22"/>
      <c r="H309" s="22">
        <v>0.31</v>
      </c>
      <c r="I309" s="23">
        <v>0.32</v>
      </c>
      <c r="J309" s="17">
        <v>2022</v>
      </c>
      <c r="K309" s="20" t="s">
        <v>306</v>
      </c>
      <c r="L309" s="4" t="s">
        <v>36</v>
      </c>
      <c r="M309" s="4" t="s">
        <v>21</v>
      </c>
      <c r="N309" s="4"/>
      <c r="O309" s="4" t="s">
        <v>308</v>
      </c>
    </row>
    <row r="310" spans="2:15">
      <c r="B310" s="15"/>
      <c r="C310" s="15"/>
      <c r="D310" s="24" t="s">
        <v>305</v>
      </c>
      <c r="E310" s="21">
        <v>0.36075554366433799</v>
      </c>
      <c r="F310" s="22"/>
      <c r="G310" s="22"/>
      <c r="H310" s="22"/>
      <c r="I310" s="23"/>
      <c r="J310" s="17">
        <v>2021</v>
      </c>
      <c r="K310" s="20" t="s">
        <v>306</v>
      </c>
      <c r="L310" s="4" t="s">
        <v>36</v>
      </c>
      <c r="M310" s="4" t="s">
        <v>21</v>
      </c>
      <c r="N310" s="4"/>
      <c r="O310" s="4" t="s">
        <v>458</v>
      </c>
    </row>
    <row r="311" spans="2:15">
      <c r="B311" s="15"/>
      <c r="C311" s="15"/>
      <c r="D311" s="24" t="s">
        <v>305</v>
      </c>
      <c r="E311" s="21">
        <v>0.32</v>
      </c>
      <c r="F311" s="22"/>
      <c r="G311" s="22"/>
      <c r="H311" s="22">
        <v>0.38</v>
      </c>
      <c r="I311" s="23">
        <v>0.26</v>
      </c>
      <c r="J311" s="17">
        <v>2019</v>
      </c>
      <c r="K311" s="20" t="s">
        <v>265</v>
      </c>
      <c r="L311" s="4" t="s">
        <v>24</v>
      </c>
      <c r="M311" s="4" t="s">
        <v>21</v>
      </c>
      <c r="N311" s="4"/>
      <c r="O311" s="4" t="s">
        <v>459</v>
      </c>
    </row>
    <row r="312" spans="2:15">
      <c r="B312" s="15"/>
      <c r="C312" s="15"/>
      <c r="D312" s="24" t="s">
        <v>305</v>
      </c>
      <c r="E312" s="21">
        <v>0.56999999999999995</v>
      </c>
      <c r="F312" s="22"/>
      <c r="G312" s="22"/>
      <c r="H312" s="22">
        <v>0.76</v>
      </c>
      <c r="I312" s="23">
        <v>0.39</v>
      </c>
      <c r="J312" s="17">
        <v>2018</v>
      </c>
      <c r="K312" s="20" t="s">
        <v>306</v>
      </c>
      <c r="L312" s="4" t="s">
        <v>36</v>
      </c>
      <c r="M312" s="4" t="s">
        <v>21</v>
      </c>
      <c r="N312" s="4"/>
      <c r="O312" s="4" t="s">
        <v>460</v>
      </c>
    </row>
    <row r="313" spans="2:15">
      <c r="B313" s="15"/>
      <c r="C313" s="15"/>
      <c r="D313" s="24" t="s">
        <v>305</v>
      </c>
      <c r="E313" s="21">
        <v>0.52</v>
      </c>
      <c r="F313" s="22"/>
      <c r="G313" s="22"/>
      <c r="H313" s="22">
        <v>0.69</v>
      </c>
      <c r="I313" s="23">
        <v>0.34</v>
      </c>
      <c r="J313" s="17">
        <v>2017</v>
      </c>
      <c r="K313" s="20" t="s">
        <v>306</v>
      </c>
      <c r="L313" s="4" t="s">
        <v>36</v>
      </c>
      <c r="M313" s="4" t="s">
        <v>21</v>
      </c>
      <c r="N313" s="4"/>
      <c r="O313" s="4" t="s">
        <v>461</v>
      </c>
    </row>
    <row r="314" spans="2:15">
      <c r="B314" s="15"/>
      <c r="C314" s="15"/>
      <c r="D314" s="24" t="s">
        <v>305</v>
      </c>
      <c r="E314" s="21">
        <v>0.46</v>
      </c>
      <c r="F314" s="22"/>
      <c r="G314" s="22"/>
      <c r="H314" s="22">
        <v>0.59</v>
      </c>
      <c r="I314" s="23">
        <v>0.34</v>
      </c>
      <c r="J314" s="17">
        <v>2016</v>
      </c>
      <c r="K314" s="20" t="s">
        <v>306</v>
      </c>
      <c r="L314" s="4" t="s">
        <v>36</v>
      </c>
      <c r="M314" s="4" t="s">
        <v>21</v>
      </c>
      <c r="N314" s="4"/>
      <c r="O314" s="4" t="s">
        <v>462</v>
      </c>
    </row>
    <row r="315" spans="2:15">
      <c r="B315" s="15"/>
      <c r="C315" s="15"/>
      <c r="D315" s="24" t="s">
        <v>305</v>
      </c>
      <c r="E315" s="21">
        <v>0.61</v>
      </c>
      <c r="F315" s="22"/>
      <c r="G315" s="22"/>
      <c r="H315" s="22">
        <v>0.82</v>
      </c>
      <c r="I315" s="23">
        <v>0.4</v>
      </c>
      <c r="J315" s="17">
        <v>2015</v>
      </c>
      <c r="K315" s="20" t="s">
        <v>306</v>
      </c>
      <c r="L315" s="4" t="s">
        <v>36</v>
      </c>
      <c r="M315" s="4" t="s">
        <v>21</v>
      </c>
      <c r="N315" s="4"/>
      <c r="O315" s="4" t="s">
        <v>463</v>
      </c>
    </row>
    <row r="316" spans="2:15">
      <c r="B316" s="15"/>
      <c r="C316" s="15"/>
      <c r="D316" s="24" t="s">
        <v>305</v>
      </c>
      <c r="E316" s="21">
        <v>0.6</v>
      </c>
      <c r="F316" s="22"/>
      <c r="G316" s="22"/>
      <c r="H316" s="22">
        <v>0.8</v>
      </c>
      <c r="I316" s="23">
        <v>0.4</v>
      </c>
      <c r="J316" s="17">
        <v>2014</v>
      </c>
      <c r="K316" s="20" t="s">
        <v>306</v>
      </c>
      <c r="L316" s="4" t="s">
        <v>24</v>
      </c>
      <c r="M316" s="4" t="s">
        <v>21</v>
      </c>
      <c r="N316" s="4"/>
      <c r="O316" s="4" t="s">
        <v>464</v>
      </c>
    </row>
    <row r="317" spans="2:15">
      <c r="B317" s="15"/>
      <c r="C317" s="15"/>
      <c r="D317" s="24" t="s">
        <v>305</v>
      </c>
      <c r="E317" s="21">
        <v>0.8</v>
      </c>
      <c r="F317" s="22"/>
      <c r="G317" s="22"/>
      <c r="H317" s="22">
        <v>1.1000000000000001</v>
      </c>
      <c r="I317" s="23">
        <v>0.5</v>
      </c>
      <c r="J317" s="17">
        <v>2013</v>
      </c>
      <c r="K317" s="20" t="s">
        <v>306</v>
      </c>
      <c r="L317" s="4" t="s">
        <v>24</v>
      </c>
      <c r="M317" s="4" t="s">
        <v>21</v>
      </c>
      <c r="N317" s="4"/>
      <c r="O317" s="4" t="s">
        <v>465</v>
      </c>
    </row>
    <row r="318" spans="2:15">
      <c r="B318" s="15"/>
      <c r="C318" s="15"/>
      <c r="D318" s="24" t="s">
        <v>305</v>
      </c>
      <c r="E318" s="21">
        <v>0.7</v>
      </c>
      <c r="F318" s="22"/>
      <c r="G318" s="22"/>
      <c r="H318" s="22">
        <v>0.9</v>
      </c>
      <c r="I318" s="23">
        <v>0.4</v>
      </c>
      <c r="J318" s="17">
        <v>2012</v>
      </c>
      <c r="K318" s="20" t="s">
        <v>306</v>
      </c>
      <c r="L318" s="4" t="s">
        <v>36</v>
      </c>
      <c r="M318" s="4" t="s">
        <v>21</v>
      </c>
      <c r="N318" s="4"/>
      <c r="O318" s="4" t="s">
        <v>466</v>
      </c>
    </row>
    <row r="319" spans="2:15">
      <c r="B319" s="15"/>
      <c r="C319" s="15"/>
      <c r="D319" s="24" t="s">
        <v>305</v>
      </c>
      <c r="E319" s="21">
        <v>0.8</v>
      </c>
      <c r="F319" s="22"/>
      <c r="G319" s="22"/>
      <c r="H319" s="22"/>
      <c r="I319" s="23"/>
      <c r="J319" s="17">
        <v>2011</v>
      </c>
      <c r="K319" s="20" t="s">
        <v>306</v>
      </c>
      <c r="L319" s="4" t="s">
        <v>36</v>
      </c>
      <c r="M319" s="4" t="s">
        <v>21</v>
      </c>
      <c r="N319" s="4"/>
      <c r="O319" s="4" t="s">
        <v>467</v>
      </c>
    </row>
    <row r="320" spans="2:15">
      <c r="B320" s="15"/>
      <c r="C320" s="15"/>
      <c r="D320" s="24" t="s">
        <v>305</v>
      </c>
      <c r="E320" s="21">
        <v>1.1000000000000001</v>
      </c>
      <c r="F320" s="22"/>
      <c r="G320" s="22"/>
      <c r="H320" s="22"/>
      <c r="I320" s="23"/>
      <c r="J320" s="17">
        <v>2010</v>
      </c>
      <c r="K320" s="20" t="s">
        <v>306</v>
      </c>
      <c r="L320" s="4" t="s">
        <v>125</v>
      </c>
      <c r="M320" s="4" t="s">
        <v>51</v>
      </c>
      <c r="N320" s="4"/>
      <c r="O320" s="4" t="s">
        <v>468</v>
      </c>
    </row>
    <row r="321" spans="2:15">
      <c r="B321" s="15"/>
      <c r="C321" s="15"/>
      <c r="D321" s="24" t="s">
        <v>320</v>
      </c>
      <c r="E321" s="21">
        <v>0.5</v>
      </c>
      <c r="F321" s="22"/>
      <c r="G321" s="22"/>
      <c r="H321" s="22"/>
      <c r="I321" s="23"/>
      <c r="J321" s="17">
        <v>2014</v>
      </c>
      <c r="K321" s="20" t="s">
        <v>27</v>
      </c>
      <c r="L321" s="4" t="s">
        <v>36</v>
      </c>
      <c r="M321" s="4" t="s">
        <v>21</v>
      </c>
      <c r="N321" s="4"/>
      <c r="O321" s="4" t="s">
        <v>398</v>
      </c>
    </row>
    <row r="322" spans="2:15">
      <c r="B322" s="15"/>
      <c r="C322" s="15"/>
      <c r="D322" s="24" t="s">
        <v>320</v>
      </c>
      <c r="E322" s="21">
        <v>1.1000000000000001</v>
      </c>
      <c r="F322" s="22"/>
      <c r="G322" s="22"/>
      <c r="H322" s="22"/>
      <c r="I322" s="23"/>
      <c r="J322" s="17">
        <v>2011</v>
      </c>
      <c r="K322" s="20" t="s">
        <v>27</v>
      </c>
      <c r="L322" s="4" t="s">
        <v>36</v>
      </c>
      <c r="M322" s="4" t="s">
        <v>21</v>
      </c>
      <c r="N322" s="4"/>
      <c r="O322" s="4" t="s">
        <v>469</v>
      </c>
    </row>
    <row r="323" spans="2:15">
      <c r="B323" s="15"/>
      <c r="C323" s="15"/>
      <c r="D323" s="24" t="s">
        <v>320</v>
      </c>
      <c r="E323" s="21">
        <v>1</v>
      </c>
      <c r="F323" s="22"/>
      <c r="G323" s="22"/>
      <c r="H323" s="22"/>
      <c r="I323" s="23"/>
      <c r="J323" s="17">
        <v>2006</v>
      </c>
      <c r="K323" s="20" t="s">
        <v>27</v>
      </c>
      <c r="L323" s="4" t="s">
        <v>125</v>
      </c>
      <c r="M323" s="4" t="s">
        <v>51</v>
      </c>
      <c r="N323" s="4"/>
      <c r="O323" s="4"/>
    </row>
    <row r="324" spans="2:15">
      <c r="B324" s="15"/>
      <c r="C324" s="15"/>
      <c r="D324" s="24" t="s">
        <v>323</v>
      </c>
      <c r="E324" s="21">
        <v>0.82</v>
      </c>
      <c r="F324" s="22"/>
      <c r="G324" s="22"/>
      <c r="H324" s="22">
        <v>1.37</v>
      </c>
      <c r="I324" s="23">
        <v>0.28999999999999998</v>
      </c>
      <c r="J324" s="17">
        <v>2014</v>
      </c>
      <c r="K324" s="20" t="s">
        <v>265</v>
      </c>
      <c r="L324" s="4" t="s">
        <v>36</v>
      </c>
      <c r="M324" s="4" t="s">
        <v>21</v>
      </c>
      <c r="N324" s="4"/>
      <c r="O324" s="4" t="s">
        <v>470</v>
      </c>
    </row>
    <row r="325" spans="2:15">
      <c r="B325" s="15"/>
      <c r="C325" s="15"/>
      <c r="D325" s="24" t="s">
        <v>323</v>
      </c>
      <c r="E325" s="21">
        <v>0.9</v>
      </c>
      <c r="F325" s="22"/>
      <c r="G325" s="22"/>
      <c r="H325" s="22">
        <v>1.4</v>
      </c>
      <c r="I325" s="23">
        <v>0.3</v>
      </c>
      <c r="J325" s="17">
        <v>2013</v>
      </c>
      <c r="K325" s="20" t="s">
        <v>265</v>
      </c>
      <c r="L325" s="4" t="s">
        <v>36</v>
      </c>
      <c r="M325" s="4" t="s">
        <v>21</v>
      </c>
      <c r="N325" s="4"/>
      <c r="O325" s="4" t="s">
        <v>471</v>
      </c>
    </row>
    <row r="326" spans="2:15">
      <c r="B326" s="15"/>
      <c r="C326" s="15"/>
      <c r="D326" s="24" t="s">
        <v>323</v>
      </c>
      <c r="E326" s="21">
        <v>1.2</v>
      </c>
      <c r="F326" s="22"/>
      <c r="G326" s="22"/>
      <c r="H326" s="22"/>
      <c r="I326" s="23"/>
      <c r="J326" s="17">
        <v>2011</v>
      </c>
      <c r="K326" s="20" t="s">
        <v>265</v>
      </c>
      <c r="L326" s="4" t="s">
        <v>36</v>
      </c>
      <c r="M326" s="4" t="s">
        <v>21</v>
      </c>
      <c r="N326" s="4"/>
      <c r="O326" s="4" t="s">
        <v>469</v>
      </c>
    </row>
    <row r="327" spans="2:15">
      <c r="B327" s="15"/>
      <c r="C327" s="15"/>
      <c r="D327" s="24" t="s">
        <v>323</v>
      </c>
      <c r="E327" s="21">
        <v>1.2</v>
      </c>
      <c r="F327" s="22"/>
      <c r="G327" s="22"/>
      <c r="H327" s="22"/>
      <c r="I327" s="23"/>
      <c r="J327" s="17">
        <v>2010</v>
      </c>
      <c r="K327" s="20" t="s">
        <v>265</v>
      </c>
      <c r="L327" s="4" t="s">
        <v>125</v>
      </c>
      <c r="M327" s="4" t="s">
        <v>51</v>
      </c>
      <c r="N327" s="4"/>
      <c r="O327" s="4" t="s">
        <v>472</v>
      </c>
    </row>
    <row r="328" spans="2:15">
      <c r="B328" s="15" t="s">
        <v>327</v>
      </c>
      <c r="C328" s="15" t="s">
        <v>328</v>
      </c>
      <c r="D328" s="24" t="s">
        <v>329</v>
      </c>
      <c r="E328" s="21">
        <v>1</v>
      </c>
      <c r="F328" s="22">
        <f>E328-0.2</f>
        <v>0.8</v>
      </c>
      <c r="G328" s="22">
        <f>E328+0.2</f>
        <v>1.2</v>
      </c>
      <c r="H328" s="22">
        <v>1.1000000000000001</v>
      </c>
      <c r="I328" s="23">
        <v>0.9</v>
      </c>
      <c r="J328" s="17" t="s">
        <v>330</v>
      </c>
      <c r="K328" s="20" t="s">
        <v>226</v>
      </c>
      <c r="L328" s="4" t="s">
        <v>125</v>
      </c>
      <c r="M328" s="4" t="s">
        <v>21</v>
      </c>
      <c r="N328" s="4"/>
      <c r="O328" s="4" t="s">
        <v>473</v>
      </c>
    </row>
    <row r="329" spans="2:15">
      <c r="B329" s="15"/>
      <c r="C329" s="15"/>
      <c r="D329" s="24" t="s">
        <v>329</v>
      </c>
      <c r="E329" s="21">
        <v>1.3</v>
      </c>
      <c r="F329" s="22"/>
      <c r="G329" s="22"/>
      <c r="H329" s="22">
        <v>1.8</v>
      </c>
      <c r="I329" s="23">
        <v>0.8</v>
      </c>
      <c r="J329" s="17">
        <v>2019</v>
      </c>
      <c r="K329" s="20" t="s">
        <v>226</v>
      </c>
      <c r="L329" s="4" t="s">
        <v>24</v>
      </c>
      <c r="M329" s="4" t="s">
        <v>21</v>
      </c>
      <c r="N329" s="4"/>
      <c r="O329" s="4" t="s">
        <v>415</v>
      </c>
    </row>
    <row r="330" spans="2:15">
      <c r="B330" s="15"/>
      <c r="C330" s="15"/>
      <c r="D330" s="24" t="s">
        <v>329</v>
      </c>
      <c r="E330" s="21">
        <v>1.4</v>
      </c>
      <c r="F330" s="22"/>
      <c r="G330" s="22"/>
      <c r="H330" s="22">
        <v>1.8</v>
      </c>
      <c r="I330" s="23">
        <v>1</v>
      </c>
      <c r="J330" s="17">
        <v>2016</v>
      </c>
      <c r="K330" s="20" t="s">
        <v>226</v>
      </c>
      <c r="L330" s="4" t="s">
        <v>24</v>
      </c>
      <c r="M330" s="4" t="s">
        <v>21</v>
      </c>
      <c r="N330" s="4"/>
      <c r="O330" s="4" t="s">
        <v>415</v>
      </c>
    </row>
    <row r="331" spans="2:15">
      <c r="B331" s="15"/>
      <c r="C331" s="15"/>
      <c r="D331" s="24" t="s">
        <v>329</v>
      </c>
      <c r="E331" s="21">
        <v>2.1</v>
      </c>
      <c r="F331" s="22"/>
      <c r="G331" s="22"/>
      <c r="H331" s="22">
        <v>2.7</v>
      </c>
      <c r="I331" s="23">
        <v>1.5</v>
      </c>
      <c r="J331" s="17">
        <v>2013</v>
      </c>
      <c r="K331" s="20" t="s">
        <v>226</v>
      </c>
      <c r="L331" s="4" t="s">
        <v>36</v>
      </c>
      <c r="M331" s="4" t="s">
        <v>21</v>
      </c>
      <c r="N331" s="4" t="s">
        <v>421</v>
      </c>
      <c r="O331" s="4" t="s">
        <v>409</v>
      </c>
    </row>
    <row r="332" spans="2:15">
      <c r="B332" s="15"/>
      <c r="C332" s="15"/>
      <c r="D332" s="24" t="s">
        <v>329</v>
      </c>
      <c r="E332" s="21">
        <v>2.1</v>
      </c>
      <c r="F332" s="22"/>
      <c r="G332" s="22"/>
      <c r="H332" s="22"/>
      <c r="I332" s="23"/>
      <c r="J332" s="17">
        <v>2010</v>
      </c>
      <c r="K332" s="20" t="s">
        <v>226</v>
      </c>
      <c r="L332" s="4" t="s">
        <v>24</v>
      </c>
      <c r="M332" s="4" t="s">
        <v>21</v>
      </c>
      <c r="N332" s="4"/>
      <c r="O332" s="4"/>
    </row>
    <row r="333" spans="2:15">
      <c r="B333" s="15"/>
      <c r="C333" s="15"/>
      <c r="D333" s="24" t="s">
        <v>329</v>
      </c>
      <c r="E333" s="21">
        <v>2.7</v>
      </c>
      <c r="F333" s="22"/>
      <c r="G333" s="22"/>
      <c r="H333" s="22"/>
      <c r="I333" s="23"/>
      <c r="J333" s="17">
        <v>2007</v>
      </c>
      <c r="K333" s="20" t="s">
        <v>27</v>
      </c>
      <c r="L333" s="4" t="s">
        <v>125</v>
      </c>
      <c r="M333" s="4" t="s">
        <v>51</v>
      </c>
      <c r="N333" s="4"/>
      <c r="O333" s="4"/>
    </row>
    <row r="334" spans="2:15">
      <c r="B334" s="15"/>
      <c r="C334" s="15"/>
      <c r="D334" s="24" t="s">
        <v>331</v>
      </c>
      <c r="E334" s="21">
        <v>1.3</v>
      </c>
      <c r="F334" s="22">
        <v>1</v>
      </c>
      <c r="G334" s="22">
        <v>1.6</v>
      </c>
      <c r="H334" s="22">
        <v>1.7</v>
      </c>
      <c r="I334" s="23">
        <v>0.8</v>
      </c>
      <c r="J334" s="17" t="s">
        <v>332</v>
      </c>
      <c r="K334" s="20" t="s">
        <v>50</v>
      </c>
      <c r="L334" s="4" t="s">
        <v>36</v>
      </c>
      <c r="M334" s="4" t="s">
        <v>51</v>
      </c>
      <c r="N334" s="4"/>
      <c r="O334" s="4"/>
    </row>
    <row r="335" spans="2:15">
      <c r="B335" s="15"/>
      <c r="C335" s="15"/>
      <c r="D335" s="24" t="s">
        <v>331</v>
      </c>
      <c r="E335" s="21">
        <v>1.1000000000000001</v>
      </c>
      <c r="F335" s="22"/>
      <c r="G335" s="22"/>
      <c r="H335" s="22">
        <v>1.6</v>
      </c>
      <c r="I335" s="23">
        <v>0.7</v>
      </c>
      <c r="J335" s="17" t="s">
        <v>330</v>
      </c>
      <c r="K335" s="20" t="s">
        <v>50</v>
      </c>
      <c r="L335" s="4" t="s">
        <v>38</v>
      </c>
      <c r="M335" s="4" t="s">
        <v>51</v>
      </c>
      <c r="N335" s="4"/>
      <c r="O335" s="4"/>
    </row>
    <row r="336" spans="2:15">
      <c r="B336" s="15"/>
      <c r="C336" s="15"/>
      <c r="D336" s="24" t="s">
        <v>331</v>
      </c>
      <c r="E336" s="21">
        <v>1.2</v>
      </c>
      <c r="F336" s="22"/>
      <c r="G336" s="22"/>
      <c r="H336" s="22"/>
      <c r="I336" s="23"/>
      <c r="J336" s="17">
        <v>2021</v>
      </c>
      <c r="K336" s="20" t="s">
        <v>27</v>
      </c>
      <c r="L336" s="4" t="s">
        <v>24</v>
      </c>
      <c r="M336" s="4" t="s">
        <v>21</v>
      </c>
      <c r="N336" s="4"/>
      <c r="O336" s="4" t="s">
        <v>474</v>
      </c>
    </row>
    <row r="337" spans="2:15">
      <c r="B337" s="15"/>
      <c r="C337" s="15"/>
      <c r="D337" s="24" t="s">
        <v>331</v>
      </c>
      <c r="E337" s="21">
        <v>1</v>
      </c>
      <c r="F337" s="22"/>
      <c r="G337" s="22"/>
      <c r="H337" s="22">
        <v>2</v>
      </c>
      <c r="I337" s="23">
        <v>1</v>
      </c>
      <c r="J337" s="17">
        <v>2020</v>
      </c>
      <c r="K337" s="20" t="s">
        <v>195</v>
      </c>
      <c r="L337" s="4" t="s">
        <v>24</v>
      </c>
      <c r="M337" s="4" t="s">
        <v>21</v>
      </c>
      <c r="N337" s="4"/>
      <c r="O337" s="4" t="s">
        <v>475</v>
      </c>
    </row>
    <row r="338" spans="2:15">
      <c r="B338" s="15"/>
      <c r="C338" s="15"/>
      <c r="D338" s="24" t="s">
        <v>331</v>
      </c>
      <c r="E338" s="21">
        <v>0.8</v>
      </c>
      <c r="F338" s="22"/>
      <c r="G338" s="22"/>
      <c r="H338" s="22">
        <v>1.1000000000000001</v>
      </c>
      <c r="I338" s="23">
        <v>0.5</v>
      </c>
      <c r="J338" s="17">
        <v>2018</v>
      </c>
      <c r="K338" s="20" t="s">
        <v>265</v>
      </c>
      <c r="L338" s="4" t="s">
        <v>38</v>
      </c>
      <c r="M338" s="4" t="s">
        <v>51</v>
      </c>
      <c r="N338" s="4"/>
      <c r="O338" s="4" t="s">
        <v>476</v>
      </c>
    </row>
    <row r="339" spans="2:15">
      <c r="B339" s="15"/>
      <c r="C339" s="15"/>
      <c r="D339" s="24" t="s">
        <v>331</v>
      </c>
      <c r="E339" s="21">
        <v>1</v>
      </c>
      <c r="F339" s="22"/>
      <c r="G339" s="22"/>
      <c r="H339" s="22">
        <v>1.5</v>
      </c>
      <c r="I339" s="23">
        <v>0.6</v>
      </c>
      <c r="J339" s="17">
        <v>2017</v>
      </c>
      <c r="K339" s="20" t="s">
        <v>265</v>
      </c>
      <c r="L339" s="4" t="s">
        <v>36</v>
      </c>
      <c r="M339" s="4" t="s">
        <v>21</v>
      </c>
      <c r="N339" s="4"/>
      <c r="O339" s="4" t="s">
        <v>477</v>
      </c>
    </row>
    <row r="340" spans="2:15">
      <c r="B340" s="15"/>
      <c r="C340" s="15"/>
      <c r="D340" s="24" t="s">
        <v>331</v>
      </c>
      <c r="E340" s="21">
        <v>1.1000000000000001</v>
      </c>
      <c r="F340" s="22"/>
      <c r="G340" s="22"/>
      <c r="H340" s="22"/>
      <c r="I340" s="23"/>
      <c r="J340" s="17">
        <v>2016</v>
      </c>
      <c r="K340" s="20" t="s">
        <v>265</v>
      </c>
      <c r="L340" s="4" t="s">
        <v>24</v>
      </c>
      <c r="M340" s="4" t="s">
        <v>21</v>
      </c>
      <c r="N340" s="4"/>
      <c r="O340" s="4" t="s">
        <v>478</v>
      </c>
    </row>
    <row r="341" spans="2:15">
      <c r="B341" s="15"/>
      <c r="C341" s="15"/>
      <c r="D341" s="24" t="s">
        <v>331</v>
      </c>
      <c r="E341" s="21">
        <v>1.1000000000000001</v>
      </c>
      <c r="F341" s="22">
        <v>0.8</v>
      </c>
      <c r="G341" s="22">
        <v>1.4</v>
      </c>
      <c r="H341" s="22">
        <v>1.5</v>
      </c>
      <c r="I341" s="23">
        <v>0.7</v>
      </c>
      <c r="J341" s="17">
        <v>2014</v>
      </c>
      <c r="K341" s="20" t="s">
        <v>27</v>
      </c>
      <c r="L341" s="4" t="s">
        <v>36</v>
      </c>
      <c r="M341" s="4" t="s">
        <v>21</v>
      </c>
      <c r="N341" s="4"/>
      <c r="O341" s="4" t="s">
        <v>479</v>
      </c>
    </row>
    <row r="342" spans="2:15">
      <c r="B342" s="15"/>
      <c r="C342" s="15"/>
      <c r="D342" s="24" t="s">
        <v>331</v>
      </c>
      <c r="E342" s="21">
        <v>2.1</v>
      </c>
      <c r="F342" s="22"/>
      <c r="G342" s="22"/>
      <c r="H342" s="22"/>
      <c r="I342" s="23"/>
      <c r="J342" s="17">
        <v>2007</v>
      </c>
      <c r="K342" s="20" t="s">
        <v>265</v>
      </c>
      <c r="L342" s="4" t="s">
        <v>36</v>
      </c>
      <c r="M342" s="4" t="s">
        <v>21</v>
      </c>
      <c r="N342" s="4"/>
      <c r="O342" s="4"/>
    </row>
    <row r="343" spans="2:15">
      <c r="B343" s="15"/>
      <c r="C343" s="15"/>
      <c r="D343" s="24" t="s">
        <v>331</v>
      </c>
      <c r="E343" s="21">
        <v>2.2999999999999998</v>
      </c>
      <c r="F343" s="22"/>
      <c r="G343" s="22"/>
      <c r="H343" s="22"/>
      <c r="I343" s="23"/>
      <c r="J343" s="17">
        <v>2006</v>
      </c>
      <c r="K343" s="20" t="s">
        <v>27</v>
      </c>
      <c r="L343" s="4" t="s">
        <v>38</v>
      </c>
      <c r="M343" s="4" t="s">
        <v>51</v>
      </c>
      <c r="N343" s="4" t="s">
        <v>342</v>
      </c>
      <c r="O343" s="4"/>
    </row>
    <row r="344" spans="2:15" ht="228.75" customHeight="1">
      <c r="B344" s="80" t="s">
        <v>480</v>
      </c>
      <c r="C344" s="81"/>
      <c r="D344" s="81"/>
      <c r="E344" s="81"/>
      <c r="F344" s="81"/>
      <c r="G344" s="81"/>
      <c r="H344" s="81"/>
      <c r="I344" s="81"/>
      <c r="J344" s="81"/>
      <c r="K344" s="81"/>
      <c r="L344" s="81"/>
      <c r="M344" s="81"/>
      <c r="N344" s="81"/>
      <c r="O344" s="81"/>
    </row>
  </sheetData>
  <mergeCells count="3">
    <mergeCell ref="B344:O344"/>
    <mergeCell ref="B2:O2"/>
    <mergeCell ref="B1:O1"/>
  </mergeCells>
  <conditionalFormatting sqref="D4:D343">
    <cfRule type="expression" dxfId="14" priority="4">
      <formula>#REF!=-1</formula>
    </cfRule>
  </conditionalFormatting>
  <dataValidations disablePrompts="1" count="1">
    <dataValidation type="decimal" allowBlank="1" showInputMessage="1" showErrorMessage="1" sqref="H149:I149" xr:uid="{00000000-0002-0000-0200-000000000000}">
      <formula1>0</formula1>
      <formula2>1</formula2>
    </dataValidation>
  </dataValidations>
  <pageMargins left="0.7" right="0.7" top="0.75" bottom="0.75" header="0.3" footer="0.3"/>
  <pageSetup paperSize="9" scale="15"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B1:O354"/>
  <sheetViews>
    <sheetView zoomScale="90" zoomScaleNormal="90" zoomScaleSheetLayoutView="55" workbookViewId="0">
      <pane ySplit="3" topLeftCell="A4" activePane="bottomLeft" state="frozen"/>
      <selection activeCell="H40" sqref="H40"/>
      <selection pane="bottomLeft"/>
    </sheetView>
  </sheetViews>
  <sheetFormatPr defaultColWidth="8.875" defaultRowHeight="15.75"/>
  <cols>
    <col min="1" max="1" width="8.25" customWidth="1"/>
    <col min="2" max="2" width="16.125" customWidth="1"/>
    <col min="3" max="3" width="40.125" customWidth="1"/>
    <col min="4" max="4" width="38.875" customWidth="1"/>
    <col min="5" max="9" width="11.625" customWidth="1"/>
    <col min="10" max="11" width="11.625" style="18" customWidth="1"/>
    <col min="12" max="12" width="49.125" customWidth="1"/>
    <col min="13" max="13" width="12.375" customWidth="1"/>
    <col min="14" max="14" width="16.5" customWidth="1"/>
    <col min="15" max="15" width="67.125" customWidth="1"/>
  </cols>
  <sheetData>
    <row r="1" spans="2:15" ht="30" customHeight="1">
      <c r="B1" s="85" t="s">
        <v>481</v>
      </c>
      <c r="C1" s="86"/>
      <c r="D1" s="86"/>
      <c r="E1" s="86"/>
      <c r="F1" s="86"/>
      <c r="G1" s="86"/>
      <c r="H1" s="86"/>
      <c r="I1" s="86"/>
      <c r="J1" s="86"/>
      <c r="K1" s="86"/>
      <c r="L1" s="86"/>
      <c r="M1" s="86"/>
      <c r="N1" s="86"/>
      <c r="O1" s="86"/>
    </row>
    <row r="2" spans="2:15" ht="32.1" customHeight="1">
      <c r="B2" s="78" t="s">
        <v>1</v>
      </c>
      <c r="C2" s="79"/>
      <c r="D2" s="79"/>
      <c r="E2" s="79"/>
      <c r="F2" s="79"/>
      <c r="G2" s="79"/>
      <c r="H2" s="79"/>
      <c r="I2" s="79"/>
      <c r="J2" s="79"/>
      <c r="K2" s="79"/>
      <c r="L2" s="79"/>
      <c r="M2" s="79"/>
      <c r="N2" s="79"/>
      <c r="O2" s="79"/>
    </row>
    <row r="3" spans="2:15" ht="46.35" customHeight="1">
      <c r="B3" s="27" t="s">
        <v>2</v>
      </c>
      <c r="C3" s="5" t="s">
        <v>3</v>
      </c>
      <c r="D3" s="5" t="s">
        <v>4</v>
      </c>
      <c r="E3" s="28" t="s">
        <v>5</v>
      </c>
      <c r="F3" s="28" t="s">
        <v>6</v>
      </c>
      <c r="G3" s="28" t="s">
        <v>7</v>
      </c>
      <c r="H3" s="29" t="s">
        <v>8</v>
      </c>
      <c r="I3" s="30" t="s">
        <v>9</v>
      </c>
      <c r="J3" s="27" t="s">
        <v>10</v>
      </c>
      <c r="K3" s="27" t="s">
        <v>11</v>
      </c>
      <c r="L3" s="27" t="s">
        <v>12</v>
      </c>
      <c r="M3" s="31" t="s">
        <v>13</v>
      </c>
      <c r="N3" s="28" t="s">
        <v>14</v>
      </c>
      <c r="O3" s="27" t="s">
        <v>15</v>
      </c>
    </row>
    <row r="4" spans="2:15">
      <c r="B4" s="15" t="s">
        <v>16</v>
      </c>
      <c r="C4" s="25" t="s">
        <v>17</v>
      </c>
      <c r="D4" s="24" t="s">
        <v>18</v>
      </c>
      <c r="E4" s="11">
        <v>0.25</v>
      </c>
      <c r="F4" s="12">
        <v>0.2</v>
      </c>
      <c r="G4" s="12">
        <v>0.3</v>
      </c>
      <c r="H4" s="12"/>
      <c r="I4" s="13"/>
      <c r="J4" s="17">
        <v>2007</v>
      </c>
      <c r="K4" s="20" t="s">
        <v>19</v>
      </c>
      <c r="L4" s="4" t="s">
        <v>36</v>
      </c>
      <c r="M4" s="4" t="s">
        <v>21</v>
      </c>
      <c r="N4" s="4" t="s">
        <v>26</v>
      </c>
      <c r="O4" s="4"/>
    </row>
    <row r="5" spans="2:15">
      <c r="B5" s="15"/>
      <c r="C5" s="25" t="s">
        <v>39</v>
      </c>
      <c r="D5" s="24" t="s">
        <v>40</v>
      </c>
      <c r="E5" s="11">
        <v>0.02</v>
      </c>
      <c r="F5" s="12"/>
      <c r="G5" s="12"/>
      <c r="H5" s="12">
        <v>0.02</v>
      </c>
      <c r="I5" s="13">
        <v>0.01</v>
      </c>
      <c r="J5" s="17">
        <v>2010</v>
      </c>
      <c r="K5" s="20" t="s">
        <v>41</v>
      </c>
      <c r="L5" s="4" t="s">
        <v>24</v>
      </c>
      <c r="M5" s="4" t="s">
        <v>21</v>
      </c>
      <c r="N5" s="4"/>
      <c r="O5" s="4"/>
    </row>
    <row r="6" spans="2:15">
      <c r="B6" s="15"/>
      <c r="C6" s="25" t="s">
        <v>53</v>
      </c>
      <c r="D6" s="24" t="s">
        <v>54</v>
      </c>
      <c r="E6" s="11">
        <v>0.31</v>
      </c>
      <c r="F6" s="12">
        <v>0.24</v>
      </c>
      <c r="G6" s="12">
        <v>0.38</v>
      </c>
      <c r="H6" s="12"/>
      <c r="I6" s="13"/>
      <c r="J6" s="17">
        <v>2011</v>
      </c>
      <c r="K6" s="20" t="s">
        <v>27</v>
      </c>
      <c r="L6" s="4" t="s">
        <v>24</v>
      </c>
      <c r="M6" s="4" t="s">
        <v>44</v>
      </c>
      <c r="N6" s="4" t="s">
        <v>147</v>
      </c>
      <c r="O6" s="4"/>
    </row>
    <row r="7" spans="2:15">
      <c r="B7" s="15"/>
      <c r="C7" s="25"/>
      <c r="D7" s="24" t="s">
        <v>54</v>
      </c>
      <c r="E7" s="11">
        <v>0.4</v>
      </c>
      <c r="F7" s="12"/>
      <c r="G7" s="12"/>
      <c r="H7" s="12"/>
      <c r="I7" s="13"/>
      <c r="J7" s="17">
        <v>2004</v>
      </c>
      <c r="K7" s="20" t="s">
        <v>27</v>
      </c>
      <c r="L7" s="4" t="s">
        <v>58</v>
      </c>
      <c r="M7" s="4"/>
      <c r="N7" s="4" t="s">
        <v>75</v>
      </c>
      <c r="O7" s="4"/>
    </row>
    <row r="8" spans="2:15">
      <c r="B8" s="15"/>
      <c r="C8" s="25"/>
      <c r="D8" s="24" t="s">
        <v>57</v>
      </c>
      <c r="E8" s="11">
        <v>0.3</v>
      </c>
      <c r="F8" s="12"/>
      <c r="G8" s="12"/>
      <c r="H8" s="12"/>
      <c r="I8" s="13"/>
      <c r="J8" s="17">
        <v>2003</v>
      </c>
      <c r="K8" s="20" t="s">
        <v>27</v>
      </c>
      <c r="L8" s="4" t="s">
        <v>61</v>
      </c>
      <c r="M8" s="4"/>
      <c r="N8" s="4" t="s">
        <v>377</v>
      </c>
      <c r="O8" s="4"/>
    </row>
    <row r="9" spans="2:15">
      <c r="B9" s="15"/>
      <c r="C9" s="25" t="s">
        <v>59</v>
      </c>
      <c r="D9" s="24" t="s">
        <v>62</v>
      </c>
      <c r="E9" s="11">
        <v>0.06</v>
      </c>
      <c r="F9" s="12"/>
      <c r="G9" s="12"/>
      <c r="H9" s="12"/>
      <c r="I9" s="13"/>
      <c r="J9" s="17">
        <v>2004</v>
      </c>
      <c r="K9" s="20" t="s">
        <v>27</v>
      </c>
      <c r="L9" s="4" t="s">
        <v>61</v>
      </c>
      <c r="M9" s="4"/>
      <c r="N9" s="4" t="s">
        <v>45</v>
      </c>
      <c r="O9" s="4"/>
    </row>
    <row r="10" spans="2:15">
      <c r="B10" s="15"/>
      <c r="C10" s="25"/>
      <c r="D10" s="24" t="s">
        <v>71</v>
      </c>
      <c r="E10" s="11">
        <v>0.34</v>
      </c>
      <c r="F10" s="12">
        <v>0</v>
      </c>
      <c r="G10" s="12">
        <v>1.25</v>
      </c>
      <c r="H10" s="12"/>
      <c r="I10" s="13"/>
      <c r="J10" s="17">
        <v>2017</v>
      </c>
      <c r="K10" s="20" t="s">
        <v>27</v>
      </c>
      <c r="L10" s="4" t="s">
        <v>69</v>
      </c>
      <c r="M10" s="4" t="s">
        <v>70</v>
      </c>
      <c r="N10" s="4"/>
      <c r="O10" s="4"/>
    </row>
    <row r="11" spans="2:15">
      <c r="B11" s="15" t="s">
        <v>76</v>
      </c>
      <c r="C11" s="25" t="s">
        <v>77</v>
      </c>
      <c r="D11" s="24" t="s">
        <v>78</v>
      </c>
      <c r="E11" s="11">
        <v>0.11</v>
      </c>
      <c r="F11" s="12">
        <v>0.04</v>
      </c>
      <c r="G11" s="12">
        <v>0.6</v>
      </c>
      <c r="H11" s="12"/>
      <c r="I11" s="13"/>
      <c r="J11" s="17">
        <v>2008</v>
      </c>
      <c r="K11" s="20" t="s">
        <v>27</v>
      </c>
      <c r="L11" s="4" t="s">
        <v>36</v>
      </c>
      <c r="M11" s="4" t="s">
        <v>44</v>
      </c>
      <c r="N11" s="4" t="s">
        <v>33</v>
      </c>
      <c r="O11" s="4"/>
    </row>
    <row r="12" spans="2:15">
      <c r="B12" s="15"/>
      <c r="C12" s="25"/>
      <c r="D12" s="24" t="s">
        <v>78</v>
      </c>
      <c r="E12" s="11">
        <v>0.14000000000000001</v>
      </c>
      <c r="F12" s="12"/>
      <c r="G12" s="12"/>
      <c r="H12" s="12"/>
      <c r="I12" s="13"/>
      <c r="J12" s="17">
        <v>2003</v>
      </c>
      <c r="K12" s="20" t="s">
        <v>27</v>
      </c>
      <c r="L12" s="4" t="s">
        <v>58</v>
      </c>
      <c r="M12" s="4"/>
      <c r="N12" s="4" t="s">
        <v>75</v>
      </c>
      <c r="O12" s="4"/>
    </row>
    <row r="13" spans="2:15">
      <c r="B13" s="15"/>
      <c r="C13" s="25"/>
      <c r="D13" s="24" t="s">
        <v>80</v>
      </c>
      <c r="E13" s="11">
        <v>0.3</v>
      </c>
      <c r="F13" s="12"/>
      <c r="G13" s="12"/>
      <c r="H13" s="12"/>
      <c r="I13" s="13"/>
      <c r="J13" s="17">
        <v>2006</v>
      </c>
      <c r="K13" s="20" t="s">
        <v>79</v>
      </c>
      <c r="L13" s="4" t="s">
        <v>81</v>
      </c>
      <c r="M13" s="4" t="s">
        <v>21</v>
      </c>
      <c r="N13" s="4"/>
      <c r="O13" s="4"/>
    </row>
    <row r="14" spans="2:15">
      <c r="B14" s="15"/>
      <c r="C14" s="25"/>
      <c r="D14" s="24" t="s">
        <v>82</v>
      </c>
      <c r="E14" s="11">
        <v>0.23</v>
      </c>
      <c r="F14" s="12"/>
      <c r="G14" s="12"/>
      <c r="H14" s="12"/>
      <c r="I14" s="13"/>
      <c r="J14" s="17">
        <v>2010</v>
      </c>
      <c r="K14" s="20" t="s">
        <v>79</v>
      </c>
      <c r="L14" s="4" t="s">
        <v>81</v>
      </c>
      <c r="M14" s="4" t="s">
        <v>21</v>
      </c>
      <c r="N14" s="4"/>
      <c r="O14" s="4"/>
    </row>
    <row r="15" spans="2:15">
      <c r="B15" s="15"/>
      <c r="C15" s="25"/>
      <c r="D15" s="24" t="s">
        <v>82</v>
      </c>
      <c r="E15" s="11">
        <v>0.05</v>
      </c>
      <c r="F15" s="12">
        <v>0.02</v>
      </c>
      <c r="G15" s="12">
        <v>0.52</v>
      </c>
      <c r="H15" s="12"/>
      <c r="I15" s="13"/>
      <c r="J15" s="17">
        <v>2008</v>
      </c>
      <c r="K15" s="20" t="s">
        <v>27</v>
      </c>
      <c r="L15" s="4" t="s">
        <v>36</v>
      </c>
      <c r="M15" s="4" t="s">
        <v>44</v>
      </c>
      <c r="N15" s="4" t="s">
        <v>33</v>
      </c>
      <c r="O15" s="4"/>
    </row>
    <row r="16" spans="2:15">
      <c r="B16" s="15"/>
      <c r="C16" s="25"/>
      <c r="D16" s="24" t="s">
        <v>82</v>
      </c>
      <c r="E16" s="11">
        <v>0.16</v>
      </c>
      <c r="F16" s="12"/>
      <c r="G16" s="12"/>
      <c r="H16" s="12"/>
      <c r="I16" s="13"/>
      <c r="J16" s="17">
        <v>2000</v>
      </c>
      <c r="K16" s="20" t="s">
        <v>27</v>
      </c>
      <c r="L16" s="4" t="s">
        <v>58</v>
      </c>
      <c r="M16" s="4"/>
      <c r="N16" s="4" t="s">
        <v>75</v>
      </c>
      <c r="O16" s="4"/>
    </row>
    <row r="17" spans="2:15">
      <c r="B17" s="15"/>
      <c r="C17" s="25"/>
      <c r="D17" s="24" t="s">
        <v>83</v>
      </c>
      <c r="E17" s="11">
        <v>0.24</v>
      </c>
      <c r="F17" s="12">
        <v>0.06</v>
      </c>
      <c r="G17" s="12">
        <v>0.41</v>
      </c>
      <c r="H17" s="12"/>
      <c r="I17" s="13"/>
      <c r="J17" s="17">
        <v>2010</v>
      </c>
      <c r="K17" s="20" t="s">
        <v>27</v>
      </c>
      <c r="L17" s="4" t="s">
        <v>61</v>
      </c>
      <c r="M17" s="4" t="s">
        <v>44</v>
      </c>
      <c r="N17" s="4" t="s">
        <v>33</v>
      </c>
      <c r="O17" s="4"/>
    </row>
    <row r="18" spans="2:15">
      <c r="B18" s="15"/>
      <c r="C18" s="25"/>
      <c r="D18" s="24" t="s">
        <v>83</v>
      </c>
      <c r="E18" s="11">
        <v>0.56000000000000005</v>
      </c>
      <c r="F18" s="12">
        <v>0.11</v>
      </c>
      <c r="G18" s="12">
        <v>1.17</v>
      </c>
      <c r="H18" s="12"/>
      <c r="I18" s="13"/>
      <c r="J18" s="17">
        <v>2005</v>
      </c>
      <c r="K18" s="20" t="s">
        <v>27</v>
      </c>
      <c r="L18" s="4" t="s">
        <v>61</v>
      </c>
      <c r="M18" s="4" t="s">
        <v>44</v>
      </c>
      <c r="N18" s="4" t="s">
        <v>33</v>
      </c>
      <c r="O18" s="4"/>
    </row>
    <row r="19" spans="2:15">
      <c r="B19" s="15"/>
      <c r="C19" s="25"/>
      <c r="D19" s="24" t="s">
        <v>84</v>
      </c>
      <c r="E19" s="11">
        <v>0.23</v>
      </c>
      <c r="F19" s="12">
        <v>0.06</v>
      </c>
      <c r="G19" s="12">
        <v>0.4</v>
      </c>
      <c r="H19" s="12"/>
      <c r="I19" s="13"/>
      <c r="J19" s="17">
        <v>2010</v>
      </c>
      <c r="K19" s="20" t="s">
        <v>27</v>
      </c>
      <c r="L19" s="4" t="s">
        <v>61</v>
      </c>
      <c r="M19" s="4" t="s">
        <v>44</v>
      </c>
      <c r="N19" s="4" t="s">
        <v>33</v>
      </c>
      <c r="O19" s="4"/>
    </row>
    <row r="20" spans="2:15">
      <c r="B20" s="15"/>
      <c r="C20" s="25"/>
      <c r="D20" s="24" t="s">
        <v>88</v>
      </c>
      <c r="E20" s="11">
        <v>0.42</v>
      </c>
      <c r="F20" s="12">
        <v>0.09</v>
      </c>
      <c r="G20" s="12">
        <v>0.99</v>
      </c>
      <c r="H20" s="12"/>
      <c r="I20" s="13"/>
      <c r="J20" s="17">
        <v>2005</v>
      </c>
      <c r="K20" s="20" t="s">
        <v>27</v>
      </c>
      <c r="L20" s="4" t="s">
        <v>36</v>
      </c>
      <c r="M20" s="4" t="s">
        <v>44</v>
      </c>
      <c r="N20" s="4"/>
      <c r="O20" s="4"/>
    </row>
    <row r="21" spans="2:15">
      <c r="B21" s="15"/>
      <c r="C21" s="25"/>
      <c r="D21" s="24" t="s">
        <v>89</v>
      </c>
      <c r="E21" s="11">
        <v>0.17</v>
      </c>
      <c r="F21" s="12">
        <v>0.03</v>
      </c>
      <c r="G21" s="12">
        <v>0.3</v>
      </c>
      <c r="H21" s="12"/>
      <c r="I21" s="13"/>
      <c r="J21" s="17">
        <v>2010</v>
      </c>
      <c r="K21" s="20" t="s">
        <v>27</v>
      </c>
      <c r="L21" s="4" t="s">
        <v>61</v>
      </c>
      <c r="M21" s="4" t="s">
        <v>44</v>
      </c>
      <c r="N21" s="4" t="s">
        <v>33</v>
      </c>
      <c r="O21" s="4"/>
    </row>
    <row r="22" spans="2:15">
      <c r="B22" s="15"/>
      <c r="C22" s="25"/>
      <c r="D22" s="24" t="s">
        <v>90</v>
      </c>
      <c r="E22" s="11">
        <v>0.14000000000000001</v>
      </c>
      <c r="F22" s="12">
        <v>0.02</v>
      </c>
      <c r="G22" s="12">
        <v>0.26</v>
      </c>
      <c r="H22" s="12"/>
      <c r="I22" s="13"/>
      <c r="J22" s="17">
        <v>2010</v>
      </c>
      <c r="K22" s="20" t="s">
        <v>27</v>
      </c>
      <c r="L22" s="4" t="s">
        <v>61</v>
      </c>
      <c r="M22" s="4" t="s">
        <v>44</v>
      </c>
      <c r="N22" s="4" t="s">
        <v>33</v>
      </c>
      <c r="O22" s="4"/>
    </row>
    <row r="23" spans="2:15">
      <c r="B23" s="15"/>
      <c r="C23" s="25"/>
      <c r="D23" s="24" t="s">
        <v>90</v>
      </c>
      <c r="E23" s="11">
        <v>0.13</v>
      </c>
      <c r="F23" s="12">
        <v>0.04</v>
      </c>
      <c r="G23" s="12">
        <v>0.62</v>
      </c>
      <c r="H23" s="12"/>
      <c r="I23" s="13"/>
      <c r="J23" s="17">
        <v>2006</v>
      </c>
      <c r="K23" s="20" t="s">
        <v>27</v>
      </c>
      <c r="L23" s="4" t="s">
        <v>61</v>
      </c>
      <c r="M23" s="4" t="s">
        <v>44</v>
      </c>
      <c r="N23" s="4" t="s">
        <v>33</v>
      </c>
      <c r="O23" s="4"/>
    </row>
    <row r="24" spans="2:15">
      <c r="B24" s="15"/>
      <c r="C24" s="25"/>
      <c r="D24" s="24" t="s">
        <v>90</v>
      </c>
      <c r="E24" s="11">
        <v>0.11</v>
      </c>
      <c r="F24" s="12"/>
      <c r="G24" s="12"/>
      <c r="H24" s="12"/>
      <c r="I24" s="13"/>
      <c r="J24" s="17">
        <v>2005</v>
      </c>
      <c r="K24" s="20" t="s">
        <v>27</v>
      </c>
      <c r="L24" s="4" t="s">
        <v>58</v>
      </c>
      <c r="M24" s="4"/>
      <c r="N24" s="4"/>
      <c r="O24" s="4"/>
    </row>
    <row r="25" spans="2:15">
      <c r="B25" s="15"/>
      <c r="C25" s="25" t="s">
        <v>91</v>
      </c>
      <c r="D25" s="24" t="s">
        <v>92</v>
      </c>
      <c r="E25" s="11">
        <v>0.5</v>
      </c>
      <c r="F25" s="12"/>
      <c r="G25" s="12"/>
      <c r="H25" s="12"/>
      <c r="I25" s="13"/>
      <c r="J25" s="17">
        <v>2005</v>
      </c>
      <c r="K25" s="20" t="s">
        <v>79</v>
      </c>
      <c r="L25" s="4" t="s">
        <v>36</v>
      </c>
      <c r="M25" s="4" t="s">
        <v>21</v>
      </c>
      <c r="N25" s="4"/>
      <c r="O25" s="4"/>
    </row>
    <row r="26" spans="2:15">
      <c r="B26" s="15"/>
      <c r="C26" s="25"/>
      <c r="D26" s="24" t="s">
        <v>93</v>
      </c>
      <c r="E26" s="11">
        <v>0.42</v>
      </c>
      <c r="F26" s="12"/>
      <c r="G26" s="12"/>
      <c r="H26" s="12">
        <v>0.56999999999999995</v>
      </c>
      <c r="I26" s="13">
        <v>0.27</v>
      </c>
      <c r="J26" s="17">
        <v>2015</v>
      </c>
      <c r="K26" s="20" t="s">
        <v>94</v>
      </c>
      <c r="L26" s="4" t="s">
        <v>24</v>
      </c>
      <c r="M26" s="4" t="s">
        <v>21</v>
      </c>
      <c r="N26" s="4"/>
      <c r="O26" s="4"/>
    </row>
    <row r="27" spans="2:15">
      <c r="B27" s="15"/>
      <c r="C27" s="25"/>
      <c r="D27" s="24" t="s">
        <v>93</v>
      </c>
      <c r="E27" s="11">
        <v>0.46</v>
      </c>
      <c r="F27" s="12"/>
      <c r="G27" s="12"/>
      <c r="H27" s="12">
        <v>0.63</v>
      </c>
      <c r="I27" s="13">
        <v>0.28999999999999998</v>
      </c>
      <c r="J27" s="17">
        <v>2015</v>
      </c>
      <c r="K27" s="20" t="s">
        <v>27</v>
      </c>
      <c r="L27" s="4" t="s">
        <v>24</v>
      </c>
      <c r="M27" s="4" t="s">
        <v>21</v>
      </c>
      <c r="N27" s="4"/>
      <c r="O27" s="4"/>
    </row>
    <row r="28" spans="2:15">
      <c r="B28" s="15"/>
      <c r="C28" s="25"/>
      <c r="D28" s="24" t="s">
        <v>93</v>
      </c>
      <c r="E28" s="11">
        <v>0.2</v>
      </c>
      <c r="F28" s="12"/>
      <c r="G28" s="12"/>
      <c r="H28" s="12">
        <v>0.32</v>
      </c>
      <c r="I28" s="13">
        <v>7.0000000000000007E-2</v>
      </c>
      <c r="J28" s="17">
        <v>2010</v>
      </c>
      <c r="K28" s="20" t="s">
        <v>27</v>
      </c>
      <c r="L28" s="4" t="s">
        <v>24</v>
      </c>
      <c r="M28" s="4" t="s">
        <v>21</v>
      </c>
      <c r="N28" s="4"/>
      <c r="O28" s="4"/>
    </row>
    <row r="29" spans="2:15">
      <c r="B29" s="15"/>
      <c r="C29" s="25"/>
      <c r="D29" s="24" t="s">
        <v>93</v>
      </c>
      <c r="E29" s="11">
        <v>0.03</v>
      </c>
      <c r="F29" s="12">
        <v>0.11</v>
      </c>
      <c r="G29" s="12">
        <v>0.38</v>
      </c>
      <c r="H29" s="12">
        <v>7.0000000000000007E-2</v>
      </c>
      <c r="I29" s="13">
        <v>0</v>
      </c>
      <c r="J29" s="17">
        <v>2006</v>
      </c>
      <c r="K29" s="20" t="s">
        <v>94</v>
      </c>
      <c r="L29" s="4" t="s">
        <v>24</v>
      </c>
      <c r="M29" s="4" t="s">
        <v>21</v>
      </c>
      <c r="N29" s="4"/>
      <c r="O29" s="4"/>
    </row>
    <row r="30" spans="2:15">
      <c r="B30" s="15"/>
      <c r="C30" s="25"/>
      <c r="D30" s="24" t="s">
        <v>95</v>
      </c>
      <c r="E30" s="11">
        <v>0.02</v>
      </c>
      <c r="F30" s="12"/>
      <c r="G30" s="12"/>
      <c r="H30" s="12">
        <v>0.04</v>
      </c>
      <c r="I30" s="13">
        <v>0</v>
      </c>
      <c r="J30" s="17">
        <v>2014</v>
      </c>
      <c r="K30" s="20" t="s">
        <v>79</v>
      </c>
      <c r="L30" s="4" t="s">
        <v>36</v>
      </c>
      <c r="M30" s="4" t="s">
        <v>21</v>
      </c>
      <c r="N30" s="4"/>
      <c r="O30" s="4"/>
    </row>
    <row r="31" spans="2:15">
      <c r="B31" s="15"/>
      <c r="C31" s="25"/>
      <c r="D31" s="24" t="s">
        <v>95</v>
      </c>
      <c r="E31" s="11">
        <v>0.02</v>
      </c>
      <c r="F31" s="12">
        <v>0</v>
      </c>
      <c r="G31" s="12">
        <v>0.03</v>
      </c>
      <c r="H31" s="12"/>
      <c r="I31" s="13"/>
      <c r="J31" s="17">
        <v>2005</v>
      </c>
      <c r="K31" s="20" t="s">
        <v>27</v>
      </c>
      <c r="L31" s="4" t="s">
        <v>61</v>
      </c>
      <c r="M31" s="4" t="s">
        <v>21</v>
      </c>
      <c r="N31" s="4" t="s">
        <v>177</v>
      </c>
      <c r="O31" s="4"/>
    </row>
    <row r="32" spans="2:15">
      <c r="B32" s="15"/>
      <c r="C32" s="25"/>
      <c r="D32" s="24" t="s">
        <v>96</v>
      </c>
      <c r="E32" s="11">
        <v>0.08</v>
      </c>
      <c r="F32" s="12"/>
      <c r="G32" s="12"/>
      <c r="H32" s="12"/>
      <c r="I32" s="13"/>
      <c r="J32" s="17">
        <v>2005</v>
      </c>
      <c r="K32" s="20" t="s">
        <v>27</v>
      </c>
      <c r="L32" s="4" t="s">
        <v>61</v>
      </c>
      <c r="M32" s="4"/>
      <c r="N32" s="4"/>
      <c r="O32" s="4"/>
    </row>
    <row r="33" spans="2:15">
      <c r="B33" s="15"/>
      <c r="C33" s="25"/>
      <c r="D33" s="24" t="s">
        <v>99</v>
      </c>
      <c r="E33" s="11">
        <v>0.08</v>
      </c>
      <c r="F33" s="12"/>
      <c r="G33" s="12"/>
      <c r="H33" s="12"/>
      <c r="I33" s="13"/>
      <c r="J33" s="17">
        <v>2005</v>
      </c>
      <c r="K33" s="20" t="s">
        <v>27</v>
      </c>
      <c r="L33" s="4" t="s">
        <v>61</v>
      </c>
      <c r="M33" s="4"/>
      <c r="N33" s="4" t="s">
        <v>45</v>
      </c>
      <c r="O33" s="4"/>
    </row>
    <row r="34" spans="2:15">
      <c r="B34" s="15"/>
      <c r="C34" s="25"/>
      <c r="D34" s="24" t="s">
        <v>100</v>
      </c>
      <c r="E34" s="11">
        <v>0.01</v>
      </c>
      <c r="F34" s="12">
        <v>0</v>
      </c>
      <c r="G34" s="12">
        <v>0.02</v>
      </c>
      <c r="H34" s="12"/>
      <c r="I34" s="13"/>
      <c r="J34" s="17">
        <v>2006</v>
      </c>
      <c r="K34" s="20" t="s">
        <v>79</v>
      </c>
      <c r="L34" s="4" t="s">
        <v>61</v>
      </c>
      <c r="M34" s="4" t="s">
        <v>482</v>
      </c>
      <c r="N34" s="4" t="s">
        <v>22</v>
      </c>
      <c r="O34" s="4"/>
    </row>
    <row r="35" spans="2:15">
      <c r="B35" s="15"/>
      <c r="C35" s="25"/>
      <c r="D35" s="24" t="s">
        <v>102</v>
      </c>
      <c r="E35" s="11">
        <v>0.04</v>
      </c>
      <c r="F35" s="12"/>
      <c r="G35" s="12"/>
      <c r="H35" s="12"/>
      <c r="I35" s="13"/>
      <c r="J35" s="17">
        <v>2015</v>
      </c>
      <c r="K35" s="20" t="s">
        <v>79</v>
      </c>
      <c r="L35" s="4" t="s">
        <v>24</v>
      </c>
      <c r="M35" s="4" t="s">
        <v>21</v>
      </c>
      <c r="N35" s="4"/>
      <c r="O35" s="4" t="s">
        <v>358</v>
      </c>
    </row>
    <row r="36" spans="2:15">
      <c r="B36" s="15"/>
      <c r="C36" s="25"/>
      <c r="D36" s="24" t="s">
        <v>102</v>
      </c>
      <c r="E36" s="11">
        <v>0.4</v>
      </c>
      <c r="F36" s="12"/>
      <c r="G36" s="12"/>
      <c r="H36" s="12"/>
      <c r="I36" s="13"/>
      <c r="J36" s="17">
        <v>2003</v>
      </c>
      <c r="K36" s="20" t="s">
        <v>27</v>
      </c>
      <c r="L36" s="4" t="s">
        <v>61</v>
      </c>
      <c r="M36" s="4"/>
      <c r="N36" s="4" t="s">
        <v>45</v>
      </c>
      <c r="O36" s="4"/>
    </row>
    <row r="37" spans="2:15">
      <c r="B37" s="15"/>
      <c r="C37" s="25" t="s">
        <v>104</v>
      </c>
      <c r="D37" s="24" t="s">
        <v>107</v>
      </c>
      <c r="E37" s="11">
        <v>1.790694362</v>
      </c>
      <c r="F37" s="12">
        <v>1.611185305</v>
      </c>
      <c r="G37" s="12">
        <v>1.9897988179999999</v>
      </c>
      <c r="H37" s="12">
        <v>1.9756298000000001</v>
      </c>
      <c r="I37" s="13">
        <v>1.610385894</v>
      </c>
      <c r="J37" s="17">
        <v>2023</v>
      </c>
      <c r="K37" s="20" t="s">
        <v>50</v>
      </c>
      <c r="L37" s="4" t="s">
        <v>36</v>
      </c>
      <c r="M37" s="4" t="s">
        <v>21</v>
      </c>
      <c r="N37" s="4"/>
      <c r="O37" s="4"/>
    </row>
    <row r="38" spans="2:15">
      <c r="B38" s="15"/>
      <c r="C38" s="25"/>
      <c r="D38" s="24" t="s">
        <v>107</v>
      </c>
      <c r="E38" s="11">
        <v>1.1000000000000001</v>
      </c>
      <c r="F38" s="12">
        <v>0.7</v>
      </c>
      <c r="G38" s="12">
        <v>1.6</v>
      </c>
      <c r="H38" s="12">
        <v>1.3</v>
      </c>
      <c r="I38" s="13">
        <v>1</v>
      </c>
      <c r="J38" s="17">
        <v>2019</v>
      </c>
      <c r="K38" s="20" t="s">
        <v>50</v>
      </c>
      <c r="L38" s="4" t="s">
        <v>109</v>
      </c>
      <c r="M38" s="4" t="s">
        <v>21</v>
      </c>
      <c r="N38" s="4"/>
      <c r="O38" s="4"/>
    </row>
    <row r="39" spans="2:15">
      <c r="B39" s="15"/>
      <c r="C39" s="25"/>
      <c r="D39" s="24" t="s">
        <v>107</v>
      </c>
      <c r="E39" s="11">
        <v>0.9</v>
      </c>
      <c r="F39" s="12"/>
      <c r="G39" s="12"/>
      <c r="H39" s="12">
        <v>1.2</v>
      </c>
      <c r="I39" s="13">
        <v>0.6</v>
      </c>
      <c r="J39" s="17">
        <v>2017</v>
      </c>
      <c r="K39" s="20" t="s">
        <v>50</v>
      </c>
      <c r="L39" s="4" t="s">
        <v>24</v>
      </c>
      <c r="M39" s="4" t="s">
        <v>21</v>
      </c>
      <c r="N39" s="4"/>
      <c r="O39" s="4"/>
    </row>
    <row r="40" spans="2:15">
      <c r="B40" s="15"/>
      <c r="C40" s="25"/>
      <c r="D40" s="24" t="s">
        <v>107</v>
      </c>
      <c r="E40" s="11">
        <v>0.91</v>
      </c>
      <c r="F40" s="12"/>
      <c r="G40" s="12"/>
      <c r="H40" s="12">
        <v>1.17</v>
      </c>
      <c r="I40" s="13">
        <v>0.64</v>
      </c>
      <c r="J40" s="17">
        <v>2015</v>
      </c>
      <c r="K40" s="20" t="s">
        <v>27</v>
      </c>
      <c r="L40" s="4" t="s">
        <v>24</v>
      </c>
      <c r="M40" s="4" t="s">
        <v>21</v>
      </c>
      <c r="N40" s="4"/>
      <c r="O40" s="4"/>
    </row>
    <row r="41" spans="2:15">
      <c r="B41" s="15"/>
      <c r="C41" s="25"/>
      <c r="D41" s="24" t="s">
        <v>107</v>
      </c>
      <c r="E41" s="11">
        <v>0.5</v>
      </c>
      <c r="F41" s="12"/>
      <c r="G41" s="12"/>
      <c r="H41" s="12">
        <v>0.8</v>
      </c>
      <c r="I41" s="13">
        <v>0.2</v>
      </c>
      <c r="J41" s="17">
        <v>2013</v>
      </c>
      <c r="K41" s="20" t="s">
        <v>27</v>
      </c>
      <c r="L41" s="4" t="s">
        <v>24</v>
      </c>
      <c r="M41" s="4" t="s">
        <v>21</v>
      </c>
      <c r="N41" s="4"/>
      <c r="O41" s="4"/>
    </row>
    <row r="42" spans="2:15">
      <c r="B42" s="15"/>
      <c r="C42" s="25"/>
      <c r="D42" s="24" t="s">
        <v>107</v>
      </c>
      <c r="E42" s="11">
        <v>0.8</v>
      </c>
      <c r="F42" s="12"/>
      <c r="G42" s="12"/>
      <c r="H42" s="12"/>
      <c r="I42" s="13"/>
      <c r="J42" s="17">
        <v>2012</v>
      </c>
      <c r="K42" s="20" t="s">
        <v>27</v>
      </c>
      <c r="L42" s="4" t="s">
        <v>24</v>
      </c>
      <c r="M42" s="4" t="s">
        <v>21</v>
      </c>
      <c r="N42" s="4"/>
      <c r="O42" s="4"/>
    </row>
    <row r="43" spans="2:15">
      <c r="B43" s="15"/>
      <c r="C43" s="25"/>
      <c r="D43" s="24" t="s">
        <v>107</v>
      </c>
      <c r="E43" s="11">
        <v>0.8</v>
      </c>
      <c r="F43" s="12"/>
      <c r="G43" s="12"/>
      <c r="H43" s="12"/>
      <c r="I43" s="13"/>
      <c r="J43" s="17">
        <v>2011</v>
      </c>
      <c r="K43" s="20" t="s">
        <v>27</v>
      </c>
      <c r="L43" s="4" t="s">
        <v>24</v>
      </c>
      <c r="M43" s="4" t="s">
        <v>21</v>
      </c>
      <c r="N43" s="4"/>
      <c r="O43" s="4"/>
    </row>
    <row r="44" spans="2:15">
      <c r="B44" s="15"/>
      <c r="C44" s="25"/>
      <c r="D44" s="24" t="s">
        <v>107</v>
      </c>
      <c r="E44" s="11">
        <v>0.88</v>
      </c>
      <c r="F44" s="12"/>
      <c r="G44" s="12"/>
      <c r="H44" s="12"/>
      <c r="I44" s="13"/>
      <c r="J44" s="17">
        <v>2010</v>
      </c>
      <c r="K44" s="20" t="s">
        <v>27</v>
      </c>
      <c r="L44" s="4" t="s">
        <v>38</v>
      </c>
      <c r="M44" s="4" t="s">
        <v>51</v>
      </c>
      <c r="N44" s="4"/>
      <c r="O44" s="4"/>
    </row>
    <row r="45" spans="2:15">
      <c r="B45" s="15"/>
      <c r="C45" s="25"/>
      <c r="D45" s="24" t="s">
        <v>110</v>
      </c>
      <c r="E45" s="11">
        <v>0.1</v>
      </c>
      <c r="F45" s="12"/>
      <c r="G45" s="12"/>
      <c r="H45" s="12"/>
      <c r="I45" s="13"/>
      <c r="J45" s="17">
        <v>2011</v>
      </c>
      <c r="K45" s="20" t="s">
        <v>79</v>
      </c>
      <c r="L45" s="4" t="s">
        <v>36</v>
      </c>
      <c r="M45" s="4" t="s">
        <v>21</v>
      </c>
      <c r="N45" s="4"/>
      <c r="O45" s="4"/>
    </row>
    <row r="46" spans="2:15">
      <c r="B46" s="15"/>
      <c r="C46" s="25"/>
      <c r="D46" s="24" t="s">
        <v>113</v>
      </c>
      <c r="E46" s="11">
        <v>1.054551051</v>
      </c>
      <c r="F46" s="12"/>
      <c r="G46" s="12"/>
      <c r="H46" s="12"/>
      <c r="I46" s="13"/>
      <c r="J46" s="17">
        <v>2023</v>
      </c>
      <c r="K46" s="20" t="s">
        <v>27</v>
      </c>
      <c r="L46" s="4" t="s">
        <v>97</v>
      </c>
      <c r="M46" s="4" t="s">
        <v>21</v>
      </c>
      <c r="N46" s="4" t="s">
        <v>37</v>
      </c>
      <c r="O46" s="4" t="s">
        <v>114</v>
      </c>
    </row>
    <row r="47" spans="2:15">
      <c r="B47" s="15"/>
      <c r="C47" s="25"/>
      <c r="D47" s="24" t="s">
        <v>113</v>
      </c>
      <c r="E47" s="11">
        <v>0.92273216999999996</v>
      </c>
      <c r="F47" s="12" t="s">
        <v>360</v>
      </c>
      <c r="G47" s="12" t="s">
        <v>360</v>
      </c>
      <c r="H47" s="12" t="s">
        <v>360</v>
      </c>
      <c r="I47" s="13" t="s">
        <v>360</v>
      </c>
      <c r="J47" s="17">
        <v>2022</v>
      </c>
      <c r="K47" s="20" t="s">
        <v>27</v>
      </c>
      <c r="L47" s="4" t="s">
        <v>97</v>
      </c>
      <c r="M47" s="4" t="s">
        <v>21</v>
      </c>
      <c r="N47" s="4" t="s">
        <v>37</v>
      </c>
      <c r="O47" s="4" t="s">
        <v>115</v>
      </c>
    </row>
    <row r="48" spans="2:15">
      <c r="B48" s="15"/>
      <c r="C48" s="25"/>
      <c r="D48" s="24" t="s">
        <v>113</v>
      </c>
      <c r="E48" s="11">
        <v>1.07</v>
      </c>
      <c r="F48" s="12"/>
      <c r="G48" s="12"/>
      <c r="H48" s="12">
        <v>1.2562637569999999</v>
      </c>
      <c r="I48" s="13">
        <v>0.90339283299999995</v>
      </c>
      <c r="J48" s="17">
        <v>2021</v>
      </c>
      <c r="K48" s="20" t="s">
        <v>27</v>
      </c>
      <c r="L48" s="4" t="s">
        <v>97</v>
      </c>
      <c r="M48" s="4" t="s">
        <v>21</v>
      </c>
      <c r="N48" s="4" t="s">
        <v>37</v>
      </c>
      <c r="O48" s="4" t="s">
        <v>116</v>
      </c>
    </row>
    <row r="49" spans="2:15">
      <c r="B49" s="15"/>
      <c r="C49" s="25"/>
      <c r="D49" s="24" t="s">
        <v>113</v>
      </c>
      <c r="E49" s="11">
        <v>1.2</v>
      </c>
      <c r="F49" s="12"/>
      <c r="G49" s="12"/>
      <c r="H49" s="12">
        <v>1.3</v>
      </c>
      <c r="I49" s="13">
        <v>1.1000000000000001</v>
      </c>
      <c r="J49" s="17">
        <v>2020</v>
      </c>
      <c r="K49" s="20" t="s">
        <v>27</v>
      </c>
      <c r="L49" s="4" t="s">
        <v>24</v>
      </c>
      <c r="M49" s="4" t="s">
        <v>21</v>
      </c>
      <c r="N49" s="4"/>
      <c r="O49" s="4"/>
    </row>
    <row r="50" spans="2:15">
      <c r="B50" s="15"/>
      <c r="C50" s="25"/>
      <c r="D50" s="24" t="s">
        <v>113</v>
      </c>
      <c r="E50" s="11">
        <v>1.2</v>
      </c>
      <c r="F50" s="12"/>
      <c r="G50" s="12"/>
      <c r="H50" s="12">
        <v>1.4</v>
      </c>
      <c r="I50" s="13">
        <v>1</v>
      </c>
      <c r="J50" s="17">
        <v>2018</v>
      </c>
      <c r="K50" s="20" t="s">
        <v>27</v>
      </c>
      <c r="L50" s="4" t="s">
        <v>24</v>
      </c>
      <c r="M50" s="4" t="s">
        <v>21</v>
      </c>
      <c r="N50" s="4"/>
      <c r="O50" s="4"/>
    </row>
    <row r="51" spans="2:15">
      <c r="B51" s="15"/>
      <c r="C51" s="25"/>
      <c r="D51" s="24" t="s">
        <v>113</v>
      </c>
      <c r="E51" s="11">
        <v>1.2</v>
      </c>
      <c r="F51" s="12"/>
      <c r="G51" s="12"/>
      <c r="H51" s="12">
        <v>1.4</v>
      </c>
      <c r="I51" s="13">
        <v>0.9</v>
      </c>
      <c r="J51" s="17">
        <v>2017</v>
      </c>
      <c r="K51" s="20" t="s">
        <v>27</v>
      </c>
      <c r="L51" s="4" t="s">
        <v>24</v>
      </c>
      <c r="M51" s="4" t="s">
        <v>21</v>
      </c>
      <c r="N51" s="4"/>
      <c r="O51" s="4"/>
    </row>
    <row r="52" spans="2:15">
      <c r="B52" s="15"/>
      <c r="C52" s="25"/>
      <c r="D52" s="24" t="s">
        <v>113</v>
      </c>
      <c r="E52" s="11">
        <v>1.2</v>
      </c>
      <c r="F52" s="12"/>
      <c r="G52" s="12"/>
      <c r="H52" s="12">
        <v>1.4</v>
      </c>
      <c r="I52" s="13">
        <v>0.9</v>
      </c>
      <c r="J52" s="17">
        <v>2016</v>
      </c>
      <c r="K52" s="20" t="s">
        <v>27</v>
      </c>
      <c r="L52" s="4" t="s">
        <v>24</v>
      </c>
      <c r="M52" s="4" t="s">
        <v>21</v>
      </c>
      <c r="N52" s="4"/>
      <c r="O52" s="4"/>
    </row>
    <row r="53" spans="2:15">
      <c r="B53" s="15"/>
      <c r="C53" s="25"/>
      <c r="D53" s="24" t="s">
        <v>113</v>
      </c>
      <c r="E53" s="11">
        <v>1.2</v>
      </c>
      <c r="F53" s="12"/>
      <c r="G53" s="12"/>
      <c r="H53" s="12">
        <v>1.6</v>
      </c>
      <c r="I53" s="13">
        <v>0.9</v>
      </c>
      <c r="J53" s="17">
        <v>2015</v>
      </c>
      <c r="K53" s="20" t="s">
        <v>27</v>
      </c>
      <c r="L53" s="4" t="s">
        <v>24</v>
      </c>
      <c r="M53" s="4" t="s">
        <v>21</v>
      </c>
      <c r="N53" s="4"/>
      <c r="O53" s="4" t="s">
        <v>483</v>
      </c>
    </row>
    <row r="54" spans="2:15">
      <c r="B54" s="15"/>
      <c r="C54" s="25"/>
      <c r="D54" s="24" t="s">
        <v>113</v>
      </c>
      <c r="E54" s="11">
        <v>1.1000000000000001</v>
      </c>
      <c r="F54" s="12"/>
      <c r="G54" s="12"/>
      <c r="H54" s="12">
        <v>1.4</v>
      </c>
      <c r="I54" s="13">
        <v>0.9</v>
      </c>
      <c r="J54" s="17">
        <v>2014</v>
      </c>
      <c r="K54" s="20" t="s">
        <v>27</v>
      </c>
      <c r="L54" s="4" t="s">
        <v>24</v>
      </c>
      <c r="M54" s="4" t="s">
        <v>21</v>
      </c>
      <c r="N54" s="4"/>
      <c r="O54" s="4"/>
    </row>
    <row r="55" spans="2:15">
      <c r="B55" s="15"/>
      <c r="C55" s="25"/>
      <c r="D55" s="24" t="s">
        <v>113</v>
      </c>
      <c r="E55" s="11">
        <v>1.2</v>
      </c>
      <c r="F55" s="12"/>
      <c r="G55" s="12"/>
      <c r="H55" s="12">
        <v>1.5</v>
      </c>
      <c r="I55" s="13">
        <v>1</v>
      </c>
      <c r="J55" s="17">
        <v>2013</v>
      </c>
      <c r="K55" s="20" t="s">
        <v>27</v>
      </c>
      <c r="L55" s="4" t="s">
        <v>24</v>
      </c>
      <c r="M55" s="4" t="s">
        <v>21</v>
      </c>
      <c r="N55" s="4"/>
      <c r="O55" s="4"/>
    </row>
    <row r="56" spans="2:15">
      <c r="B56" s="15"/>
      <c r="C56" s="25"/>
      <c r="D56" s="24" t="s">
        <v>113</v>
      </c>
      <c r="E56" s="11">
        <v>1.2</v>
      </c>
      <c r="F56" s="12"/>
      <c r="G56" s="12"/>
      <c r="H56" s="12"/>
      <c r="I56" s="13"/>
      <c r="J56" s="17">
        <v>2012</v>
      </c>
      <c r="K56" s="20" t="s">
        <v>27</v>
      </c>
      <c r="L56" s="4" t="s">
        <v>24</v>
      </c>
      <c r="M56" s="4" t="s">
        <v>21</v>
      </c>
      <c r="N56" s="4"/>
      <c r="O56" s="4"/>
    </row>
    <row r="57" spans="2:15">
      <c r="B57" s="15"/>
      <c r="C57" s="25"/>
      <c r="D57" s="24" t="s">
        <v>113</v>
      </c>
      <c r="E57" s="11">
        <v>1.2</v>
      </c>
      <c r="F57" s="12"/>
      <c r="G57" s="12"/>
      <c r="H57" s="12"/>
      <c r="I57" s="13"/>
      <c r="J57" s="17">
        <v>2011</v>
      </c>
      <c r="K57" s="20" t="s">
        <v>27</v>
      </c>
      <c r="L57" s="4" t="s">
        <v>24</v>
      </c>
      <c r="M57" s="4" t="s">
        <v>21</v>
      </c>
      <c r="N57" s="4"/>
      <c r="O57" s="4"/>
    </row>
    <row r="58" spans="2:15">
      <c r="B58" s="15"/>
      <c r="C58" s="25"/>
      <c r="D58" s="24" t="s">
        <v>113</v>
      </c>
      <c r="E58" s="11">
        <v>1.3</v>
      </c>
      <c r="F58" s="12"/>
      <c r="G58" s="12"/>
      <c r="H58" s="12"/>
      <c r="I58" s="13"/>
      <c r="J58" s="17">
        <v>2010</v>
      </c>
      <c r="K58" s="20" t="s">
        <v>27</v>
      </c>
      <c r="L58" s="4" t="s">
        <v>24</v>
      </c>
      <c r="M58" s="4" t="s">
        <v>21</v>
      </c>
      <c r="N58" s="4"/>
      <c r="O58" s="4"/>
    </row>
    <row r="59" spans="2:15">
      <c r="B59" s="15"/>
      <c r="C59" s="25" t="s">
        <v>117</v>
      </c>
      <c r="D59" s="24" t="s">
        <v>118</v>
      </c>
      <c r="E59" s="11">
        <v>0.5</v>
      </c>
      <c r="F59" s="12"/>
      <c r="G59" s="12"/>
      <c r="H59" s="12"/>
      <c r="I59" s="13"/>
      <c r="J59" s="17">
        <v>2022</v>
      </c>
      <c r="K59" s="20" t="s">
        <v>119</v>
      </c>
      <c r="L59" s="4" t="s">
        <v>24</v>
      </c>
      <c r="M59" s="4" t="s">
        <v>21</v>
      </c>
      <c r="N59" s="4"/>
      <c r="O59" s="4"/>
    </row>
    <row r="60" spans="2:15">
      <c r="B60" s="15"/>
      <c r="C60" s="25"/>
      <c r="D60" s="24" t="s">
        <v>118</v>
      </c>
      <c r="E60" s="11">
        <v>0.33</v>
      </c>
      <c r="F60" s="12"/>
      <c r="G60" s="12"/>
      <c r="H60" s="12">
        <v>0.46</v>
      </c>
      <c r="I60" s="13">
        <v>0.22</v>
      </c>
      <c r="J60" s="17">
        <v>2017</v>
      </c>
      <c r="K60" s="20" t="s">
        <v>27</v>
      </c>
      <c r="L60" s="4" t="s">
        <v>24</v>
      </c>
      <c r="M60" s="4" t="s">
        <v>21</v>
      </c>
      <c r="N60" s="4"/>
      <c r="O60" s="4"/>
    </row>
    <row r="61" spans="2:15">
      <c r="B61" s="15"/>
      <c r="C61" s="25"/>
      <c r="D61" s="24" t="s">
        <v>118</v>
      </c>
      <c r="E61" s="11">
        <v>0.1</v>
      </c>
      <c r="F61" s="12"/>
      <c r="G61" s="12"/>
      <c r="H61" s="12">
        <v>0.1</v>
      </c>
      <c r="I61" s="13">
        <v>0.1</v>
      </c>
      <c r="J61" s="17">
        <v>2011</v>
      </c>
      <c r="K61" s="20" t="s">
        <v>106</v>
      </c>
      <c r="L61" s="4" t="s">
        <v>24</v>
      </c>
      <c r="M61" s="4" t="s">
        <v>21</v>
      </c>
      <c r="N61" s="4"/>
      <c r="O61" s="4"/>
    </row>
    <row r="62" spans="2:15">
      <c r="B62" s="15"/>
      <c r="C62" s="25"/>
      <c r="D62" s="24" t="s">
        <v>118</v>
      </c>
      <c r="E62" s="11">
        <v>0.2</v>
      </c>
      <c r="F62" s="12"/>
      <c r="G62" s="12"/>
      <c r="H62" s="12"/>
      <c r="I62" s="13"/>
      <c r="J62" s="17">
        <v>2008</v>
      </c>
      <c r="K62" s="20" t="s">
        <v>79</v>
      </c>
      <c r="L62" s="4" t="s">
        <v>125</v>
      </c>
      <c r="M62" s="4" t="s">
        <v>21</v>
      </c>
      <c r="N62" s="4"/>
      <c r="O62" s="4"/>
    </row>
    <row r="63" spans="2:15">
      <c r="B63" s="15"/>
      <c r="C63" s="25"/>
      <c r="D63" s="24" t="s">
        <v>120</v>
      </c>
      <c r="E63" s="11">
        <v>0.06</v>
      </c>
      <c r="F63" s="12"/>
      <c r="G63" s="12"/>
      <c r="H63" s="12">
        <v>0.05</v>
      </c>
      <c r="I63" s="13">
        <v>7.0000000000000007E-2</v>
      </c>
      <c r="J63" s="17">
        <v>2018</v>
      </c>
      <c r="K63" s="20" t="s">
        <v>27</v>
      </c>
      <c r="L63" s="4" t="s">
        <v>24</v>
      </c>
      <c r="M63" s="4" t="s">
        <v>21</v>
      </c>
      <c r="N63" s="4"/>
      <c r="O63" s="4"/>
    </row>
    <row r="64" spans="2:15">
      <c r="B64" s="15"/>
      <c r="C64" s="25"/>
      <c r="D64" s="24" t="s">
        <v>120</v>
      </c>
      <c r="E64" s="11">
        <v>0.01</v>
      </c>
      <c r="F64" s="12"/>
      <c r="G64" s="12"/>
      <c r="H64" s="12">
        <v>0.02</v>
      </c>
      <c r="I64" s="13">
        <v>0</v>
      </c>
      <c r="J64" s="17">
        <v>2014</v>
      </c>
      <c r="K64" s="20" t="s">
        <v>79</v>
      </c>
      <c r="L64" s="4" t="s">
        <v>24</v>
      </c>
      <c r="M64" s="4" t="s">
        <v>21</v>
      </c>
      <c r="N64" s="4"/>
      <c r="O64" s="4"/>
    </row>
    <row r="65" spans="2:15">
      <c r="B65" s="15"/>
      <c r="C65" s="25"/>
      <c r="D65" s="24" t="s">
        <v>120</v>
      </c>
      <c r="E65" s="11">
        <v>0.01</v>
      </c>
      <c r="F65" s="12"/>
      <c r="G65" s="12"/>
      <c r="H65" s="12">
        <v>0.02</v>
      </c>
      <c r="I65" s="13">
        <v>0</v>
      </c>
      <c r="J65" s="17">
        <v>2013</v>
      </c>
      <c r="K65" s="20" t="s">
        <v>79</v>
      </c>
      <c r="L65" s="4" t="s">
        <v>24</v>
      </c>
      <c r="M65" s="4" t="s">
        <v>21</v>
      </c>
      <c r="N65" s="4"/>
      <c r="O65" s="4"/>
    </row>
    <row r="66" spans="2:15">
      <c r="B66" s="15"/>
      <c r="C66" s="25"/>
      <c r="D66" s="24" t="s">
        <v>120</v>
      </c>
      <c r="E66" s="11">
        <v>0.1</v>
      </c>
      <c r="F66" s="12"/>
      <c r="G66" s="12"/>
      <c r="H66" s="12">
        <v>0</v>
      </c>
      <c r="I66" s="13">
        <v>0.1</v>
      </c>
      <c r="J66" s="17">
        <v>2007</v>
      </c>
      <c r="K66" s="20" t="s">
        <v>79</v>
      </c>
      <c r="L66" s="4" t="s">
        <v>24</v>
      </c>
      <c r="M66" s="4" t="s">
        <v>21</v>
      </c>
      <c r="N66" s="4"/>
      <c r="O66" s="4"/>
    </row>
    <row r="67" spans="2:15">
      <c r="B67" s="15"/>
      <c r="C67" s="25"/>
      <c r="D67" s="24" t="s">
        <v>124</v>
      </c>
      <c r="E67" s="11">
        <v>0.25</v>
      </c>
      <c r="F67" s="12"/>
      <c r="G67" s="12"/>
      <c r="H67" s="12">
        <v>0.16</v>
      </c>
      <c r="I67" s="13">
        <v>0.34</v>
      </c>
      <c r="J67" s="17">
        <v>2012</v>
      </c>
      <c r="K67" s="20" t="s">
        <v>27</v>
      </c>
      <c r="L67" s="4" t="s">
        <v>36</v>
      </c>
      <c r="M67" s="4" t="s">
        <v>21</v>
      </c>
      <c r="N67" s="4"/>
      <c r="O67" s="4"/>
    </row>
    <row r="68" spans="2:15">
      <c r="B68" s="15"/>
      <c r="C68" s="25"/>
      <c r="D68" s="24" t="s">
        <v>124</v>
      </c>
      <c r="E68" s="11">
        <v>0.2</v>
      </c>
      <c r="F68" s="12"/>
      <c r="G68" s="12"/>
      <c r="H68" s="12"/>
      <c r="I68" s="13"/>
      <c r="J68" s="17">
        <v>2005</v>
      </c>
      <c r="K68" s="20" t="s">
        <v>27</v>
      </c>
      <c r="L68" s="4" t="s">
        <v>58</v>
      </c>
      <c r="M68" s="4"/>
      <c r="N68" s="4"/>
      <c r="O68" s="4"/>
    </row>
    <row r="69" spans="2:15">
      <c r="B69" s="15"/>
      <c r="C69" s="25"/>
      <c r="D69" s="24" t="s">
        <v>126</v>
      </c>
      <c r="E69" s="11">
        <v>0.52</v>
      </c>
      <c r="F69" s="12"/>
      <c r="G69" s="12"/>
      <c r="H69" s="12">
        <v>0.73</v>
      </c>
      <c r="I69" s="13">
        <v>0.3</v>
      </c>
      <c r="J69" s="17">
        <v>2023</v>
      </c>
      <c r="K69" s="20" t="s">
        <v>27</v>
      </c>
      <c r="L69" s="4" t="s">
        <v>38</v>
      </c>
      <c r="M69" s="4" t="s">
        <v>51</v>
      </c>
      <c r="N69" s="4"/>
      <c r="O69" s="4" t="s">
        <v>127</v>
      </c>
    </row>
    <row r="70" spans="2:15">
      <c r="B70" s="15"/>
      <c r="C70" s="25"/>
      <c r="D70" s="24" t="s">
        <v>126</v>
      </c>
      <c r="E70" s="11">
        <v>0.3</v>
      </c>
      <c r="F70" s="12"/>
      <c r="G70" s="12"/>
      <c r="H70" s="12">
        <v>0.54</v>
      </c>
      <c r="I70" s="13">
        <v>0.08</v>
      </c>
      <c r="J70" s="17">
        <v>2020</v>
      </c>
      <c r="K70" s="20" t="s">
        <v>27</v>
      </c>
      <c r="L70" s="4" t="s">
        <v>24</v>
      </c>
      <c r="M70" s="4" t="s">
        <v>21</v>
      </c>
      <c r="N70" s="4"/>
      <c r="O70" s="4"/>
    </row>
    <row r="71" spans="2:15">
      <c r="B71" s="15"/>
      <c r="C71" s="25"/>
      <c r="D71" s="24" t="s">
        <v>126</v>
      </c>
      <c r="E71" s="11">
        <v>0.27</v>
      </c>
      <c r="F71" s="12"/>
      <c r="G71" s="12"/>
      <c r="H71" s="12">
        <v>0.36</v>
      </c>
      <c r="I71" s="13">
        <v>0.17</v>
      </c>
      <c r="J71" s="17">
        <v>2018</v>
      </c>
      <c r="K71" s="20" t="s">
        <v>27</v>
      </c>
      <c r="L71" s="4" t="s">
        <v>24</v>
      </c>
      <c r="M71" s="4" t="s">
        <v>21</v>
      </c>
      <c r="N71" s="4"/>
      <c r="O71" s="4"/>
    </row>
    <row r="72" spans="2:15">
      <c r="B72" s="15"/>
      <c r="C72" s="25"/>
      <c r="D72" s="24" t="s">
        <v>126</v>
      </c>
      <c r="E72" s="11">
        <v>0.06</v>
      </c>
      <c r="F72" s="12"/>
      <c r="G72" s="12"/>
      <c r="H72" s="12">
        <v>0.09</v>
      </c>
      <c r="I72" s="13">
        <v>0.03</v>
      </c>
      <c r="J72" s="17">
        <v>2016</v>
      </c>
      <c r="K72" s="20" t="s">
        <v>27</v>
      </c>
      <c r="L72" s="4" t="s">
        <v>24</v>
      </c>
      <c r="M72" s="4" t="s">
        <v>21</v>
      </c>
      <c r="N72" s="4"/>
      <c r="O72" s="4"/>
    </row>
    <row r="73" spans="2:15">
      <c r="B73" s="15"/>
      <c r="C73" s="25"/>
      <c r="D73" s="24" t="s">
        <v>126</v>
      </c>
      <c r="E73" s="11">
        <v>0.08</v>
      </c>
      <c r="F73" s="12"/>
      <c r="G73" s="12"/>
      <c r="H73" s="12">
        <v>0.1</v>
      </c>
      <c r="I73" s="13">
        <v>0.05</v>
      </c>
      <c r="J73" s="17">
        <v>2014</v>
      </c>
      <c r="K73" s="20" t="s">
        <v>27</v>
      </c>
      <c r="L73" s="4" t="s">
        <v>24</v>
      </c>
      <c r="M73" s="4" t="s">
        <v>21</v>
      </c>
      <c r="N73" s="4"/>
      <c r="O73" s="4"/>
    </row>
    <row r="74" spans="2:15">
      <c r="B74" s="15"/>
      <c r="C74" s="25"/>
      <c r="D74" s="24" t="s">
        <v>126</v>
      </c>
      <c r="E74" s="11">
        <v>0.05</v>
      </c>
      <c r="F74" s="12"/>
      <c r="G74" s="12"/>
      <c r="H74" s="12">
        <v>0.1</v>
      </c>
      <c r="I74" s="13">
        <v>0</v>
      </c>
      <c r="J74" s="17">
        <v>2012</v>
      </c>
      <c r="K74" s="20" t="s">
        <v>27</v>
      </c>
      <c r="L74" s="4" t="s">
        <v>24</v>
      </c>
      <c r="M74" s="4" t="s">
        <v>21</v>
      </c>
      <c r="N74" s="4"/>
      <c r="O74" s="4"/>
    </row>
    <row r="75" spans="2:15">
      <c r="B75" s="15"/>
      <c r="C75" s="25"/>
      <c r="D75" s="24" t="s">
        <v>126</v>
      </c>
      <c r="E75" s="11">
        <v>0.01</v>
      </c>
      <c r="F75" s="12"/>
      <c r="G75" s="12"/>
      <c r="H75" s="12"/>
      <c r="I75" s="13"/>
      <c r="J75" s="17">
        <v>2010</v>
      </c>
      <c r="K75" s="20" t="s">
        <v>27</v>
      </c>
      <c r="L75" s="4" t="s">
        <v>24</v>
      </c>
      <c r="M75" s="4" t="s">
        <v>21</v>
      </c>
      <c r="N75" s="4"/>
      <c r="O75" s="4"/>
    </row>
    <row r="76" spans="2:15">
      <c r="B76" s="15"/>
      <c r="C76" s="25"/>
      <c r="D76" s="24" t="s">
        <v>126</v>
      </c>
      <c r="E76" s="11">
        <v>0.1</v>
      </c>
      <c r="F76" s="12"/>
      <c r="G76" s="12"/>
      <c r="H76" s="12"/>
      <c r="I76" s="13"/>
      <c r="J76" s="17">
        <v>2008</v>
      </c>
      <c r="K76" s="20" t="s">
        <v>27</v>
      </c>
      <c r="L76" s="4" t="s">
        <v>38</v>
      </c>
      <c r="M76" s="4" t="s">
        <v>51</v>
      </c>
      <c r="N76" s="4"/>
      <c r="O76" s="4"/>
    </row>
    <row r="77" spans="2:15">
      <c r="B77" s="15"/>
      <c r="C77" s="25"/>
      <c r="D77" s="24" t="s">
        <v>129</v>
      </c>
      <c r="E77" s="11">
        <v>0.16</v>
      </c>
      <c r="F77" s="12">
        <v>0.11</v>
      </c>
      <c r="G77" s="12">
        <v>0.21</v>
      </c>
      <c r="H77" s="12">
        <v>0.22</v>
      </c>
      <c r="I77" s="13">
        <v>0.1</v>
      </c>
      <c r="J77" s="17">
        <v>2019</v>
      </c>
      <c r="K77" s="20" t="s">
        <v>79</v>
      </c>
      <c r="L77" s="4" t="s">
        <v>36</v>
      </c>
      <c r="M77" s="4" t="s">
        <v>21</v>
      </c>
      <c r="N77" s="4"/>
      <c r="O77" s="4"/>
    </row>
    <row r="78" spans="2:15">
      <c r="B78" s="15"/>
      <c r="C78" s="25"/>
      <c r="D78" s="24" t="s">
        <v>129</v>
      </c>
      <c r="E78" s="11">
        <v>0.19</v>
      </c>
      <c r="F78" s="12">
        <v>0.09</v>
      </c>
      <c r="G78" s="12">
        <v>0.28999999999999998</v>
      </c>
      <c r="H78" s="12">
        <v>0.28999999999999998</v>
      </c>
      <c r="I78" s="13">
        <v>0.1</v>
      </c>
      <c r="J78" s="17">
        <v>2013</v>
      </c>
      <c r="K78" s="20" t="s">
        <v>79</v>
      </c>
      <c r="L78" s="4" t="s">
        <v>24</v>
      </c>
      <c r="M78" s="4" t="s">
        <v>21</v>
      </c>
      <c r="N78" s="4"/>
      <c r="O78" s="4"/>
    </row>
    <row r="79" spans="2:15">
      <c r="B79" s="15"/>
      <c r="C79" s="25"/>
      <c r="D79" s="24" t="s">
        <v>129</v>
      </c>
      <c r="E79" s="11">
        <v>0.28000000000000003</v>
      </c>
      <c r="F79" s="12">
        <v>0.17</v>
      </c>
      <c r="G79" s="12">
        <v>0.39</v>
      </c>
      <c r="H79" s="12">
        <v>0.41</v>
      </c>
      <c r="I79" s="13">
        <v>0.17</v>
      </c>
      <c r="J79" s="17">
        <v>2008</v>
      </c>
      <c r="K79" s="20" t="s">
        <v>79</v>
      </c>
      <c r="L79" s="4" t="s">
        <v>24</v>
      </c>
      <c r="M79" s="4" t="s">
        <v>21</v>
      </c>
      <c r="N79" s="4"/>
      <c r="O79" s="4"/>
    </row>
    <row r="80" spans="2:15">
      <c r="B80" s="15"/>
      <c r="C80" s="25"/>
      <c r="D80" s="24" t="s">
        <v>131</v>
      </c>
      <c r="E80" s="11">
        <v>0.01</v>
      </c>
      <c r="F80" s="12"/>
      <c r="G80" s="12"/>
      <c r="H80" s="12">
        <v>0.01</v>
      </c>
      <c r="I80" s="13">
        <v>0</v>
      </c>
      <c r="J80" s="17">
        <v>2013</v>
      </c>
      <c r="K80" s="20" t="s">
        <v>79</v>
      </c>
      <c r="L80" s="4" t="s">
        <v>24</v>
      </c>
      <c r="M80" s="4" t="s">
        <v>21</v>
      </c>
      <c r="N80" s="4"/>
      <c r="O80" s="4"/>
    </row>
    <row r="81" spans="2:15">
      <c r="B81" s="15"/>
      <c r="C81" s="25"/>
      <c r="D81" s="24" t="s">
        <v>131</v>
      </c>
      <c r="E81" s="11">
        <v>0.2</v>
      </c>
      <c r="F81" s="12"/>
      <c r="G81" s="12"/>
      <c r="H81" s="12"/>
      <c r="I81" s="13"/>
      <c r="J81" s="17">
        <v>2005</v>
      </c>
      <c r="K81" s="20" t="s">
        <v>27</v>
      </c>
      <c r="L81" s="4" t="s">
        <v>58</v>
      </c>
      <c r="M81" s="4"/>
      <c r="N81" s="4"/>
      <c r="O81" s="4"/>
    </row>
    <row r="82" spans="2:15">
      <c r="B82" s="15"/>
      <c r="C82" s="25"/>
      <c r="D82" s="24" t="s">
        <v>132</v>
      </c>
      <c r="E82" s="11">
        <v>0.28000000000000003</v>
      </c>
      <c r="F82" s="12">
        <v>0.08</v>
      </c>
      <c r="G82" s="12">
        <v>0.48</v>
      </c>
      <c r="H82" s="12"/>
      <c r="I82" s="13"/>
      <c r="J82" s="17">
        <v>2010</v>
      </c>
      <c r="K82" s="20" t="s">
        <v>27</v>
      </c>
      <c r="L82" s="4" t="s">
        <v>61</v>
      </c>
      <c r="M82" s="4" t="s">
        <v>44</v>
      </c>
      <c r="N82" s="4" t="s">
        <v>33</v>
      </c>
      <c r="O82" s="4"/>
    </row>
    <row r="83" spans="2:15">
      <c r="B83" s="15"/>
      <c r="C83" s="25"/>
      <c r="D83" s="24" t="s">
        <v>132</v>
      </c>
      <c r="E83" s="11">
        <v>0.13</v>
      </c>
      <c r="F83" s="12"/>
      <c r="G83" s="12"/>
      <c r="H83" s="12"/>
      <c r="I83" s="13"/>
      <c r="J83" s="17">
        <v>2002</v>
      </c>
      <c r="K83" s="20" t="s">
        <v>27</v>
      </c>
      <c r="L83" s="4" t="s">
        <v>61</v>
      </c>
      <c r="M83" s="4"/>
      <c r="N83" s="4"/>
      <c r="O83" s="4"/>
    </row>
    <row r="84" spans="2:15">
      <c r="B84" s="15"/>
      <c r="C84" s="25"/>
      <c r="D84" s="24" t="s">
        <v>133</v>
      </c>
      <c r="E84" s="11">
        <v>0.09</v>
      </c>
      <c r="F84" s="12"/>
      <c r="G84" s="12"/>
      <c r="H84" s="12"/>
      <c r="I84" s="13"/>
      <c r="J84" s="17">
        <v>2005</v>
      </c>
      <c r="K84" s="20" t="s">
        <v>27</v>
      </c>
      <c r="L84" s="4" t="s">
        <v>61</v>
      </c>
      <c r="M84" s="4"/>
      <c r="N84" s="4"/>
      <c r="O84" s="4"/>
    </row>
    <row r="85" spans="2:15">
      <c r="B85" s="15"/>
      <c r="C85" s="25"/>
      <c r="D85" s="24" t="s">
        <v>134</v>
      </c>
      <c r="E85" s="11">
        <v>0.30099999999999999</v>
      </c>
      <c r="F85" s="12">
        <v>2.7E-2</v>
      </c>
      <c r="G85" s="12">
        <v>0.57499999999999996</v>
      </c>
      <c r="H85" s="12"/>
      <c r="I85" s="13"/>
      <c r="J85" s="17">
        <v>2017</v>
      </c>
      <c r="K85" s="20" t="s">
        <v>79</v>
      </c>
      <c r="L85" s="4" t="s">
        <v>484</v>
      </c>
      <c r="M85" s="4" t="s">
        <v>44</v>
      </c>
      <c r="N85" s="4" t="s">
        <v>45</v>
      </c>
      <c r="O85" s="4"/>
    </row>
    <row r="86" spans="2:15">
      <c r="B86" s="15"/>
      <c r="C86" s="25"/>
      <c r="D86" s="24" t="s">
        <v>134</v>
      </c>
      <c r="E86" s="11">
        <v>0</v>
      </c>
      <c r="F86" s="12"/>
      <c r="G86" s="12"/>
      <c r="H86" s="12">
        <v>0.1</v>
      </c>
      <c r="I86" s="13">
        <v>0</v>
      </c>
      <c r="J86" s="17">
        <v>2010</v>
      </c>
      <c r="K86" s="20" t="s">
        <v>79</v>
      </c>
      <c r="L86" s="4" t="s">
        <v>36</v>
      </c>
      <c r="M86" s="4" t="s">
        <v>21</v>
      </c>
      <c r="N86" s="4"/>
      <c r="O86" s="4"/>
    </row>
    <row r="87" spans="2:15">
      <c r="B87" s="15"/>
      <c r="C87" s="25"/>
      <c r="D87" s="24" t="s">
        <v>134</v>
      </c>
      <c r="E87" s="11">
        <v>0.04</v>
      </c>
      <c r="F87" s="12"/>
      <c r="G87" s="12"/>
      <c r="H87" s="12">
        <v>0.04</v>
      </c>
      <c r="I87" s="13">
        <v>0.04</v>
      </c>
      <c r="J87" s="17">
        <v>2006</v>
      </c>
      <c r="K87" s="20" t="s">
        <v>159</v>
      </c>
      <c r="L87" s="4" t="s">
        <v>24</v>
      </c>
      <c r="M87" s="4" t="s">
        <v>21</v>
      </c>
      <c r="N87" s="4" t="s">
        <v>101</v>
      </c>
      <c r="O87" s="4"/>
    </row>
    <row r="88" spans="2:15">
      <c r="B88" s="15"/>
      <c r="C88" s="25"/>
      <c r="D88" s="24" t="s">
        <v>135</v>
      </c>
      <c r="E88" s="11">
        <v>0.1</v>
      </c>
      <c r="F88" s="12"/>
      <c r="G88" s="12"/>
      <c r="H88" s="12">
        <v>0.1</v>
      </c>
      <c r="I88" s="13">
        <v>0.2</v>
      </c>
      <c r="J88" s="17">
        <v>2013</v>
      </c>
      <c r="K88" s="20" t="s">
        <v>79</v>
      </c>
      <c r="L88" s="4" t="s">
        <v>24</v>
      </c>
      <c r="M88" s="4" t="s">
        <v>21</v>
      </c>
      <c r="N88" s="4"/>
      <c r="O88" s="4"/>
    </row>
    <row r="89" spans="2:15">
      <c r="B89" s="15"/>
      <c r="C89" s="25"/>
      <c r="D89" s="24" t="s">
        <v>135</v>
      </c>
      <c r="E89" s="11">
        <v>0.1</v>
      </c>
      <c r="F89" s="12">
        <v>0.01</v>
      </c>
      <c r="G89" s="12">
        <v>0.21</v>
      </c>
      <c r="H89" s="12"/>
      <c r="I89" s="13"/>
      <c r="J89" s="17">
        <v>2007</v>
      </c>
      <c r="K89" s="20" t="s">
        <v>79</v>
      </c>
      <c r="L89" s="4" t="s">
        <v>36</v>
      </c>
      <c r="M89" s="4" t="s">
        <v>21</v>
      </c>
      <c r="N89" s="4" t="s">
        <v>182</v>
      </c>
      <c r="O89" s="4"/>
    </row>
    <row r="90" spans="2:15">
      <c r="B90" s="15"/>
      <c r="C90" s="25"/>
      <c r="D90" s="24" t="s">
        <v>135</v>
      </c>
      <c r="E90" s="11">
        <v>0.1</v>
      </c>
      <c r="F90" s="12"/>
      <c r="G90" s="12"/>
      <c r="H90" s="12"/>
      <c r="I90" s="13"/>
      <c r="J90" s="17">
        <v>2002</v>
      </c>
      <c r="K90" s="20" t="s">
        <v>19</v>
      </c>
      <c r="L90" s="4" t="s">
        <v>58</v>
      </c>
      <c r="M90" s="4"/>
      <c r="N90" s="4"/>
      <c r="O90" s="4"/>
    </row>
    <row r="91" spans="2:15">
      <c r="B91" s="15"/>
      <c r="C91" s="25"/>
      <c r="D91" s="24" t="s">
        <v>137</v>
      </c>
      <c r="E91" s="11">
        <v>0.9</v>
      </c>
      <c r="F91" s="12"/>
      <c r="G91" s="12"/>
      <c r="H91" s="12">
        <v>1.1000000000000001</v>
      </c>
      <c r="I91" s="13">
        <v>0.6</v>
      </c>
      <c r="J91" s="17">
        <v>2018</v>
      </c>
      <c r="K91" s="20" t="s">
        <v>19</v>
      </c>
      <c r="L91" s="4" t="s">
        <v>24</v>
      </c>
      <c r="M91" s="4" t="s">
        <v>21</v>
      </c>
      <c r="N91" s="4"/>
      <c r="O91" s="4"/>
    </row>
    <row r="92" spans="2:15">
      <c r="B92" s="15"/>
      <c r="C92" s="25"/>
      <c r="D92" s="24" t="s">
        <v>137</v>
      </c>
      <c r="E92" s="11">
        <v>0.4</v>
      </c>
      <c r="F92" s="12"/>
      <c r="G92" s="12"/>
      <c r="H92" s="12">
        <v>0.7</v>
      </c>
      <c r="I92" s="13">
        <v>0.1</v>
      </c>
      <c r="J92" s="17">
        <v>2014</v>
      </c>
      <c r="K92" s="20" t="s">
        <v>19</v>
      </c>
      <c r="L92" s="4" t="s">
        <v>24</v>
      </c>
      <c r="M92" s="4" t="s">
        <v>21</v>
      </c>
      <c r="N92" s="4"/>
      <c r="O92" s="4"/>
    </row>
    <row r="93" spans="2:15">
      <c r="B93" s="15"/>
      <c r="C93" s="25"/>
      <c r="D93" s="24" t="s">
        <v>137</v>
      </c>
      <c r="E93" s="11">
        <v>0.2</v>
      </c>
      <c r="F93" s="12"/>
      <c r="G93" s="12"/>
      <c r="H93" s="12">
        <v>0.2</v>
      </c>
      <c r="I93" s="13">
        <v>0.1</v>
      </c>
      <c r="J93" s="17">
        <v>2011</v>
      </c>
      <c r="K93" s="20" t="s">
        <v>19</v>
      </c>
      <c r="L93" s="4" t="s">
        <v>24</v>
      </c>
      <c r="M93" s="4" t="s">
        <v>21</v>
      </c>
      <c r="N93" s="4"/>
      <c r="O93" s="4"/>
    </row>
    <row r="94" spans="2:15">
      <c r="B94" s="15"/>
      <c r="C94" s="25"/>
      <c r="D94" s="24" t="s">
        <v>137</v>
      </c>
      <c r="E94" s="11">
        <v>0.1</v>
      </c>
      <c r="F94" s="12"/>
      <c r="G94" s="12"/>
      <c r="H94" s="12"/>
      <c r="I94" s="13"/>
      <c r="J94" s="17">
        <v>2006</v>
      </c>
      <c r="K94" s="20" t="s">
        <v>27</v>
      </c>
      <c r="L94" s="4" t="s">
        <v>38</v>
      </c>
      <c r="M94" s="4" t="s">
        <v>51</v>
      </c>
      <c r="N94" s="4"/>
      <c r="O94" s="4"/>
    </row>
    <row r="95" spans="2:15">
      <c r="B95" s="15"/>
      <c r="C95" s="25"/>
      <c r="D95" s="24" t="s">
        <v>138</v>
      </c>
      <c r="E95" s="11">
        <v>0.13</v>
      </c>
      <c r="F95" s="12"/>
      <c r="G95" s="12"/>
      <c r="H95" s="12"/>
      <c r="I95" s="13"/>
      <c r="J95" s="17">
        <v>2011</v>
      </c>
      <c r="K95" s="20" t="s">
        <v>27</v>
      </c>
      <c r="L95" s="4" t="s">
        <v>36</v>
      </c>
      <c r="M95" s="4" t="s">
        <v>21</v>
      </c>
      <c r="N95" s="4"/>
      <c r="O95" s="4"/>
    </row>
    <row r="96" spans="2:15">
      <c r="B96" s="15"/>
      <c r="C96" s="25"/>
      <c r="D96" s="24" t="s">
        <v>138</v>
      </c>
      <c r="E96" s="11">
        <v>0.04</v>
      </c>
      <c r="F96" s="12"/>
      <c r="G96" s="12"/>
      <c r="H96" s="12"/>
      <c r="I96" s="13"/>
      <c r="J96" s="17">
        <v>2005</v>
      </c>
      <c r="K96" s="20" t="s">
        <v>27</v>
      </c>
      <c r="L96" s="4" t="s">
        <v>125</v>
      </c>
      <c r="M96" s="4" t="s">
        <v>51</v>
      </c>
      <c r="N96" s="4" t="s">
        <v>56</v>
      </c>
      <c r="O96" s="4"/>
    </row>
    <row r="97" spans="2:15">
      <c r="B97" s="15" t="s">
        <v>139</v>
      </c>
      <c r="C97" s="25" t="s">
        <v>140</v>
      </c>
      <c r="D97" s="24" t="s">
        <v>141</v>
      </c>
      <c r="E97" s="11">
        <v>0.1</v>
      </c>
      <c r="F97" s="12"/>
      <c r="G97" s="12"/>
      <c r="H97" s="12"/>
      <c r="I97" s="13"/>
      <c r="J97" s="17">
        <v>2005</v>
      </c>
      <c r="K97" s="20" t="s">
        <v>27</v>
      </c>
      <c r="L97" s="4" t="s">
        <v>61</v>
      </c>
      <c r="M97" s="4" t="s">
        <v>21</v>
      </c>
      <c r="N97" s="4"/>
      <c r="O97" s="4"/>
    </row>
    <row r="98" spans="2:15">
      <c r="B98" s="15"/>
      <c r="C98" s="25"/>
      <c r="D98" s="24" t="s">
        <v>143</v>
      </c>
      <c r="E98" s="11">
        <v>0.2</v>
      </c>
      <c r="F98" s="12">
        <v>0.1</v>
      </c>
      <c r="G98" s="12">
        <v>0.4</v>
      </c>
      <c r="H98" s="12">
        <v>0.5</v>
      </c>
      <c r="I98" s="13">
        <v>0</v>
      </c>
      <c r="J98" s="17">
        <v>2022</v>
      </c>
      <c r="K98" s="20" t="s">
        <v>144</v>
      </c>
      <c r="L98" s="4" t="s">
        <v>36</v>
      </c>
      <c r="M98" s="4" t="s">
        <v>21</v>
      </c>
      <c r="N98" s="4"/>
      <c r="O98" s="4"/>
    </row>
    <row r="99" spans="2:15">
      <c r="B99" s="15"/>
      <c r="C99" s="25"/>
      <c r="D99" s="24" t="s">
        <v>143</v>
      </c>
      <c r="E99" s="11">
        <v>0.1</v>
      </c>
      <c r="F99" s="12"/>
      <c r="G99" s="12"/>
      <c r="H99" s="12">
        <v>0.1</v>
      </c>
      <c r="I99" s="13">
        <v>0</v>
      </c>
      <c r="J99" s="17">
        <v>2015</v>
      </c>
      <c r="K99" s="20" t="s">
        <v>144</v>
      </c>
      <c r="L99" s="4" t="s">
        <v>24</v>
      </c>
      <c r="M99" s="4" t="s">
        <v>21</v>
      </c>
      <c r="N99" s="4"/>
      <c r="O99" s="4"/>
    </row>
    <row r="100" spans="2:15">
      <c r="B100" s="15"/>
      <c r="C100" s="25"/>
      <c r="D100" s="24" t="s">
        <v>143</v>
      </c>
      <c r="E100" s="11">
        <v>0.54</v>
      </c>
      <c r="F100" s="12">
        <v>0.17</v>
      </c>
      <c r="G100" s="12">
        <v>0.91</v>
      </c>
      <c r="H100" s="12"/>
      <c r="I100" s="13"/>
      <c r="J100" s="17">
        <v>2009</v>
      </c>
      <c r="K100" s="20" t="s">
        <v>27</v>
      </c>
      <c r="L100" s="4" t="s">
        <v>24</v>
      </c>
      <c r="M100" s="4" t="s">
        <v>44</v>
      </c>
      <c r="N100" s="4" t="s">
        <v>485</v>
      </c>
      <c r="O100" s="4"/>
    </row>
    <row r="101" spans="2:15">
      <c r="B101" s="15"/>
      <c r="C101" s="25"/>
      <c r="D101" s="24" t="s">
        <v>143</v>
      </c>
      <c r="E101" s="11">
        <v>1.72</v>
      </c>
      <c r="F101" s="12">
        <v>0.7</v>
      </c>
      <c r="G101" s="12">
        <v>2.4</v>
      </c>
      <c r="H101" s="12"/>
      <c r="I101" s="13"/>
      <c r="J101" s="17">
        <v>2007</v>
      </c>
      <c r="K101" s="20" t="s">
        <v>27</v>
      </c>
      <c r="L101" s="4" t="s">
        <v>38</v>
      </c>
      <c r="M101" s="4" t="s">
        <v>74</v>
      </c>
      <c r="N101" s="4" t="s">
        <v>75</v>
      </c>
      <c r="O101" s="4"/>
    </row>
    <row r="102" spans="2:15">
      <c r="B102" s="15"/>
      <c r="C102" s="25" t="s">
        <v>152</v>
      </c>
      <c r="D102" s="24" t="s">
        <v>153</v>
      </c>
      <c r="E102" s="11">
        <v>0.14000000000000001</v>
      </c>
      <c r="F102" s="12"/>
      <c r="G102" s="12"/>
      <c r="H102" s="12"/>
      <c r="I102" s="13"/>
      <c r="J102" s="17">
        <v>2003</v>
      </c>
      <c r="K102" s="20" t="s">
        <v>27</v>
      </c>
      <c r="L102" s="4" t="s">
        <v>61</v>
      </c>
      <c r="M102" s="4"/>
      <c r="N102" s="4"/>
      <c r="O102" s="4"/>
    </row>
    <row r="103" spans="2:15">
      <c r="B103" s="15"/>
      <c r="C103" s="25"/>
      <c r="D103" s="24" t="s">
        <v>158</v>
      </c>
      <c r="E103" s="11">
        <v>0.52</v>
      </c>
      <c r="F103" s="12"/>
      <c r="G103" s="12"/>
      <c r="H103" s="12"/>
      <c r="I103" s="13"/>
      <c r="J103" s="17">
        <v>2005</v>
      </c>
      <c r="K103" s="20" t="s">
        <v>27</v>
      </c>
      <c r="L103" s="4" t="s">
        <v>160</v>
      </c>
      <c r="M103" s="4"/>
      <c r="N103" s="4" t="s">
        <v>37</v>
      </c>
      <c r="O103" s="4"/>
    </row>
    <row r="104" spans="2:15">
      <c r="B104" s="15"/>
      <c r="C104" s="25"/>
      <c r="D104" s="24" t="s">
        <v>161</v>
      </c>
      <c r="E104" s="11">
        <v>0.37</v>
      </c>
      <c r="F104" s="12"/>
      <c r="G104" s="12"/>
      <c r="H104" s="12">
        <v>0.72</v>
      </c>
      <c r="I104" s="13">
        <v>0.08</v>
      </c>
      <c r="J104" s="17">
        <v>2019</v>
      </c>
      <c r="K104" s="20" t="s">
        <v>27</v>
      </c>
      <c r="L104" s="4" t="s">
        <v>24</v>
      </c>
      <c r="M104" s="4" t="s">
        <v>21</v>
      </c>
      <c r="N104" s="4"/>
      <c r="O104" s="4"/>
    </row>
    <row r="105" spans="2:15">
      <c r="B105" s="15"/>
      <c r="C105" s="25"/>
      <c r="D105" s="24" t="s">
        <v>161</v>
      </c>
      <c r="E105" s="11">
        <v>0.27</v>
      </c>
      <c r="F105" s="12"/>
      <c r="G105" s="12"/>
      <c r="H105" s="12"/>
      <c r="I105" s="13"/>
      <c r="J105" s="17">
        <v>2015</v>
      </c>
      <c r="K105" s="20" t="s">
        <v>162</v>
      </c>
      <c r="L105" s="4" t="s">
        <v>36</v>
      </c>
      <c r="M105" s="4" t="s">
        <v>21</v>
      </c>
      <c r="N105" s="4"/>
      <c r="O105" s="4" t="s">
        <v>486</v>
      </c>
    </row>
    <row r="106" spans="2:15">
      <c r="B106" s="15"/>
      <c r="C106" s="25"/>
      <c r="D106" s="24" t="s">
        <v>161</v>
      </c>
      <c r="E106" s="11">
        <v>0.03</v>
      </c>
      <c r="F106" s="12"/>
      <c r="G106" s="12"/>
      <c r="H106" s="12">
        <v>0.05</v>
      </c>
      <c r="I106" s="13">
        <v>0</v>
      </c>
      <c r="J106" s="17">
        <v>2015</v>
      </c>
      <c r="K106" s="20" t="s">
        <v>164</v>
      </c>
      <c r="L106" s="4" t="s">
        <v>24</v>
      </c>
      <c r="M106" s="4" t="s">
        <v>21</v>
      </c>
      <c r="N106" s="4"/>
      <c r="O106" s="4" t="s">
        <v>165</v>
      </c>
    </row>
    <row r="107" spans="2:15">
      <c r="B107" s="15"/>
      <c r="C107" s="25"/>
      <c r="D107" s="24" t="s">
        <v>161</v>
      </c>
      <c r="E107" s="11">
        <v>0.19</v>
      </c>
      <c r="F107" s="12"/>
      <c r="G107" s="12"/>
      <c r="H107" s="12"/>
      <c r="I107" s="13"/>
      <c r="J107" s="17">
        <v>2010</v>
      </c>
      <c r="K107" s="20" t="s">
        <v>164</v>
      </c>
      <c r="L107" s="4" t="s">
        <v>24</v>
      </c>
      <c r="M107" s="4" t="s">
        <v>21</v>
      </c>
      <c r="N107" s="4"/>
      <c r="O107" s="4"/>
    </row>
    <row r="108" spans="2:15">
      <c r="B108" s="15"/>
      <c r="C108" s="25"/>
      <c r="D108" s="24" t="s">
        <v>161</v>
      </c>
      <c r="E108" s="11">
        <v>0.2</v>
      </c>
      <c r="F108" s="12"/>
      <c r="G108" s="12"/>
      <c r="H108" s="12"/>
      <c r="I108" s="13"/>
      <c r="J108" s="17">
        <v>2008</v>
      </c>
      <c r="K108" s="20" t="s">
        <v>162</v>
      </c>
      <c r="L108" s="4" t="s">
        <v>38</v>
      </c>
      <c r="M108" s="4" t="s">
        <v>51</v>
      </c>
      <c r="N108" s="4"/>
      <c r="O108" s="4"/>
    </row>
    <row r="109" spans="2:15">
      <c r="B109" s="15"/>
      <c r="C109" s="25"/>
      <c r="D109" s="24" t="s">
        <v>166</v>
      </c>
      <c r="E109" s="11">
        <v>0.1</v>
      </c>
      <c r="F109" s="12"/>
      <c r="G109" s="12">
        <v>0.37</v>
      </c>
      <c r="H109" s="12">
        <v>0.11</v>
      </c>
      <c r="I109" s="13">
        <v>0.08</v>
      </c>
      <c r="J109" s="17">
        <v>2023</v>
      </c>
      <c r="K109" s="20" t="s">
        <v>27</v>
      </c>
      <c r="L109" s="4" t="s">
        <v>36</v>
      </c>
      <c r="M109" s="4" t="s">
        <v>51</v>
      </c>
      <c r="N109" s="4"/>
      <c r="O109" s="4"/>
    </row>
    <row r="110" spans="2:15">
      <c r="B110" s="15"/>
      <c r="C110" s="25"/>
      <c r="D110" s="24" t="s">
        <v>166</v>
      </c>
      <c r="E110" s="11">
        <v>0.08</v>
      </c>
      <c r="F110" s="12">
        <v>0</v>
      </c>
      <c r="G110" s="12">
        <v>0.21</v>
      </c>
      <c r="H110" s="12">
        <v>0.09</v>
      </c>
      <c r="I110" s="13">
        <v>0.06</v>
      </c>
      <c r="J110" s="17">
        <v>2021</v>
      </c>
      <c r="K110" s="20" t="s">
        <v>27</v>
      </c>
      <c r="L110" s="4" t="s">
        <v>36</v>
      </c>
      <c r="M110" s="4" t="s">
        <v>51</v>
      </c>
      <c r="N110" s="4"/>
      <c r="O110" s="4"/>
    </row>
    <row r="111" spans="2:15">
      <c r="B111" s="15"/>
      <c r="C111" s="25"/>
      <c r="D111" s="24" t="s">
        <v>166</v>
      </c>
      <c r="E111" s="11">
        <v>0.03</v>
      </c>
      <c r="F111" s="12"/>
      <c r="G111" s="12"/>
      <c r="H111" s="12"/>
      <c r="I111" s="13"/>
      <c r="J111" s="17">
        <v>2019</v>
      </c>
      <c r="K111" s="20" t="s">
        <v>27</v>
      </c>
      <c r="L111" s="4" t="s">
        <v>24</v>
      </c>
      <c r="M111" s="4" t="s">
        <v>21</v>
      </c>
      <c r="N111" s="4"/>
      <c r="O111" s="4"/>
    </row>
    <row r="112" spans="2:15">
      <c r="B112" s="15"/>
      <c r="C112" s="25"/>
      <c r="D112" s="24" t="s">
        <v>166</v>
      </c>
      <c r="E112" s="11">
        <v>0</v>
      </c>
      <c r="F112" s="12"/>
      <c r="G112" s="12"/>
      <c r="H112" s="12"/>
      <c r="I112" s="13"/>
      <c r="J112" s="17">
        <v>2017</v>
      </c>
      <c r="K112" s="20" t="s">
        <v>27</v>
      </c>
      <c r="L112" s="4" t="s">
        <v>24</v>
      </c>
      <c r="M112" s="4" t="s">
        <v>21</v>
      </c>
      <c r="N112" s="4"/>
      <c r="O112" s="4"/>
    </row>
    <row r="113" spans="2:15">
      <c r="B113" s="15"/>
      <c r="C113" s="25"/>
      <c r="D113" s="24" t="s">
        <v>166</v>
      </c>
      <c r="E113" s="11">
        <v>0.1</v>
      </c>
      <c r="F113" s="12"/>
      <c r="G113" s="12"/>
      <c r="H113" s="12"/>
      <c r="I113" s="13"/>
      <c r="J113" s="17">
        <v>2009</v>
      </c>
      <c r="K113" s="20" t="s">
        <v>27</v>
      </c>
      <c r="L113" s="4" t="s">
        <v>61</v>
      </c>
      <c r="M113" s="4" t="s">
        <v>21</v>
      </c>
      <c r="N113" s="4" t="s">
        <v>87</v>
      </c>
      <c r="O113" s="4"/>
    </row>
    <row r="114" spans="2:15">
      <c r="B114" s="15"/>
      <c r="C114" s="25"/>
      <c r="D114" s="24" t="s">
        <v>170</v>
      </c>
      <c r="E114" s="11">
        <v>0.44</v>
      </c>
      <c r="F114" s="12"/>
      <c r="G114" s="12"/>
      <c r="H114" s="12"/>
      <c r="I114" s="13"/>
      <c r="J114" s="17">
        <v>2003</v>
      </c>
      <c r="K114" s="20" t="s">
        <v>27</v>
      </c>
      <c r="L114" s="4" t="s">
        <v>61</v>
      </c>
      <c r="M114" s="4"/>
      <c r="N114" s="4" t="s">
        <v>487</v>
      </c>
      <c r="O114" s="4"/>
    </row>
    <row r="115" spans="2:15">
      <c r="B115" s="15"/>
      <c r="C115" s="25"/>
      <c r="D115" s="24" t="s">
        <v>175</v>
      </c>
      <c r="E115" s="11">
        <v>0.02</v>
      </c>
      <c r="F115" s="12"/>
      <c r="G115" s="12"/>
      <c r="H115" s="12"/>
      <c r="I115" s="13"/>
      <c r="J115" s="17">
        <v>2012</v>
      </c>
      <c r="K115" s="20" t="s">
        <v>178</v>
      </c>
      <c r="L115" s="4" t="s">
        <v>24</v>
      </c>
      <c r="M115" s="4" t="s">
        <v>21</v>
      </c>
      <c r="N115" s="4"/>
      <c r="O115" s="4" t="s">
        <v>376</v>
      </c>
    </row>
    <row r="116" spans="2:15">
      <c r="B116" s="15"/>
      <c r="C116" s="25"/>
      <c r="D116" s="24" t="s">
        <v>175</v>
      </c>
      <c r="E116" s="11">
        <v>0.18</v>
      </c>
      <c r="F116" s="12"/>
      <c r="G116" s="12"/>
      <c r="H116" s="12"/>
      <c r="I116" s="13"/>
      <c r="J116" s="17">
        <v>2004</v>
      </c>
      <c r="K116" s="20" t="s">
        <v>27</v>
      </c>
      <c r="L116" s="4" t="s">
        <v>36</v>
      </c>
      <c r="M116" s="4" t="s">
        <v>21</v>
      </c>
      <c r="N116" s="4"/>
      <c r="O116" s="4"/>
    </row>
    <row r="117" spans="2:15">
      <c r="B117" s="15"/>
      <c r="C117" s="25"/>
      <c r="D117" s="24" t="s">
        <v>181</v>
      </c>
      <c r="E117" s="11">
        <v>0.08</v>
      </c>
      <c r="F117" s="12">
        <v>0.04</v>
      </c>
      <c r="G117" s="12">
        <v>0.08</v>
      </c>
      <c r="H117" s="12"/>
      <c r="I117" s="13"/>
      <c r="J117" s="17">
        <v>2004</v>
      </c>
      <c r="K117" s="20" t="s">
        <v>27</v>
      </c>
      <c r="L117" s="4" t="s">
        <v>24</v>
      </c>
      <c r="M117" s="4" t="s">
        <v>21</v>
      </c>
      <c r="N117" s="4" t="s">
        <v>182</v>
      </c>
      <c r="O117" s="4"/>
    </row>
    <row r="118" spans="2:15">
      <c r="B118" s="15"/>
      <c r="C118" s="25"/>
      <c r="D118" s="24" t="s">
        <v>187</v>
      </c>
      <c r="E118" s="11">
        <v>0.439</v>
      </c>
      <c r="F118" s="12"/>
      <c r="G118" s="12"/>
      <c r="H118" s="12"/>
      <c r="I118" s="13"/>
      <c r="J118" s="17">
        <v>2019</v>
      </c>
      <c r="K118" s="20" t="s">
        <v>79</v>
      </c>
      <c r="L118" s="4" t="s">
        <v>36</v>
      </c>
      <c r="M118" s="4" t="s">
        <v>21</v>
      </c>
      <c r="N118" s="4"/>
      <c r="O118" s="4"/>
    </row>
    <row r="119" spans="2:15">
      <c r="B119" s="15"/>
      <c r="C119" s="25"/>
      <c r="D119" s="24" t="s">
        <v>187</v>
      </c>
      <c r="E119" s="11">
        <v>0.3</v>
      </c>
      <c r="F119" s="12"/>
      <c r="G119" s="12"/>
      <c r="H119" s="12"/>
      <c r="I119" s="13"/>
      <c r="J119" s="17">
        <v>2007</v>
      </c>
      <c r="K119" s="20" t="s">
        <v>27</v>
      </c>
      <c r="L119" s="4" t="s">
        <v>24</v>
      </c>
      <c r="M119" s="4" t="s">
        <v>21</v>
      </c>
      <c r="N119" s="4"/>
      <c r="O119" s="4"/>
    </row>
    <row r="120" spans="2:15">
      <c r="B120" s="15"/>
      <c r="C120" s="25"/>
      <c r="D120" s="24" t="s">
        <v>443</v>
      </c>
      <c r="E120" s="11">
        <v>0.22</v>
      </c>
      <c r="F120" s="12"/>
      <c r="G120" s="12"/>
      <c r="H120" s="12"/>
      <c r="I120" s="13"/>
      <c r="J120" s="17">
        <v>2003</v>
      </c>
      <c r="K120" s="20" t="s">
        <v>27</v>
      </c>
      <c r="L120" s="4" t="s">
        <v>61</v>
      </c>
      <c r="M120" s="4"/>
      <c r="N120" s="4"/>
      <c r="O120" s="4"/>
    </row>
    <row r="121" spans="2:15">
      <c r="B121" s="15"/>
      <c r="C121" s="25" t="s">
        <v>188</v>
      </c>
      <c r="D121" s="24" t="s">
        <v>193</v>
      </c>
      <c r="E121" s="11">
        <v>0.08</v>
      </c>
      <c r="F121" s="12"/>
      <c r="G121" s="12"/>
      <c r="H121" s="12"/>
      <c r="I121" s="13"/>
      <c r="J121" s="17">
        <v>2011</v>
      </c>
      <c r="K121" s="20" t="s">
        <v>27</v>
      </c>
      <c r="L121" s="4" t="s">
        <v>36</v>
      </c>
      <c r="M121" s="4"/>
      <c r="N121" s="4"/>
      <c r="O121" s="4"/>
    </row>
    <row r="122" spans="2:15">
      <c r="B122" s="15"/>
      <c r="C122" s="25"/>
      <c r="D122" s="24" t="s">
        <v>200</v>
      </c>
      <c r="E122" s="11">
        <v>0.6</v>
      </c>
      <c r="F122" s="12"/>
      <c r="G122" s="12"/>
      <c r="H122" s="12">
        <v>0.5</v>
      </c>
      <c r="I122" s="13">
        <v>0.7</v>
      </c>
      <c r="J122" s="17">
        <v>2020</v>
      </c>
      <c r="K122" s="20" t="s">
        <v>201</v>
      </c>
      <c r="L122" s="4" t="s">
        <v>24</v>
      </c>
      <c r="M122" s="4" t="s">
        <v>21</v>
      </c>
      <c r="N122" s="4"/>
      <c r="O122" s="4"/>
    </row>
    <row r="123" spans="2:15">
      <c r="B123" s="15"/>
      <c r="C123" s="25"/>
      <c r="D123" s="24" t="s">
        <v>200</v>
      </c>
      <c r="E123" s="11">
        <v>0.6</v>
      </c>
      <c r="F123" s="12"/>
      <c r="G123" s="12"/>
      <c r="H123" s="12">
        <v>0.9</v>
      </c>
      <c r="I123" s="13">
        <v>0.3</v>
      </c>
      <c r="J123" s="17">
        <v>2016</v>
      </c>
      <c r="K123" s="20" t="s">
        <v>202</v>
      </c>
      <c r="L123" s="4" t="s">
        <v>24</v>
      </c>
      <c r="M123" s="4" t="s">
        <v>21</v>
      </c>
      <c r="N123" s="4"/>
      <c r="O123" s="4"/>
    </row>
    <row r="124" spans="2:15">
      <c r="B124" s="15"/>
      <c r="C124" s="25"/>
      <c r="D124" s="24" t="s">
        <v>200</v>
      </c>
      <c r="E124" s="11">
        <v>1</v>
      </c>
      <c r="F124" s="12"/>
      <c r="G124" s="12"/>
      <c r="H124" s="12">
        <v>1.27</v>
      </c>
      <c r="I124" s="13">
        <v>0.57999999999999996</v>
      </c>
      <c r="J124" s="17">
        <v>2009</v>
      </c>
      <c r="K124" s="20" t="s">
        <v>203</v>
      </c>
      <c r="L124" s="4" t="s">
        <v>24</v>
      </c>
      <c r="M124" s="4" t="s">
        <v>21</v>
      </c>
      <c r="N124" s="4"/>
      <c r="O124" s="4"/>
    </row>
    <row r="125" spans="2:15">
      <c r="B125" s="15"/>
      <c r="C125" s="25"/>
      <c r="D125" s="24" t="s">
        <v>200</v>
      </c>
      <c r="E125" s="11">
        <v>0.7</v>
      </c>
      <c r="F125" s="12"/>
      <c r="G125" s="12"/>
      <c r="H125" s="12"/>
      <c r="I125" s="13"/>
      <c r="J125" s="17">
        <v>2005</v>
      </c>
      <c r="K125" s="20" t="s">
        <v>203</v>
      </c>
      <c r="L125" s="4" t="s">
        <v>38</v>
      </c>
      <c r="M125" s="4" t="s">
        <v>51</v>
      </c>
      <c r="N125" s="4"/>
      <c r="O125" s="4"/>
    </row>
    <row r="126" spans="2:15">
      <c r="B126" s="15"/>
      <c r="C126" s="25"/>
      <c r="D126" s="24" t="s">
        <v>205</v>
      </c>
      <c r="E126" s="11">
        <v>1</v>
      </c>
      <c r="F126" s="12">
        <v>0.3</v>
      </c>
      <c r="G126" s="12">
        <v>1.7</v>
      </c>
      <c r="H126" s="12"/>
      <c r="I126" s="13"/>
      <c r="J126" s="17">
        <v>2009</v>
      </c>
      <c r="K126" s="20" t="s">
        <v>27</v>
      </c>
      <c r="L126" s="4" t="s">
        <v>146</v>
      </c>
      <c r="M126" s="4" t="s">
        <v>44</v>
      </c>
      <c r="N126" s="4" t="s">
        <v>33</v>
      </c>
      <c r="O126" s="4"/>
    </row>
    <row r="127" spans="2:15">
      <c r="B127" s="15"/>
      <c r="C127" s="25"/>
      <c r="D127" s="24" t="s">
        <v>205</v>
      </c>
      <c r="E127" s="11">
        <v>0.5</v>
      </c>
      <c r="F127" s="12"/>
      <c r="G127" s="12"/>
      <c r="H127" s="12"/>
      <c r="I127" s="13"/>
      <c r="J127" s="17">
        <v>2001</v>
      </c>
      <c r="K127" s="20" t="s">
        <v>27</v>
      </c>
      <c r="L127" s="4" t="s">
        <v>58</v>
      </c>
      <c r="M127" s="4"/>
      <c r="N127" s="4" t="s">
        <v>75</v>
      </c>
      <c r="O127" s="4"/>
    </row>
    <row r="128" spans="2:15">
      <c r="B128" s="15" t="s">
        <v>231</v>
      </c>
      <c r="C128" s="25" t="s">
        <v>232</v>
      </c>
      <c r="D128" s="24" t="s">
        <v>233</v>
      </c>
      <c r="E128" s="11">
        <v>0.31</v>
      </c>
      <c r="F128" s="12">
        <v>0.3</v>
      </c>
      <c r="G128" s="12">
        <v>0.33</v>
      </c>
      <c r="H128" s="12"/>
      <c r="I128" s="13"/>
      <c r="J128" s="17">
        <v>2007</v>
      </c>
      <c r="K128" s="20" t="s">
        <v>27</v>
      </c>
      <c r="L128" s="4" t="s">
        <v>234</v>
      </c>
      <c r="M128" s="4" t="s">
        <v>44</v>
      </c>
      <c r="N128" s="4" t="s">
        <v>235</v>
      </c>
      <c r="O128" s="4"/>
    </row>
    <row r="129" spans="2:15">
      <c r="B129" s="15"/>
      <c r="C129" s="25"/>
      <c r="D129" s="24" t="s">
        <v>236</v>
      </c>
      <c r="E129" s="11">
        <v>0.1</v>
      </c>
      <c r="F129" s="12"/>
      <c r="G129" s="12"/>
      <c r="H129" s="12"/>
      <c r="I129" s="13"/>
      <c r="J129" s="17">
        <v>2010</v>
      </c>
      <c r="K129" s="20" t="s">
        <v>27</v>
      </c>
      <c r="L129" s="4" t="s">
        <v>384</v>
      </c>
      <c r="M129" s="4" t="s">
        <v>21</v>
      </c>
      <c r="N129" s="4"/>
      <c r="O129" s="4"/>
    </row>
    <row r="130" spans="2:15">
      <c r="B130" s="15"/>
      <c r="C130" s="25"/>
      <c r="D130" s="24" t="s">
        <v>236</v>
      </c>
      <c r="E130" s="11">
        <v>0.32</v>
      </c>
      <c r="F130" s="12"/>
      <c r="G130" s="12"/>
      <c r="H130" s="12"/>
      <c r="I130" s="13"/>
      <c r="J130" s="17">
        <v>2008</v>
      </c>
      <c r="K130" s="20" t="s">
        <v>27</v>
      </c>
      <c r="L130" s="4" t="s">
        <v>36</v>
      </c>
      <c r="M130" s="4" t="s">
        <v>51</v>
      </c>
      <c r="N130" s="4"/>
      <c r="O130" s="4"/>
    </row>
    <row r="131" spans="2:15">
      <c r="B131" s="15"/>
      <c r="C131" s="25"/>
      <c r="D131" s="24" t="s">
        <v>237</v>
      </c>
      <c r="E131" s="11">
        <v>0.68</v>
      </c>
      <c r="F131" s="12"/>
      <c r="G131" s="12"/>
      <c r="H131" s="12"/>
      <c r="I131" s="13"/>
      <c r="J131" s="17">
        <v>2007</v>
      </c>
      <c r="K131" s="20" t="s">
        <v>27</v>
      </c>
      <c r="L131" s="4" t="s">
        <v>238</v>
      </c>
      <c r="M131" s="4" t="s">
        <v>44</v>
      </c>
      <c r="N131" s="4" t="s">
        <v>33</v>
      </c>
      <c r="O131" s="4" t="s">
        <v>239</v>
      </c>
    </row>
    <row r="132" spans="2:15">
      <c r="B132" s="15"/>
      <c r="C132" s="25"/>
      <c r="D132" s="24" t="s">
        <v>240</v>
      </c>
      <c r="E132" s="11">
        <v>0.56999999999999995</v>
      </c>
      <c r="F132" s="12">
        <v>0.01</v>
      </c>
      <c r="G132" s="12">
        <v>1.1200000000000001</v>
      </c>
      <c r="H132" s="12"/>
      <c r="I132" s="13"/>
      <c r="J132" s="17">
        <v>2015</v>
      </c>
      <c r="K132" s="20" t="s">
        <v>27</v>
      </c>
      <c r="L132" s="4" t="s">
        <v>238</v>
      </c>
      <c r="M132" s="4" t="s">
        <v>44</v>
      </c>
      <c r="N132" s="4" t="s">
        <v>33</v>
      </c>
      <c r="O132" s="4"/>
    </row>
    <row r="133" spans="2:15">
      <c r="B133" s="15"/>
      <c r="C133" s="25"/>
      <c r="D133" s="24" t="s">
        <v>240</v>
      </c>
      <c r="E133" s="11">
        <v>0.93</v>
      </c>
      <c r="F133" s="12">
        <v>0.37</v>
      </c>
      <c r="G133" s="12">
        <v>1.49</v>
      </c>
      <c r="H133" s="12"/>
      <c r="I133" s="13"/>
      <c r="J133" s="17">
        <v>2011</v>
      </c>
      <c r="K133" s="20" t="s">
        <v>27</v>
      </c>
      <c r="L133" s="4" t="s">
        <v>234</v>
      </c>
      <c r="M133" s="4" t="s">
        <v>44</v>
      </c>
      <c r="N133" s="4" t="s">
        <v>33</v>
      </c>
      <c r="O133" s="4"/>
    </row>
    <row r="134" spans="2:15">
      <c r="B134" s="15"/>
      <c r="C134" s="25"/>
      <c r="D134" s="24" t="s">
        <v>240</v>
      </c>
      <c r="E134" s="11">
        <v>0.68</v>
      </c>
      <c r="F134" s="12">
        <v>0.68</v>
      </c>
      <c r="G134" s="12">
        <v>0.69</v>
      </c>
      <c r="H134" s="12"/>
      <c r="I134" s="13"/>
      <c r="J134" s="17">
        <v>2007</v>
      </c>
      <c r="K134" s="20" t="s">
        <v>27</v>
      </c>
      <c r="L134" s="4" t="s">
        <v>241</v>
      </c>
      <c r="M134" s="4" t="s">
        <v>74</v>
      </c>
      <c r="N134" s="4" t="s">
        <v>75</v>
      </c>
      <c r="O134" s="4"/>
    </row>
    <row r="135" spans="2:15">
      <c r="B135" s="15"/>
      <c r="C135" s="25" t="s">
        <v>242</v>
      </c>
      <c r="D135" s="24" t="s">
        <v>243</v>
      </c>
      <c r="E135" s="11">
        <v>0.2</v>
      </c>
      <c r="F135" s="12"/>
      <c r="G135" s="12"/>
      <c r="H135" s="12"/>
      <c r="I135" s="13"/>
      <c r="J135" s="17">
        <v>2014</v>
      </c>
      <c r="K135" s="20" t="s">
        <v>27</v>
      </c>
      <c r="L135" s="4" t="s">
        <v>244</v>
      </c>
      <c r="M135" s="4" t="s">
        <v>21</v>
      </c>
      <c r="N135" s="4"/>
      <c r="O135" s="4"/>
    </row>
    <row r="136" spans="2:15">
      <c r="B136" s="15"/>
      <c r="C136" s="25"/>
      <c r="D136" s="24" t="s">
        <v>243</v>
      </c>
      <c r="E136" s="11">
        <v>0.2</v>
      </c>
      <c r="F136" s="12"/>
      <c r="G136" s="12"/>
      <c r="H136" s="12">
        <v>0.5</v>
      </c>
      <c r="I136" s="13">
        <v>0.1</v>
      </c>
      <c r="J136" s="17">
        <v>2014</v>
      </c>
      <c r="K136" s="20" t="s">
        <v>27</v>
      </c>
      <c r="L136" s="4" t="s">
        <v>24</v>
      </c>
      <c r="M136" s="4" t="s">
        <v>21</v>
      </c>
      <c r="N136" s="4"/>
      <c r="O136" s="4"/>
    </row>
    <row r="137" spans="2:15">
      <c r="B137" s="15"/>
      <c r="C137" s="25"/>
      <c r="D137" s="24" t="s">
        <v>243</v>
      </c>
      <c r="E137" s="11">
        <v>1.19</v>
      </c>
      <c r="F137" s="12">
        <v>0.54</v>
      </c>
      <c r="G137" s="12">
        <v>1.84</v>
      </c>
      <c r="H137" s="12"/>
      <c r="I137" s="13"/>
      <c r="J137" s="17">
        <v>2011</v>
      </c>
      <c r="K137" s="20" t="s">
        <v>27</v>
      </c>
      <c r="L137" s="4" t="s">
        <v>234</v>
      </c>
      <c r="M137" s="4" t="s">
        <v>44</v>
      </c>
      <c r="N137" s="4" t="s">
        <v>207</v>
      </c>
      <c r="O137" s="4"/>
    </row>
    <row r="138" spans="2:15">
      <c r="B138" s="15"/>
      <c r="C138" s="25"/>
      <c r="D138" s="24" t="s">
        <v>243</v>
      </c>
      <c r="E138" s="11">
        <v>0.97</v>
      </c>
      <c r="F138" s="12">
        <v>0.26</v>
      </c>
      <c r="G138" s="12">
        <v>2.08</v>
      </c>
      <c r="H138" s="12"/>
      <c r="I138" s="13"/>
      <c r="J138" s="17">
        <v>2006</v>
      </c>
      <c r="K138" s="20" t="s">
        <v>27</v>
      </c>
      <c r="L138" s="4" t="s">
        <v>36</v>
      </c>
      <c r="M138" s="4" t="s">
        <v>74</v>
      </c>
      <c r="N138" s="4" t="s">
        <v>75</v>
      </c>
      <c r="O138" s="4"/>
    </row>
    <row r="139" spans="2:15">
      <c r="B139" s="15"/>
      <c r="C139" s="25"/>
      <c r="D139" s="24" t="s">
        <v>245</v>
      </c>
      <c r="E139" s="11">
        <v>0.5</v>
      </c>
      <c r="F139" s="12">
        <v>0.11</v>
      </c>
      <c r="G139" s="12">
        <v>0.88</v>
      </c>
      <c r="H139" s="12"/>
      <c r="I139" s="13"/>
      <c r="J139" s="17">
        <v>2011</v>
      </c>
      <c r="K139" s="20" t="s">
        <v>27</v>
      </c>
      <c r="L139" s="4" t="s">
        <v>24</v>
      </c>
      <c r="M139" s="4" t="s">
        <v>44</v>
      </c>
      <c r="N139" s="4" t="s">
        <v>488</v>
      </c>
      <c r="O139" s="4"/>
    </row>
    <row r="140" spans="2:15">
      <c r="B140" s="15"/>
      <c r="C140" s="25"/>
      <c r="D140" s="24" t="s">
        <v>245</v>
      </c>
      <c r="E140" s="11">
        <v>1.42</v>
      </c>
      <c r="F140" s="12">
        <v>0.37</v>
      </c>
      <c r="G140" s="12">
        <v>2.67</v>
      </c>
      <c r="H140" s="12"/>
      <c r="I140" s="13"/>
      <c r="J140" s="17">
        <v>2008</v>
      </c>
      <c r="K140" s="20" t="s">
        <v>27</v>
      </c>
      <c r="L140" s="4" t="s">
        <v>241</v>
      </c>
      <c r="M140" s="4" t="s">
        <v>74</v>
      </c>
      <c r="N140" s="4" t="s">
        <v>246</v>
      </c>
      <c r="O140" s="4"/>
    </row>
    <row r="141" spans="2:15">
      <c r="B141" s="15"/>
      <c r="C141" s="25"/>
      <c r="D141" s="24" t="s">
        <v>247</v>
      </c>
      <c r="E141" s="11">
        <v>0.2</v>
      </c>
      <c r="F141" s="12"/>
      <c r="G141" s="12"/>
      <c r="H141" s="12">
        <v>0.2</v>
      </c>
      <c r="I141" s="13">
        <v>0.3</v>
      </c>
      <c r="J141" s="17">
        <v>2020</v>
      </c>
      <c r="K141" s="20" t="s">
        <v>27</v>
      </c>
      <c r="L141" s="4" t="s">
        <v>24</v>
      </c>
      <c r="M141" s="4" t="s">
        <v>21</v>
      </c>
      <c r="N141" s="4"/>
      <c r="O141" s="4"/>
    </row>
    <row r="142" spans="2:15">
      <c r="B142" s="15"/>
      <c r="C142" s="25"/>
      <c r="D142" s="24" t="s">
        <v>247</v>
      </c>
      <c r="E142" s="11">
        <v>1.3</v>
      </c>
      <c r="F142" s="12"/>
      <c r="G142" s="12"/>
      <c r="H142" s="12">
        <v>1.8</v>
      </c>
      <c r="I142" s="13">
        <v>0.7</v>
      </c>
      <c r="J142" s="17">
        <v>2016</v>
      </c>
      <c r="K142" s="20" t="s">
        <v>27</v>
      </c>
      <c r="L142" s="4" t="s">
        <v>24</v>
      </c>
      <c r="M142" s="4" t="s">
        <v>21</v>
      </c>
      <c r="N142" s="4"/>
      <c r="O142" s="4"/>
    </row>
    <row r="143" spans="2:15">
      <c r="B143" s="15"/>
      <c r="C143" s="25"/>
      <c r="D143" s="24" t="s">
        <v>247</v>
      </c>
      <c r="E143" s="11">
        <v>1.2</v>
      </c>
      <c r="F143" s="12"/>
      <c r="G143" s="12"/>
      <c r="H143" s="12">
        <v>1.7</v>
      </c>
      <c r="I143" s="13">
        <v>0.8</v>
      </c>
      <c r="J143" s="17">
        <v>2012</v>
      </c>
      <c r="K143" s="20" t="s">
        <v>27</v>
      </c>
      <c r="L143" s="4" t="s">
        <v>24</v>
      </c>
      <c r="M143" s="4" t="s">
        <v>21</v>
      </c>
      <c r="N143" s="4"/>
      <c r="O143" s="4"/>
    </row>
    <row r="144" spans="2:15">
      <c r="B144" s="15"/>
      <c r="C144" s="25"/>
      <c r="D144" s="24" t="s">
        <v>247</v>
      </c>
      <c r="E144" s="11">
        <v>0.7</v>
      </c>
      <c r="F144" s="12"/>
      <c r="G144" s="12"/>
      <c r="H144" s="12"/>
      <c r="I144" s="13"/>
      <c r="J144" s="17">
        <v>2008</v>
      </c>
      <c r="K144" s="20" t="s">
        <v>27</v>
      </c>
      <c r="L144" s="4" t="s">
        <v>24</v>
      </c>
      <c r="M144" s="4" t="s">
        <v>21</v>
      </c>
      <c r="N144" s="4"/>
      <c r="O144" s="4"/>
    </row>
    <row r="145" spans="2:15">
      <c r="B145" s="15"/>
      <c r="C145" s="25"/>
      <c r="D145" s="24" t="s">
        <v>248</v>
      </c>
      <c r="E145" s="11">
        <v>1.2</v>
      </c>
      <c r="F145" s="12"/>
      <c r="G145" s="12"/>
      <c r="H145" s="12">
        <v>1.9</v>
      </c>
      <c r="I145" s="13">
        <v>0.5</v>
      </c>
      <c r="J145" s="17">
        <v>2019</v>
      </c>
      <c r="K145" s="20" t="s">
        <v>27</v>
      </c>
      <c r="L145" s="4" t="s">
        <v>24</v>
      </c>
      <c r="M145" s="4" t="s">
        <v>21</v>
      </c>
      <c r="N145" s="4"/>
      <c r="O145" s="4"/>
    </row>
    <row r="146" spans="2:15">
      <c r="B146" s="15"/>
      <c r="C146" s="25"/>
      <c r="D146" s="24" t="s">
        <v>248</v>
      </c>
      <c r="E146" s="11">
        <v>0.6</v>
      </c>
      <c r="F146" s="12"/>
      <c r="G146" s="12"/>
      <c r="H146" s="12">
        <v>1</v>
      </c>
      <c r="I146" s="13">
        <v>0.2</v>
      </c>
      <c r="J146" s="17">
        <v>2015</v>
      </c>
      <c r="K146" s="20" t="s">
        <v>27</v>
      </c>
      <c r="L146" s="4" t="s">
        <v>24</v>
      </c>
      <c r="M146" s="4" t="s">
        <v>21</v>
      </c>
      <c r="N146" s="4"/>
      <c r="O146" s="4"/>
    </row>
    <row r="147" spans="2:15">
      <c r="B147" s="15"/>
      <c r="C147" s="25"/>
      <c r="D147" s="24" t="s">
        <v>248</v>
      </c>
      <c r="E147" s="11">
        <v>0.4</v>
      </c>
      <c r="F147" s="12"/>
      <c r="G147" s="12"/>
      <c r="H147" s="12"/>
      <c r="I147" s="13"/>
      <c r="J147" s="17">
        <v>2011</v>
      </c>
      <c r="K147" s="20" t="s">
        <v>27</v>
      </c>
      <c r="L147" s="4" t="s">
        <v>24</v>
      </c>
      <c r="M147" s="4" t="s">
        <v>21</v>
      </c>
      <c r="N147" s="4"/>
      <c r="O147" s="4"/>
    </row>
    <row r="148" spans="2:15">
      <c r="B148" s="15"/>
      <c r="C148" s="25"/>
      <c r="D148" s="24" t="s">
        <v>248</v>
      </c>
      <c r="E148" s="11">
        <v>0.79</v>
      </c>
      <c r="F148" s="12">
        <v>0.78</v>
      </c>
      <c r="G148" s="12">
        <v>0.8</v>
      </c>
      <c r="H148" s="12"/>
      <c r="I148" s="13"/>
      <c r="J148" s="17">
        <v>2007</v>
      </c>
      <c r="K148" s="20" t="s">
        <v>27</v>
      </c>
      <c r="L148" s="4" t="s">
        <v>241</v>
      </c>
      <c r="M148" s="4" t="s">
        <v>74</v>
      </c>
      <c r="N148" s="4" t="s">
        <v>75</v>
      </c>
      <c r="O148" s="4"/>
    </row>
    <row r="149" spans="2:15">
      <c r="B149" s="15"/>
      <c r="C149" s="25"/>
      <c r="D149" s="24" t="s">
        <v>251</v>
      </c>
      <c r="E149" s="11">
        <v>0.9</v>
      </c>
      <c r="F149" s="12"/>
      <c r="G149" s="12"/>
      <c r="H149" s="12">
        <v>1.2</v>
      </c>
      <c r="I149" s="13">
        <v>0.5</v>
      </c>
      <c r="J149" s="17">
        <v>2017</v>
      </c>
      <c r="K149" s="20" t="s">
        <v>27</v>
      </c>
      <c r="L149" s="4" t="s">
        <v>24</v>
      </c>
      <c r="M149" s="4" t="s">
        <v>21</v>
      </c>
      <c r="N149" s="4"/>
      <c r="O149" s="4"/>
    </row>
    <row r="150" spans="2:15">
      <c r="B150" s="15"/>
      <c r="C150" s="25"/>
      <c r="D150" s="24" t="s">
        <v>251</v>
      </c>
      <c r="E150" s="11">
        <v>0.9</v>
      </c>
      <c r="F150" s="12">
        <v>0.24</v>
      </c>
      <c r="G150" s="12">
        <v>1.57</v>
      </c>
      <c r="H150" s="12"/>
      <c r="I150" s="13"/>
      <c r="J150" s="17">
        <v>2015</v>
      </c>
      <c r="K150" s="20" t="s">
        <v>27</v>
      </c>
      <c r="L150" s="4" t="s">
        <v>238</v>
      </c>
      <c r="M150" s="4" t="s">
        <v>44</v>
      </c>
      <c r="N150" s="4" t="s">
        <v>33</v>
      </c>
      <c r="O150" s="4"/>
    </row>
    <row r="151" spans="2:15">
      <c r="B151" s="15"/>
      <c r="C151" s="25"/>
      <c r="D151" s="24" t="s">
        <v>251</v>
      </c>
      <c r="E151" s="11">
        <v>0.86</v>
      </c>
      <c r="F151" s="12">
        <v>0.31</v>
      </c>
      <c r="G151" s="12">
        <v>1.4</v>
      </c>
      <c r="H151" s="12"/>
      <c r="I151" s="13"/>
      <c r="J151" s="17">
        <v>2011</v>
      </c>
      <c r="K151" s="20" t="s">
        <v>27</v>
      </c>
      <c r="L151" s="4" t="s">
        <v>234</v>
      </c>
      <c r="M151" s="4" t="s">
        <v>44</v>
      </c>
      <c r="N151" s="4" t="s">
        <v>207</v>
      </c>
      <c r="O151" s="4"/>
    </row>
    <row r="152" spans="2:15">
      <c r="B152" s="15"/>
      <c r="C152" s="25"/>
      <c r="D152" s="24" t="s">
        <v>251</v>
      </c>
      <c r="E152" s="11">
        <v>0.45</v>
      </c>
      <c r="F152" s="12">
        <v>0.12</v>
      </c>
      <c r="G152" s="12">
        <v>1.47</v>
      </c>
      <c r="H152" s="12"/>
      <c r="I152" s="13"/>
      <c r="J152" s="17">
        <v>2008</v>
      </c>
      <c r="K152" s="20" t="s">
        <v>27</v>
      </c>
      <c r="L152" s="4" t="s">
        <v>241</v>
      </c>
      <c r="M152" s="4" t="s">
        <v>74</v>
      </c>
      <c r="N152" s="4" t="s">
        <v>75</v>
      </c>
      <c r="O152" s="4"/>
    </row>
    <row r="153" spans="2:15">
      <c r="B153" s="15"/>
      <c r="C153" s="25"/>
      <c r="D153" s="24" t="s">
        <v>252</v>
      </c>
      <c r="E153" s="11">
        <v>0.8</v>
      </c>
      <c r="F153" s="12"/>
      <c r="G153" s="12"/>
      <c r="H153" s="12">
        <v>1.2</v>
      </c>
      <c r="I153" s="13">
        <v>0.4</v>
      </c>
      <c r="J153" s="17">
        <v>2017</v>
      </c>
      <c r="K153" s="20" t="s">
        <v>27</v>
      </c>
      <c r="L153" s="4" t="s">
        <v>24</v>
      </c>
      <c r="M153" s="4" t="s">
        <v>21</v>
      </c>
      <c r="N153" s="4"/>
      <c r="O153" s="4" t="s">
        <v>388</v>
      </c>
    </row>
    <row r="154" spans="2:15">
      <c r="B154" s="15"/>
      <c r="C154" s="25"/>
      <c r="D154" s="24" t="s">
        <v>252</v>
      </c>
      <c r="E154" s="11">
        <v>0.63</v>
      </c>
      <c r="F154" s="12">
        <v>0.12</v>
      </c>
      <c r="G154" s="12">
        <v>1.1399999999999999</v>
      </c>
      <c r="H154" s="12"/>
      <c r="I154" s="13"/>
      <c r="J154" s="17">
        <v>2015</v>
      </c>
      <c r="K154" s="20" t="s">
        <v>27</v>
      </c>
      <c r="L154" s="4" t="s">
        <v>238</v>
      </c>
      <c r="M154" s="4" t="s">
        <v>44</v>
      </c>
      <c r="N154" s="4" t="s">
        <v>33</v>
      </c>
      <c r="O154" s="4"/>
    </row>
    <row r="155" spans="2:15">
      <c r="B155" s="15"/>
      <c r="C155" s="25"/>
      <c r="D155" s="24" t="s">
        <v>252</v>
      </c>
      <c r="E155" s="11">
        <v>0.75</v>
      </c>
      <c r="F155" s="12">
        <v>0.2</v>
      </c>
      <c r="G155" s="12">
        <v>1.82</v>
      </c>
      <c r="H155" s="12"/>
      <c r="I155" s="13"/>
      <c r="J155" s="17">
        <v>2008</v>
      </c>
      <c r="K155" s="20" t="s">
        <v>27</v>
      </c>
      <c r="L155" s="4" t="s">
        <v>234</v>
      </c>
      <c r="M155" s="4" t="s">
        <v>44</v>
      </c>
      <c r="N155" s="4" t="s">
        <v>33</v>
      </c>
      <c r="O155" s="4"/>
    </row>
    <row r="156" spans="2:15">
      <c r="B156" s="15"/>
      <c r="C156" s="25"/>
      <c r="D156" s="24" t="s">
        <v>252</v>
      </c>
      <c r="E156" s="11">
        <v>0.1</v>
      </c>
      <c r="F156" s="12"/>
      <c r="G156" s="12"/>
      <c r="H156" s="12"/>
      <c r="I156" s="13"/>
      <c r="J156" s="17">
        <v>1999</v>
      </c>
      <c r="K156" s="20" t="s">
        <v>27</v>
      </c>
      <c r="L156" s="4" t="s">
        <v>58</v>
      </c>
      <c r="M156" s="4"/>
      <c r="N156" s="4" t="s">
        <v>207</v>
      </c>
      <c r="O156" s="4"/>
    </row>
    <row r="157" spans="2:15">
      <c r="B157" s="15"/>
      <c r="C157" s="25"/>
      <c r="D157" s="24" t="s">
        <v>253</v>
      </c>
      <c r="E157" s="11">
        <v>0.5</v>
      </c>
      <c r="F157" s="12"/>
      <c r="G157" s="12"/>
      <c r="H157" s="12">
        <v>0.7</v>
      </c>
      <c r="I157" s="13">
        <v>0.2</v>
      </c>
      <c r="J157" s="17">
        <v>2019</v>
      </c>
      <c r="K157" s="20" t="s">
        <v>27</v>
      </c>
      <c r="L157" s="4" t="s">
        <v>24</v>
      </c>
      <c r="M157" s="4" t="s">
        <v>21</v>
      </c>
      <c r="N157" s="4"/>
      <c r="O157" s="4"/>
    </row>
    <row r="158" spans="2:15">
      <c r="B158" s="15"/>
      <c r="C158" s="25"/>
      <c r="D158" s="24" t="s">
        <v>253</v>
      </c>
      <c r="E158" s="11">
        <v>0.1</v>
      </c>
      <c r="F158" s="12"/>
      <c r="G158" s="12"/>
      <c r="H158" s="12">
        <v>0.2</v>
      </c>
      <c r="I158" s="13">
        <v>0.1</v>
      </c>
      <c r="J158" s="17">
        <v>2016</v>
      </c>
      <c r="K158" s="20" t="s">
        <v>27</v>
      </c>
      <c r="L158" s="4" t="s">
        <v>24</v>
      </c>
      <c r="M158" s="4" t="s">
        <v>21</v>
      </c>
      <c r="N158" s="4"/>
      <c r="O158" s="4"/>
    </row>
    <row r="159" spans="2:15">
      <c r="B159" s="15"/>
      <c r="C159" s="25"/>
      <c r="D159" s="24" t="s">
        <v>253</v>
      </c>
      <c r="E159" s="11">
        <v>0.2</v>
      </c>
      <c r="F159" s="12"/>
      <c r="G159" s="12"/>
      <c r="H159" s="12">
        <v>0.1</v>
      </c>
      <c r="I159" s="13">
        <v>0.2</v>
      </c>
      <c r="J159" s="17">
        <v>2013</v>
      </c>
      <c r="K159" s="20" t="s">
        <v>27</v>
      </c>
      <c r="L159" s="4" t="s">
        <v>249</v>
      </c>
      <c r="M159" s="4" t="s">
        <v>21</v>
      </c>
      <c r="N159" s="4"/>
      <c r="O159" s="4"/>
    </row>
    <row r="160" spans="2:15">
      <c r="B160" s="15"/>
      <c r="C160" s="25"/>
      <c r="D160" s="24" t="s">
        <v>253</v>
      </c>
      <c r="E160" s="11">
        <v>0.2</v>
      </c>
      <c r="F160" s="12"/>
      <c r="G160" s="12"/>
      <c r="H160" s="12"/>
      <c r="I160" s="13"/>
      <c r="J160" s="17">
        <v>2010</v>
      </c>
      <c r="K160" s="20" t="s">
        <v>27</v>
      </c>
      <c r="L160" s="4" t="s">
        <v>24</v>
      </c>
      <c r="M160" s="4" t="s">
        <v>21</v>
      </c>
      <c r="N160" s="4"/>
      <c r="O160" s="4"/>
    </row>
    <row r="161" spans="2:15">
      <c r="B161" s="15"/>
      <c r="C161" s="25"/>
      <c r="D161" s="24" t="s">
        <v>253</v>
      </c>
      <c r="E161" s="11">
        <v>0.1</v>
      </c>
      <c r="F161" s="12"/>
      <c r="G161" s="12"/>
      <c r="H161" s="12"/>
      <c r="I161" s="13"/>
      <c r="J161" s="17">
        <v>2007</v>
      </c>
      <c r="K161" s="20" t="s">
        <v>27</v>
      </c>
      <c r="L161" s="4" t="s">
        <v>38</v>
      </c>
      <c r="M161" s="4" t="s">
        <v>51</v>
      </c>
      <c r="N161" s="4"/>
      <c r="O161" s="4"/>
    </row>
    <row r="162" spans="2:15">
      <c r="B162" s="15"/>
      <c r="C162" s="25"/>
      <c r="D162" s="24" t="s">
        <v>254</v>
      </c>
      <c r="E162" s="11">
        <v>0.3</v>
      </c>
      <c r="F162" s="12"/>
      <c r="G162" s="12"/>
      <c r="H162" s="12">
        <v>0.5</v>
      </c>
      <c r="I162" s="13">
        <v>0</v>
      </c>
      <c r="J162" s="17">
        <v>2023</v>
      </c>
      <c r="K162" s="20" t="s">
        <v>144</v>
      </c>
      <c r="L162" s="4" t="s">
        <v>38</v>
      </c>
      <c r="M162" s="4" t="s">
        <v>51</v>
      </c>
      <c r="N162" s="4"/>
      <c r="O162" s="4"/>
    </row>
    <row r="163" spans="2:15">
      <c r="B163" s="15"/>
      <c r="C163" s="25"/>
      <c r="D163" s="24" t="s">
        <v>254</v>
      </c>
      <c r="E163" s="11">
        <v>0.4</v>
      </c>
      <c r="F163" s="12"/>
      <c r="G163" s="12"/>
      <c r="H163" s="12">
        <v>0.3</v>
      </c>
      <c r="I163" s="13">
        <v>0.4</v>
      </c>
      <c r="J163" s="17">
        <v>2018</v>
      </c>
      <c r="K163" s="20" t="s">
        <v>27</v>
      </c>
      <c r="L163" s="4" t="s">
        <v>38</v>
      </c>
      <c r="M163" s="4" t="s">
        <v>51</v>
      </c>
      <c r="N163" s="4"/>
      <c r="O163" s="4" t="s">
        <v>489</v>
      </c>
    </row>
    <row r="164" spans="2:15">
      <c r="B164" s="15"/>
      <c r="C164" s="25"/>
      <c r="D164" s="24" t="s">
        <v>254</v>
      </c>
      <c r="E164" s="11">
        <v>0.1</v>
      </c>
      <c r="F164" s="12"/>
      <c r="G164" s="12"/>
      <c r="H164" s="12">
        <v>0.1</v>
      </c>
      <c r="I164" s="13">
        <v>0.1</v>
      </c>
      <c r="J164" s="17">
        <v>2014</v>
      </c>
      <c r="K164" s="20" t="s">
        <v>144</v>
      </c>
      <c r="L164" s="4" t="s">
        <v>384</v>
      </c>
      <c r="M164" s="4" t="s">
        <v>21</v>
      </c>
      <c r="N164" s="4"/>
      <c r="O164" s="4"/>
    </row>
    <row r="165" spans="2:15">
      <c r="B165" s="15"/>
      <c r="C165" s="25"/>
      <c r="D165" s="24" t="s">
        <v>254</v>
      </c>
      <c r="E165" s="11">
        <v>0.63</v>
      </c>
      <c r="F165" s="12">
        <v>0.39</v>
      </c>
      <c r="G165" s="12">
        <v>0.86</v>
      </c>
      <c r="H165" s="12"/>
      <c r="I165" s="13"/>
      <c r="J165" s="17">
        <v>2008</v>
      </c>
      <c r="K165" s="20" t="s">
        <v>27</v>
      </c>
      <c r="L165" s="4" t="s">
        <v>384</v>
      </c>
      <c r="M165" s="4" t="s">
        <v>21</v>
      </c>
      <c r="N165" s="4" t="s">
        <v>177</v>
      </c>
      <c r="O165" s="4"/>
    </row>
    <row r="166" spans="2:15">
      <c r="B166" s="15"/>
      <c r="C166" s="25"/>
      <c r="D166" s="24" t="s">
        <v>256</v>
      </c>
      <c r="E166" s="11">
        <v>0.1</v>
      </c>
      <c r="F166" s="12"/>
      <c r="G166" s="12"/>
      <c r="H166" s="12">
        <v>0.2</v>
      </c>
      <c r="I166" s="13"/>
      <c r="J166" s="17">
        <v>2018</v>
      </c>
      <c r="K166" s="20" t="s">
        <v>27</v>
      </c>
      <c r="L166" s="4" t="s">
        <v>24</v>
      </c>
      <c r="M166" s="4" t="s">
        <v>21</v>
      </c>
      <c r="N166" s="4"/>
      <c r="O166" s="4"/>
    </row>
    <row r="167" spans="2:15">
      <c r="B167" s="15"/>
      <c r="C167" s="25"/>
      <c r="D167" s="24" t="s">
        <v>256</v>
      </c>
      <c r="E167" s="11">
        <v>0.1</v>
      </c>
      <c r="F167" s="12"/>
      <c r="G167" s="12"/>
      <c r="H167" s="12">
        <v>0.2</v>
      </c>
      <c r="I167" s="13"/>
      <c r="J167" s="17">
        <v>2017</v>
      </c>
      <c r="K167" s="20" t="s">
        <v>27</v>
      </c>
      <c r="L167" s="4" t="s">
        <v>249</v>
      </c>
      <c r="M167" s="4" t="s">
        <v>21</v>
      </c>
      <c r="N167" s="4"/>
      <c r="O167" s="4"/>
    </row>
    <row r="168" spans="2:15">
      <c r="B168" s="15"/>
      <c r="C168" s="25"/>
      <c r="D168" s="24" t="s">
        <v>256</v>
      </c>
      <c r="E168" s="11"/>
      <c r="F168" s="12"/>
      <c r="G168" s="12"/>
      <c r="H168" s="12">
        <v>0.1</v>
      </c>
      <c r="I168" s="13"/>
      <c r="J168" s="17">
        <v>2011</v>
      </c>
      <c r="K168" s="20" t="s">
        <v>27</v>
      </c>
      <c r="L168" s="4" t="s">
        <v>24</v>
      </c>
      <c r="M168" s="4" t="s">
        <v>21</v>
      </c>
      <c r="N168" s="4"/>
      <c r="O168" s="4"/>
    </row>
    <row r="169" spans="2:15">
      <c r="B169" s="15"/>
      <c r="C169" s="25"/>
      <c r="D169" s="24" t="s">
        <v>256</v>
      </c>
      <c r="E169" s="11">
        <v>0.26</v>
      </c>
      <c r="F169" s="12"/>
      <c r="G169" s="12"/>
      <c r="H169" s="12"/>
      <c r="I169" s="13"/>
      <c r="J169" s="17">
        <v>2003</v>
      </c>
      <c r="K169" s="20" t="s">
        <v>27</v>
      </c>
      <c r="L169" s="4" t="s">
        <v>61</v>
      </c>
      <c r="M169" s="4"/>
      <c r="N169" s="4"/>
      <c r="O169" s="4"/>
    </row>
    <row r="170" spans="2:15">
      <c r="B170" s="15"/>
      <c r="C170" s="25" t="s">
        <v>257</v>
      </c>
      <c r="D170" s="24" t="s">
        <v>258</v>
      </c>
      <c r="E170" s="11">
        <v>0.96</v>
      </c>
      <c r="F170" s="12"/>
      <c r="G170" s="12"/>
      <c r="H170" s="12">
        <v>1.24</v>
      </c>
      <c r="I170" s="13">
        <v>0.68</v>
      </c>
      <c r="J170" s="17">
        <v>2022</v>
      </c>
      <c r="K170" s="20" t="s">
        <v>27</v>
      </c>
      <c r="L170" s="4" t="s">
        <v>38</v>
      </c>
      <c r="M170" s="4" t="s">
        <v>51</v>
      </c>
      <c r="N170" s="4"/>
      <c r="O170" s="4" t="s">
        <v>489</v>
      </c>
    </row>
    <row r="171" spans="2:15">
      <c r="B171" s="15"/>
      <c r="C171" s="25"/>
      <c r="D171" s="24" t="s">
        <v>258</v>
      </c>
      <c r="E171" s="11">
        <v>1.47</v>
      </c>
      <c r="F171" s="12">
        <v>1.1499999999999999</v>
      </c>
      <c r="G171" s="12">
        <v>1.84</v>
      </c>
      <c r="H171" s="12"/>
      <c r="I171" s="13"/>
      <c r="J171" s="17">
        <v>2020</v>
      </c>
      <c r="K171" s="20" t="s">
        <v>27</v>
      </c>
      <c r="L171" s="4" t="s">
        <v>36</v>
      </c>
      <c r="M171" s="4" t="s">
        <v>21</v>
      </c>
      <c r="N171" s="4"/>
      <c r="O171" s="4"/>
    </row>
    <row r="172" spans="2:15">
      <c r="B172" s="15"/>
      <c r="C172" s="25"/>
      <c r="D172" s="24" t="s">
        <v>258</v>
      </c>
      <c r="E172" s="11">
        <v>0.4</v>
      </c>
      <c r="F172" s="12">
        <v>0.2</v>
      </c>
      <c r="G172" s="12">
        <v>0.7</v>
      </c>
      <c r="H172" s="12">
        <v>0.5</v>
      </c>
      <c r="I172" s="13">
        <v>0.4</v>
      </c>
      <c r="J172" s="17">
        <v>2015</v>
      </c>
      <c r="K172" s="20" t="s">
        <v>27</v>
      </c>
      <c r="L172" s="4" t="s">
        <v>36</v>
      </c>
      <c r="M172" s="4" t="s">
        <v>21</v>
      </c>
      <c r="N172" s="4"/>
      <c r="O172" s="4"/>
    </row>
    <row r="173" spans="2:15">
      <c r="B173" s="15"/>
      <c r="C173" s="25"/>
      <c r="D173" s="24" t="s">
        <v>258</v>
      </c>
      <c r="E173" s="11">
        <v>0.5</v>
      </c>
      <c r="F173" s="12"/>
      <c r="G173" s="12"/>
      <c r="H173" s="12"/>
      <c r="I173" s="13"/>
      <c r="J173" s="17">
        <v>2008</v>
      </c>
      <c r="K173" s="20" t="s">
        <v>27</v>
      </c>
      <c r="L173" s="4" t="s">
        <v>24</v>
      </c>
      <c r="M173" s="4" t="s">
        <v>21</v>
      </c>
      <c r="N173" s="4"/>
      <c r="O173" s="4"/>
    </row>
    <row r="174" spans="2:15">
      <c r="B174" s="15"/>
      <c r="C174" s="25"/>
      <c r="D174" s="24" t="s">
        <v>258</v>
      </c>
      <c r="E174" s="11">
        <v>0.9</v>
      </c>
      <c r="F174" s="12"/>
      <c r="G174" s="12"/>
      <c r="H174" s="12"/>
      <c r="I174" s="13"/>
      <c r="J174" s="17">
        <v>2004</v>
      </c>
      <c r="K174" s="20" t="s">
        <v>27</v>
      </c>
      <c r="L174" s="4" t="s">
        <v>259</v>
      </c>
      <c r="M174" s="4" t="s">
        <v>51</v>
      </c>
      <c r="N174" s="4"/>
      <c r="O174" s="4"/>
    </row>
    <row r="175" spans="2:15">
      <c r="B175" s="15"/>
      <c r="C175" s="25"/>
      <c r="D175" s="24" t="s">
        <v>260</v>
      </c>
      <c r="E175" s="11">
        <v>1.2</v>
      </c>
      <c r="F175" s="12"/>
      <c r="G175" s="12"/>
      <c r="H175" s="12">
        <v>1.9</v>
      </c>
      <c r="I175" s="13">
        <v>0.5</v>
      </c>
      <c r="J175" s="17">
        <v>2018</v>
      </c>
      <c r="K175" s="20" t="s">
        <v>27</v>
      </c>
      <c r="L175" s="4" t="s">
        <v>24</v>
      </c>
      <c r="M175" s="4" t="s">
        <v>21</v>
      </c>
      <c r="N175" s="4"/>
      <c r="O175" s="4"/>
    </row>
    <row r="176" spans="2:15">
      <c r="B176" s="15"/>
      <c r="C176" s="25"/>
      <c r="D176" s="24" t="s">
        <v>260</v>
      </c>
      <c r="E176" s="11">
        <v>0.3</v>
      </c>
      <c r="F176" s="12"/>
      <c r="G176" s="12"/>
      <c r="H176" s="12">
        <v>0.4</v>
      </c>
      <c r="I176" s="13">
        <v>0.3</v>
      </c>
      <c r="J176" s="17">
        <v>2013</v>
      </c>
      <c r="K176" s="20" t="s">
        <v>27</v>
      </c>
      <c r="L176" s="4" t="s">
        <v>249</v>
      </c>
      <c r="M176" s="4" t="s">
        <v>21</v>
      </c>
      <c r="N176" s="4"/>
      <c r="O176" s="4"/>
    </row>
    <row r="177" spans="2:15">
      <c r="B177" s="15"/>
      <c r="C177" s="25"/>
      <c r="D177" s="24" t="s">
        <v>260</v>
      </c>
      <c r="E177" s="11">
        <v>0.6</v>
      </c>
      <c r="F177" s="12"/>
      <c r="G177" s="12"/>
      <c r="H177" s="12">
        <v>1</v>
      </c>
      <c r="I177" s="13">
        <v>0.3</v>
      </c>
      <c r="J177" s="17">
        <v>2008</v>
      </c>
      <c r="K177" s="20" t="s">
        <v>27</v>
      </c>
      <c r="L177" s="4" t="s">
        <v>24</v>
      </c>
      <c r="M177" s="4" t="s">
        <v>21</v>
      </c>
      <c r="N177" s="4"/>
      <c r="O177" s="4"/>
    </row>
    <row r="178" spans="2:15">
      <c r="B178" s="15"/>
      <c r="C178" s="25"/>
      <c r="D178" s="24" t="s">
        <v>260</v>
      </c>
      <c r="E178" s="11">
        <v>1.1200000000000001</v>
      </c>
      <c r="F178" s="12"/>
      <c r="G178" s="12"/>
      <c r="H178" s="12"/>
      <c r="I178" s="13"/>
      <c r="J178" s="17">
        <v>2007</v>
      </c>
      <c r="K178" s="20" t="s">
        <v>27</v>
      </c>
      <c r="L178" s="4" t="s">
        <v>241</v>
      </c>
      <c r="M178" s="4" t="s">
        <v>74</v>
      </c>
      <c r="N178" s="4" t="s">
        <v>246</v>
      </c>
      <c r="O178" s="4"/>
    </row>
    <row r="179" spans="2:15">
      <c r="B179" s="15"/>
      <c r="C179" s="25"/>
      <c r="D179" s="24" t="s">
        <v>262</v>
      </c>
      <c r="E179" s="11">
        <v>0.9</v>
      </c>
      <c r="F179" s="12"/>
      <c r="G179" s="12"/>
      <c r="H179" s="12">
        <v>1.5</v>
      </c>
      <c r="I179" s="13">
        <v>0.3</v>
      </c>
      <c r="J179" s="17">
        <v>2022</v>
      </c>
      <c r="K179" s="20" t="s">
        <v>27</v>
      </c>
      <c r="L179" s="4" t="s">
        <v>38</v>
      </c>
      <c r="M179" s="4" t="s">
        <v>51</v>
      </c>
      <c r="N179" s="4"/>
      <c r="O179" s="4"/>
    </row>
    <row r="180" spans="2:15">
      <c r="B180" s="15"/>
      <c r="C180" s="25"/>
      <c r="D180" s="24" t="s">
        <v>262</v>
      </c>
      <c r="E180" s="11">
        <v>0.3</v>
      </c>
      <c r="F180" s="12"/>
      <c r="G180" s="12"/>
      <c r="H180" s="12">
        <v>0.5</v>
      </c>
      <c r="I180" s="13">
        <v>0.1</v>
      </c>
      <c r="J180" s="17">
        <v>2019</v>
      </c>
      <c r="K180" s="20" t="s">
        <v>27</v>
      </c>
      <c r="L180" s="4" t="s">
        <v>24</v>
      </c>
      <c r="M180" s="4" t="s">
        <v>21</v>
      </c>
      <c r="N180" s="4"/>
      <c r="O180" s="4"/>
    </row>
    <row r="181" spans="2:15">
      <c r="B181" s="15"/>
      <c r="C181" s="25"/>
      <c r="D181" s="24" t="s">
        <v>262</v>
      </c>
      <c r="E181" s="11">
        <v>0.1</v>
      </c>
      <c r="F181" s="12"/>
      <c r="G181" s="12"/>
      <c r="H181" s="12">
        <v>0.1</v>
      </c>
      <c r="I181" s="13">
        <v>0.1</v>
      </c>
      <c r="J181" s="17">
        <v>2016</v>
      </c>
      <c r="K181" s="20" t="s">
        <v>27</v>
      </c>
      <c r="L181" s="4" t="s">
        <v>24</v>
      </c>
      <c r="M181" s="4" t="s">
        <v>21</v>
      </c>
      <c r="N181" s="4"/>
      <c r="O181" s="4"/>
    </row>
    <row r="182" spans="2:15">
      <c r="B182" s="15"/>
      <c r="C182" s="25"/>
      <c r="D182" s="24" t="s">
        <v>262</v>
      </c>
      <c r="E182" s="11">
        <v>0.3</v>
      </c>
      <c r="F182" s="12"/>
      <c r="G182" s="12"/>
      <c r="H182" s="12">
        <v>0.5</v>
      </c>
      <c r="I182" s="13">
        <v>0.1</v>
      </c>
      <c r="J182" s="17">
        <v>2012</v>
      </c>
      <c r="K182" s="20" t="s">
        <v>27</v>
      </c>
      <c r="L182" s="4" t="s">
        <v>24</v>
      </c>
      <c r="M182" s="4" t="s">
        <v>21</v>
      </c>
      <c r="N182" s="4"/>
      <c r="O182" s="4"/>
    </row>
    <row r="183" spans="2:15">
      <c r="B183" s="15"/>
      <c r="C183" s="25"/>
      <c r="D183" s="24" t="s">
        <v>262</v>
      </c>
      <c r="E183" s="11">
        <v>0.6</v>
      </c>
      <c r="F183" s="12"/>
      <c r="G183" s="12"/>
      <c r="H183" s="12">
        <v>1</v>
      </c>
      <c r="I183" s="13">
        <v>0.2</v>
      </c>
      <c r="J183" s="17">
        <v>2009</v>
      </c>
      <c r="K183" s="20" t="s">
        <v>27</v>
      </c>
      <c r="L183" s="4" t="s">
        <v>24</v>
      </c>
      <c r="M183" s="4" t="s">
        <v>21</v>
      </c>
      <c r="N183" s="4"/>
      <c r="O183" s="4"/>
    </row>
    <row r="184" spans="2:15">
      <c r="B184" s="15"/>
      <c r="C184" s="25"/>
      <c r="D184" s="24" t="s">
        <v>262</v>
      </c>
      <c r="E184" s="11">
        <v>1</v>
      </c>
      <c r="F184" s="12"/>
      <c r="G184" s="12"/>
      <c r="H184" s="12">
        <v>1.8</v>
      </c>
      <c r="I184" s="13">
        <v>0.2</v>
      </c>
      <c r="J184" s="17">
        <v>2006</v>
      </c>
      <c r="K184" s="20" t="s">
        <v>27</v>
      </c>
      <c r="L184" s="4" t="s">
        <v>38</v>
      </c>
      <c r="M184" s="4"/>
      <c r="N184" s="4"/>
      <c r="O184" s="4"/>
    </row>
    <row r="185" spans="2:15">
      <c r="B185" s="15"/>
      <c r="C185" s="25"/>
      <c r="D185" s="24" t="s">
        <v>263</v>
      </c>
      <c r="E185" s="11">
        <v>3.4</v>
      </c>
      <c r="F185" s="12"/>
      <c r="G185" s="12"/>
      <c r="H185" s="12">
        <v>4.0999999999999996</v>
      </c>
      <c r="I185" s="13">
        <v>2.5</v>
      </c>
      <c r="J185" s="17">
        <v>2022</v>
      </c>
      <c r="K185" s="20" t="s">
        <v>27</v>
      </c>
      <c r="L185" s="4" t="s">
        <v>24</v>
      </c>
      <c r="M185" s="4" t="s">
        <v>51</v>
      </c>
      <c r="N185" s="4"/>
      <c r="O185" s="4"/>
    </row>
    <row r="186" spans="2:15">
      <c r="B186" s="15"/>
      <c r="C186" s="25"/>
      <c r="D186" s="24" t="s">
        <v>263</v>
      </c>
      <c r="E186" s="11">
        <v>0.6</v>
      </c>
      <c r="F186" s="12"/>
      <c r="G186" s="12"/>
      <c r="H186" s="12">
        <v>0.8</v>
      </c>
      <c r="I186" s="13">
        <v>0.2</v>
      </c>
      <c r="J186" s="17">
        <v>2021</v>
      </c>
      <c r="K186" s="20" t="s">
        <v>27</v>
      </c>
      <c r="L186" s="4" t="s">
        <v>24</v>
      </c>
      <c r="M186" s="4" t="s">
        <v>21</v>
      </c>
      <c r="N186" s="4"/>
      <c r="O186" s="4"/>
    </row>
    <row r="187" spans="2:15">
      <c r="B187" s="15"/>
      <c r="C187" s="25"/>
      <c r="D187" s="24" t="s">
        <v>263</v>
      </c>
      <c r="E187" s="11">
        <v>1.9</v>
      </c>
      <c r="F187" s="12"/>
      <c r="G187" s="12"/>
      <c r="H187" s="12">
        <v>2.5</v>
      </c>
      <c r="I187" s="13">
        <v>1.1000000000000001</v>
      </c>
      <c r="J187" s="17">
        <v>2020</v>
      </c>
      <c r="K187" s="20" t="s">
        <v>27</v>
      </c>
      <c r="L187" s="4" t="s">
        <v>24</v>
      </c>
      <c r="M187" s="4" t="s">
        <v>21</v>
      </c>
      <c r="N187" s="4"/>
      <c r="O187" s="4"/>
    </row>
    <row r="188" spans="2:15">
      <c r="B188" s="15"/>
      <c r="C188" s="25"/>
      <c r="D188" s="24" t="s">
        <v>263</v>
      </c>
      <c r="E188" s="11">
        <v>1.5</v>
      </c>
      <c r="F188" s="12"/>
      <c r="G188" s="12"/>
      <c r="H188" s="12">
        <v>1.7</v>
      </c>
      <c r="I188" s="13">
        <v>1.2</v>
      </c>
      <c r="J188" s="17">
        <v>2019</v>
      </c>
      <c r="K188" s="20" t="s">
        <v>27</v>
      </c>
      <c r="L188" s="4" t="s">
        <v>24</v>
      </c>
      <c r="M188" s="4" t="s">
        <v>21</v>
      </c>
      <c r="N188" s="4"/>
      <c r="O188" s="4"/>
    </row>
    <row r="189" spans="2:15">
      <c r="B189" s="15"/>
      <c r="C189" s="25"/>
      <c r="D189" s="24" t="s">
        <v>263</v>
      </c>
      <c r="E189" s="11">
        <v>0.9</v>
      </c>
      <c r="F189" s="12"/>
      <c r="G189" s="12"/>
      <c r="H189" s="12">
        <v>1.1000000000000001</v>
      </c>
      <c r="I189" s="13">
        <v>0.7</v>
      </c>
      <c r="J189" s="17">
        <v>2018</v>
      </c>
      <c r="K189" s="20" t="s">
        <v>27</v>
      </c>
      <c r="L189" s="4" t="s">
        <v>24</v>
      </c>
      <c r="M189" s="4" t="s">
        <v>21</v>
      </c>
      <c r="N189" s="4"/>
      <c r="O189" s="4"/>
    </row>
    <row r="190" spans="2:15">
      <c r="B190" s="15"/>
      <c r="C190" s="25"/>
      <c r="D190" s="24" t="s">
        <v>263</v>
      </c>
      <c r="E190" s="11">
        <v>0.8</v>
      </c>
      <c r="F190" s="12"/>
      <c r="G190" s="12"/>
      <c r="H190" s="12">
        <v>1.3</v>
      </c>
      <c r="I190" s="13">
        <v>0.3</v>
      </c>
      <c r="J190" s="17">
        <v>2017</v>
      </c>
      <c r="K190" s="20" t="s">
        <v>27</v>
      </c>
      <c r="L190" s="4" t="s">
        <v>249</v>
      </c>
      <c r="M190" s="4" t="s">
        <v>21</v>
      </c>
      <c r="N190" s="4"/>
      <c r="O190" s="4"/>
    </row>
    <row r="191" spans="2:15">
      <c r="B191" s="15"/>
      <c r="C191" s="25"/>
      <c r="D191" s="24" t="s">
        <v>263</v>
      </c>
      <c r="E191" s="11">
        <v>1.6</v>
      </c>
      <c r="F191" s="12"/>
      <c r="G191" s="12"/>
      <c r="H191" s="12">
        <v>2.4</v>
      </c>
      <c r="I191" s="13">
        <v>0.9</v>
      </c>
      <c r="J191" s="17">
        <v>2016</v>
      </c>
      <c r="K191" s="20" t="s">
        <v>27</v>
      </c>
      <c r="L191" s="4" t="s">
        <v>24</v>
      </c>
      <c r="M191" s="4" t="s">
        <v>21</v>
      </c>
      <c r="N191" s="4"/>
      <c r="O191" s="4"/>
    </row>
    <row r="192" spans="2:15">
      <c r="B192" s="15"/>
      <c r="C192" s="25"/>
      <c r="D192" s="24" t="s">
        <v>263</v>
      </c>
      <c r="E192" s="11">
        <v>1.3</v>
      </c>
      <c r="F192" s="12"/>
      <c r="G192" s="12"/>
      <c r="H192" s="12">
        <v>1.6</v>
      </c>
      <c r="I192" s="13">
        <v>1</v>
      </c>
      <c r="J192" s="17">
        <v>2015</v>
      </c>
      <c r="K192" s="20" t="s">
        <v>27</v>
      </c>
      <c r="L192" s="4" t="s">
        <v>24</v>
      </c>
      <c r="M192" s="4" t="s">
        <v>21</v>
      </c>
      <c r="N192" s="4"/>
      <c r="O192" s="4"/>
    </row>
    <row r="193" spans="2:15">
      <c r="B193" s="15"/>
      <c r="C193" s="25"/>
      <c r="D193" s="24" t="s">
        <v>263</v>
      </c>
      <c r="E193" s="11">
        <v>1.6</v>
      </c>
      <c r="F193" s="12"/>
      <c r="G193" s="12"/>
      <c r="H193" s="12">
        <v>2.2999999999999998</v>
      </c>
      <c r="I193" s="13">
        <v>0.9</v>
      </c>
      <c r="J193" s="17">
        <v>2014</v>
      </c>
      <c r="K193" s="20" t="s">
        <v>27</v>
      </c>
      <c r="L193" s="4" t="s">
        <v>24</v>
      </c>
      <c r="M193" s="4" t="s">
        <v>21</v>
      </c>
      <c r="N193" s="4"/>
      <c r="O193" s="4"/>
    </row>
    <row r="194" spans="2:15">
      <c r="B194" s="15"/>
      <c r="C194" s="25"/>
      <c r="D194" s="24" t="s">
        <v>263</v>
      </c>
      <c r="E194" s="11">
        <v>1.1000000000000001</v>
      </c>
      <c r="F194" s="12"/>
      <c r="G194" s="12"/>
      <c r="H194" s="12">
        <v>1.2</v>
      </c>
      <c r="I194" s="13">
        <v>0.9</v>
      </c>
      <c r="J194" s="17">
        <v>2013</v>
      </c>
      <c r="K194" s="20" t="s">
        <v>27</v>
      </c>
      <c r="L194" s="4" t="s">
        <v>24</v>
      </c>
      <c r="M194" s="4" t="s">
        <v>21</v>
      </c>
      <c r="N194" s="4"/>
      <c r="O194" s="4"/>
    </row>
    <row r="195" spans="2:15">
      <c r="B195" s="15"/>
      <c r="C195" s="25"/>
      <c r="D195" s="24" t="s">
        <v>263</v>
      </c>
      <c r="E195" s="11">
        <v>0.6</v>
      </c>
      <c r="F195" s="12"/>
      <c r="G195" s="12"/>
      <c r="H195" s="12">
        <v>0.7</v>
      </c>
      <c r="I195" s="13">
        <v>0.5</v>
      </c>
      <c r="J195" s="17">
        <v>2012</v>
      </c>
      <c r="K195" s="20" t="s">
        <v>27</v>
      </c>
      <c r="L195" s="4" t="s">
        <v>24</v>
      </c>
      <c r="M195" s="4" t="s">
        <v>21</v>
      </c>
      <c r="N195" s="4"/>
      <c r="O195" s="4"/>
    </row>
    <row r="196" spans="2:15">
      <c r="B196" s="15"/>
      <c r="C196" s="25"/>
      <c r="D196" s="24" t="s">
        <v>263</v>
      </c>
      <c r="E196" s="11">
        <v>2.2000000000000002</v>
      </c>
      <c r="F196" s="12"/>
      <c r="G196" s="12"/>
      <c r="H196" s="12"/>
      <c r="I196" s="13"/>
      <c r="J196" s="17">
        <v>2010</v>
      </c>
      <c r="K196" s="20" t="s">
        <v>27</v>
      </c>
      <c r="L196" s="4" t="s">
        <v>24</v>
      </c>
      <c r="M196" s="4" t="s">
        <v>21</v>
      </c>
      <c r="N196" s="4"/>
      <c r="O196" s="4"/>
    </row>
    <row r="197" spans="2:15">
      <c r="B197" s="15"/>
      <c r="C197" s="25"/>
      <c r="D197" s="24" t="s">
        <v>263</v>
      </c>
      <c r="E197" s="11">
        <v>3.6</v>
      </c>
      <c r="F197" s="12"/>
      <c r="G197" s="12"/>
      <c r="H197" s="12"/>
      <c r="I197" s="13"/>
      <c r="J197" s="17">
        <v>2008</v>
      </c>
      <c r="K197" s="20" t="s">
        <v>27</v>
      </c>
      <c r="L197" s="4" t="s">
        <v>36</v>
      </c>
      <c r="M197" s="4" t="s">
        <v>51</v>
      </c>
      <c r="N197" s="4"/>
      <c r="O197" s="4"/>
    </row>
    <row r="198" spans="2:15">
      <c r="B198" s="15"/>
      <c r="C198" s="25"/>
      <c r="D198" s="24" t="s">
        <v>264</v>
      </c>
      <c r="E198" s="11">
        <v>0.6</v>
      </c>
      <c r="F198" s="12"/>
      <c r="G198" s="12"/>
      <c r="H198" s="12">
        <v>0.9</v>
      </c>
      <c r="I198" s="13">
        <v>0.3</v>
      </c>
      <c r="J198" s="17">
        <v>2023</v>
      </c>
      <c r="K198" s="20" t="s">
        <v>265</v>
      </c>
      <c r="L198" s="4" t="s">
        <v>266</v>
      </c>
      <c r="M198" s="4" t="s">
        <v>51</v>
      </c>
      <c r="N198" s="4"/>
      <c r="O198" s="4"/>
    </row>
    <row r="199" spans="2:15">
      <c r="B199" s="15"/>
      <c r="C199" s="25"/>
      <c r="D199" s="24" t="s">
        <v>264</v>
      </c>
      <c r="E199" s="11">
        <v>0.5</v>
      </c>
      <c r="F199" s="12"/>
      <c r="G199" s="12"/>
      <c r="H199" s="12">
        <v>0.7</v>
      </c>
      <c r="I199" s="13">
        <v>0.4</v>
      </c>
      <c r="J199" s="17">
        <v>2021</v>
      </c>
      <c r="K199" s="20" t="s">
        <v>27</v>
      </c>
      <c r="L199" s="4" t="s">
        <v>249</v>
      </c>
      <c r="M199" s="4" t="s">
        <v>21</v>
      </c>
      <c r="N199" s="4"/>
      <c r="O199" s="4"/>
    </row>
    <row r="200" spans="2:15">
      <c r="B200" s="15"/>
      <c r="C200" s="25"/>
      <c r="D200" s="24" t="s">
        <v>264</v>
      </c>
      <c r="E200" s="11">
        <v>0.5</v>
      </c>
      <c r="F200" s="12"/>
      <c r="G200" s="12"/>
      <c r="H200" s="12">
        <v>0.8</v>
      </c>
      <c r="I200" s="13">
        <v>0.3</v>
      </c>
      <c r="J200" s="17">
        <v>2017</v>
      </c>
      <c r="K200" s="20" t="s">
        <v>265</v>
      </c>
      <c r="L200" s="4" t="s">
        <v>24</v>
      </c>
      <c r="M200" s="4" t="s">
        <v>21</v>
      </c>
      <c r="N200" s="4"/>
      <c r="O200" s="4"/>
    </row>
    <row r="201" spans="2:15">
      <c r="B201" s="15"/>
      <c r="C201" s="25"/>
      <c r="D201" s="24" t="s">
        <v>264</v>
      </c>
      <c r="E201" s="11">
        <v>0.2</v>
      </c>
      <c r="F201" s="12"/>
      <c r="G201" s="12"/>
      <c r="H201" s="12">
        <v>0.4</v>
      </c>
      <c r="I201" s="13">
        <v>0.1</v>
      </c>
      <c r="J201" s="17">
        <v>2013</v>
      </c>
      <c r="K201" s="20" t="s">
        <v>265</v>
      </c>
      <c r="L201" s="4" t="s">
        <v>24</v>
      </c>
      <c r="M201" s="4" t="s">
        <v>21</v>
      </c>
      <c r="N201" s="4"/>
      <c r="O201" s="4"/>
    </row>
    <row r="202" spans="2:15">
      <c r="B202" s="15"/>
      <c r="C202" s="25"/>
      <c r="D202" s="24" t="s">
        <v>264</v>
      </c>
      <c r="E202" s="11">
        <v>0.3</v>
      </c>
      <c r="F202" s="12"/>
      <c r="G202" s="12"/>
      <c r="H202" s="12"/>
      <c r="I202" s="13"/>
      <c r="J202" s="17">
        <v>2010</v>
      </c>
      <c r="K202" s="20" t="s">
        <v>265</v>
      </c>
      <c r="L202" s="4" t="s">
        <v>24</v>
      </c>
      <c r="M202" s="4" t="s">
        <v>21</v>
      </c>
      <c r="N202" s="4"/>
      <c r="O202" s="4"/>
    </row>
    <row r="203" spans="2:15">
      <c r="B203" s="15"/>
      <c r="C203" s="25"/>
      <c r="D203" s="24" t="s">
        <v>264</v>
      </c>
      <c r="E203" s="11">
        <v>0.4</v>
      </c>
      <c r="F203" s="12"/>
      <c r="G203" s="12"/>
      <c r="H203" s="12"/>
      <c r="I203" s="13"/>
      <c r="J203" s="17">
        <v>2008</v>
      </c>
      <c r="K203" s="20" t="s">
        <v>265</v>
      </c>
      <c r="L203" s="4" t="s">
        <v>38</v>
      </c>
      <c r="M203" s="4" t="s">
        <v>51</v>
      </c>
      <c r="N203" s="4"/>
      <c r="O203" s="4"/>
    </row>
    <row r="204" spans="2:15">
      <c r="B204" s="15"/>
      <c r="C204" s="25"/>
      <c r="D204" s="24" t="s">
        <v>267</v>
      </c>
      <c r="E204" s="11">
        <v>0.98</v>
      </c>
      <c r="F204" s="12"/>
      <c r="G204" s="12"/>
      <c r="H204" s="12">
        <v>1.54</v>
      </c>
      <c r="I204" s="13">
        <v>0.6</v>
      </c>
      <c r="J204" s="17">
        <v>2018</v>
      </c>
      <c r="K204" s="20" t="s">
        <v>265</v>
      </c>
      <c r="L204" s="4" t="s">
        <v>24</v>
      </c>
      <c r="M204" s="4" t="s">
        <v>21</v>
      </c>
      <c r="N204" s="4"/>
      <c r="O204" s="4" t="s">
        <v>489</v>
      </c>
    </row>
    <row r="205" spans="2:15">
      <c r="B205" s="15"/>
      <c r="C205" s="25"/>
      <c r="D205" s="24" t="s">
        <v>267</v>
      </c>
      <c r="E205" s="11">
        <v>1.2</v>
      </c>
      <c r="F205" s="12"/>
      <c r="G205" s="12"/>
      <c r="H205" s="12">
        <v>1.6</v>
      </c>
      <c r="I205" s="13">
        <v>0.8</v>
      </c>
      <c r="J205" s="17">
        <v>2008</v>
      </c>
      <c r="K205" s="20" t="s">
        <v>27</v>
      </c>
      <c r="L205" s="4" t="s">
        <v>24</v>
      </c>
      <c r="M205" s="4" t="s">
        <v>21</v>
      </c>
      <c r="N205" s="4"/>
      <c r="O205" s="4"/>
    </row>
    <row r="206" spans="2:15">
      <c r="B206" s="15"/>
      <c r="C206" s="25"/>
      <c r="D206" s="24" t="s">
        <v>267</v>
      </c>
      <c r="E206" s="11">
        <v>1.7</v>
      </c>
      <c r="F206" s="12"/>
      <c r="G206" s="12"/>
      <c r="H206" s="12"/>
      <c r="I206" s="13"/>
      <c r="J206" s="17">
        <v>2003</v>
      </c>
      <c r="K206" s="20" t="s">
        <v>27</v>
      </c>
      <c r="L206" s="4" t="s">
        <v>38</v>
      </c>
      <c r="M206" s="4" t="s">
        <v>51</v>
      </c>
      <c r="N206" s="4"/>
      <c r="O206" s="4"/>
    </row>
    <row r="207" spans="2:15">
      <c r="B207" s="15"/>
      <c r="C207" s="25"/>
      <c r="D207" s="24" t="s">
        <v>268</v>
      </c>
      <c r="E207" s="11">
        <v>1.3</v>
      </c>
      <c r="F207" s="12"/>
      <c r="G207" s="12"/>
      <c r="H207" s="12">
        <v>1.6</v>
      </c>
      <c r="I207" s="13">
        <v>1</v>
      </c>
      <c r="J207" s="17">
        <v>2022</v>
      </c>
      <c r="K207" s="20" t="s">
        <v>27</v>
      </c>
      <c r="L207" s="4" t="s">
        <v>24</v>
      </c>
      <c r="M207" s="4" t="s">
        <v>21</v>
      </c>
      <c r="N207" s="4"/>
      <c r="O207" s="4" t="s">
        <v>489</v>
      </c>
    </row>
    <row r="208" spans="2:15">
      <c r="B208" s="15"/>
      <c r="C208" s="25"/>
      <c r="D208" s="24" t="s">
        <v>268</v>
      </c>
      <c r="E208" s="11">
        <v>1.4</v>
      </c>
      <c r="F208" s="12"/>
      <c r="G208" s="12"/>
      <c r="H208" s="12">
        <v>1.9</v>
      </c>
      <c r="I208" s="13">
        <v>0.8</v>
      </c>
      <c r="J208" s="17">
        <v>2018</v>
      </c>
      <c r="K208" s="20" t="s">
        <v>27</v>
      </c>
      <c r="L208" s="4" t="s">
        <v>24</v>
      </c>
      <c r="M208" s="4" t="s">
        <v>21</v>
      </c>
      <c r="N208" s="4"/>
      <c r="O208" s="4"/>
    </row>
    <row r="209" spans="2:15">
      <c r="B209" s="15"/>
      <c r="C209" s="25"/>
      <c r="D209" s="24" t="s">
        <v>268</v>
      </c>
      <c r="E209" s="11">
        <v>1.1000000000000001</v>
      </c>
      <c r="F209" s="12"/>
      <c r="G209" s="12"/>
      <c r="H209" s="12">
        <v>1.6</v>
      </c>
      <c r="I209" s="13">
        <v>0.5</v>
      </c>
      <c r="J209" s="17">
        <v>2014</v>
      </c>
      <c r="K209" s="20" t="s">
        <v>27</v>
      </c>
      <c r="L209" s="4" t="s">
        <v>24</v>
      </c>
      <c r="M209" s="4" t="s">
        <v>21</v>
      </c>
      <c r="N209" s="4"/>
      <c r="O209" s="4"/>
    </row>
    <row r="210" spans="2:15">
      <c r="B210" s="15"/>
      <c r="C210" s="25"/>
      <c r="D210" s="24" t="s">
        <v>268</v>
      </c>
      <c r="E210" s="11">
        <v>0.4</v>
      </c>
      <c r="F210" s="12"/>
      <c r="G210" s="12"/>
      <c r="H210" s="12">
        <v>0.6</v>
      </c>
      <c r="I210" s="13">
        <v>0.2</v>
      </c>
      <c r="J210" s="17">
        <v>2010</v>
      </c>
      <c r="K210" s="20" t="s">
        <v>27</v>
      </c>
      <c r="L210" s="4" t="s">
        <v>24</v>
      </c>
      <c r="M210" s="4" t="s">
        <v>21</v>
      </c>
      <c r="N210" s="4"/>
      <c r="O210" s="4"/>
    </row>
    <row r="211" spans="2:15">
      <c r="B211" s="15"/>
      <c r="C211" s="25"/>
      <c r="D211" s="24" t="s">
        <v>268</v>
      </c>
      <c r="E211" s="11">
        <v>0.5</v>
      </c>
      <c r="F211" s="12"/>
      <c r="G211" s="12"/>
      <c r="H211" s="12"/>
      <c r="I211" s="13"/>
      <c r="J211" s="17">
        <v>2006</v>
      </c>
      <c r="K211" s="20" t="s">
        <v>27</v>
      </c>
      <c r="L211" s="4" t="s">
        <v>38</v>
      </c>
      <c r="M211" s="4"/>
      <c r="N211" s="4"/>
      <c r="O211" s="4"/>
    </row>
    <row r="212" spans="2:15">
      <c r="B212" s="15"/>
      <c r="C212" s="25"/>
      <c r="D212" s="24" t="s">
        <v>269</v>
      </c>
      <c r="E212" s="11">
        <v>1.8</v>
      </c>
      <c r="F212" s="12"/>
      <c r="G212" s="12"/>
      <c r="H212" s="12">
        <v>2.4</v>
      </c>
      <c r="I212" s="13">
        <v>1.3</v>
      </c>
      <c r="J212" s="17">
        <v>2023</v>
      </c>
      <c r="K212" s="20" t="s">
        <v>144</v>
      </c>
      <c r="L212" s="4" t="s">
        <v>24</v>
      </c>
      <c r="M212" s="4" t="s">
        <v>51</v>
      </c>
      <c r="N212" s="4"/>
      <c r="O212" s="4" t="s">
        <v>489</v>
      </c>
    </row>
    <row r="213" spans="2:15">
      <c r="B213" s="15"/>
      <c r="C213" s="25"/>
      <c r="D213" s="24" t="s">
        <v>269</v>
      </c>
      <c r="E213" s="11">
        <v>1</v>
      </c>
      <c r="F213" s="12"/>
      <c r="G213" s="12"/>
      <c r="H213" s="12">
        <v>1.5</v>
      </c>
      <c r="I213" s="13">
        <v>0.6</v>
      </c>
      <c r="J213" s="17">
        <v>2017</v>
      </c>
      <c r="K213" s="20" t="s">
        <v>27</v>
      </c>
      <c r="L213" s="4" t="s">
        <v>24</v>
      </c>
      <c r="M213" s="4" t="s">
        <v>21</v>
      </c>
      <c r="N213" s="4"/>
      <c r="O213" s="4"/>
    </row>
    <row r="214" spans="2:15">
      <c r="B214" s="15"/>
      <c r="C214" s="25"/>
      <c r="D214" s="24" t="s">
        <v>269</v>
      </c>
      <c r="E214" s="11">
        <v>0.6</v>
      </c>
      <c r="F214" s="12"/>
      <c r="G214" s="12"/>
      <c r="H214" s="12">
        <v>0.8</v>
      </c>
      <c r="I214" s="13">
        <v>0.3</v>
      </c>
      <c r="J214" s="17">
        <v>2017</v>
      </c>
      <c r="K214" s="20" t="s">
        <v>144</v>
      </c>
      <c r="L214" s="4" t="s">
        <v>249</v>
      </c>
      <c r="M214" s="4" t="s">
        <v>21</v>
      </c>
      <c r="N214" s="4"/>
      <c r="O214" s="4"/>
    </row>
    <row r="215" spans="2:15">
      <c r="B215" s="15"/>
      <c r="C215" s="25"/>
      <c r="D215" s="24" t="s">
        <v>269</v>
      </c>
      <c r="E215" s="11">
        <v>0.9</v>
      </c>
      <c r="F215" s="12"/>
      <c r="G215" s="12"/>
      <c r="H215" s="12">
        <v>1.2</v>
      </c>
      <c r="I215" s="13">
        <v>0.6</v>
      </c>
      <c r="J215" s="17">
        <v>2014</v>
      </c>
      <c r="K215" s="20" t="s">
        <v>27</v>
      </c>
      <c r="L215" s="4" t="s">
        <v>24</v>
      </c>
      <c r="M215" s="4" t="s">
        <v>21</v>
      </c>
      <c r="N215" s="4"/>
      <c r="O215" s="4"/>
    </row>
    <row r="216" spans="2:15">
      <c r="B216" s="15"/>
      <c r="C216" s="25"/>
      <c r="D216" s="24" t="s">
        <v>269</v>
      </c>
      <c r="E216" s="11">
        <v>0.3</v>
      </c>
      <c r="F216" s="12"/>
      <c r="G216" s="12"/>
      <c r="H216" s="12">
        <v>0.4</v>
      </c>
      <c r="I216" s="13">
        <v>0.1</v>
      </c>
      <c r="J216" s="17">
        <v>2010</v>
      </c>
      <c r="K216" s="20" t="s">
        <v>27</v>
      </c>
      <c r="L216" s="4" t="s">
        <v>24</v>
      </c>
      <c r="M216" s="4" t="s">
        <v>21</v>
      </c>
      <c r="N216" s="4"/>
      <c r="O216" s="4"/>
    </row>
    <row r="217" spans="2:15">
      <c r="B217" s="15"/>
      <c r="C217" s="25"/>
      <c r="D217" s="24" t="s">
        <v>269</v>
      </c>
      <c r="E217" s="11">
        <v>0.5</v>
      </c>
      <c r="F217" s="12"/>
      <c r="G217" s="12"/>
      <c r="H217" s="12"/>
      <c r="I217" s="13"/>
      <c r="J217" s="17">
        <v>2005</v>
      </c>
      <c r="K217" s="20" t="s">
        <v>27</v>
      </c>
      <c r="L217" s="4" t="s">
        <v>38</v>
      </c>
      <c r="M217" s="4"/>
      <c r="N217" s="4"/>
      <c r="O217" s="4"/>
    </row>
    <row r="218" spans="2:15">
      <c r="B218" s="15"/>
      <c r="C218" s="25"/>
      <c r="D218" s="24" t="s">
        <v>270</v>
      </c>
      <c r="E218" s="11">
        <v>1</v>
      </c>
      <c r="F218" s="12"/>
      <c r="G218" s="12"/>
      <c r="H218" s="12">
        <v>1.4</v>
      </c>
      <c r="I218" s="13">
        <v>0.7</v>
      </c>
      <c r="J218" s="17">
        <v>2021</v>
      </c>
      <c r="K218" s="20" t="s">
        <v>144</v>
      </c>
      <c r="L218" s="4" t="s">
        <v>24</v>
      </c>
      <c r="M218" s="4" t="s">
        <v>21</v>
      </c>
      <c r="N218" s="4"/>
      <c r="O218" s="4"/>
    </row>
    <row r="219" spans="2:15">
      <c r="B219" s="15"/>
      <c r="C219" s="25"/>
      <c r="D219" s="24" t="s">
        <v>270</v>
      </c>
      <c r="E219" s="11">
        <v>1.08</v>
      </c>
      <c r="F219" s="12"/>
      <c r="G219" s="12"/>
      <c r="H219" s="12">
        <v>1.18</v>
      </c>
      <c r="I219" s="13">
        <v>0.97</v>
      </c>
      <c r="J219" s="17">
        <v>2018</v>
      </c>
      <c r="K219" s="20" t="s">
        <v>144</v>
      </c>
      <c r="L219" s="4" t="s">
        <v>24</v>
      </c>
      <c r="M219" s="4" t="s">
        <v>21</v>
      </c>
      <c r="N219" s="4"/>
      <c r="O219" s="4"/>
    </row>
    <row r="220" spans="2:15">
      <c r="B220" s="15"/>
      <c r="C220" s="25"/>
      <c r="D220" s="24" t="s">
        <v>270</v>
      </c>
      <c r="E220" s="11">
        <v>0.6</v>
      </c>
      <c r="F220" s="12">
        <v>0.5</v>
      </c>
      <c r="G220" s="12">
        <v>0.9</v>
      </c>
      <c r="H220" s="12">
        <v>0.7</v>
      </c>
      <c r="I220" s="13">
        <v>0.6</v>
      </c>
      <c r="J220" s="17">
        <v>2015</v>
      </c>
      <c r="K220" s="20" t="s">
        <v>144</v>
      </c>
      <c r="L220" s="4" t="s">
        <v>271</v>
      </c>
      <c r="M220" s="4" t="s">
        <v>21</v>
      </c>
      <c r="N220" s="4"/>
      <c r="O220" s="4"/>
    </row>
    <row r="221" spans="2:15">
      <c r="B221" s="15"/>
      <c r="C221" s="25"/>
      <c r="D221" s="24" t="s">
        <v>270</v>
      </c>
      <c r="E221" s="11">
        <v>0.4</v>
      </c>
      <c r="F221" s="12"/>
      <c r="G221" s="12"/>
      <c r="H221" s="12">
        <v>0.7</v>
      </c>
      <c r="I221" s="13">
        <v>0.1</v>
      </c>
      <c r="J221" s="17">
        <v>2012</v>
      </c>
      <c r="K221" s="20" t="s">
        <v>144</v>
      </c>
      <c r="L221" s="4" t="s">
        <v>24</v>
      </c>
      <c r="M221" s="4" t="s">
        <v>21</v>
      </c>
      <c r="N221" s="4"/>
      <c r="O221" s="4"/>
    </row>
    <row r="222" spans="2:15">
      <c r="B222" s="15"/>
      <c r="C222" s="25"/>
      <c r="D222" s="24" t="s">
        <v>270</v>
      </c>
      <c r="E222" s="11">
        <v>0.4</v>
      </c>
      <c r="F222" s="12"/>
      <c r="G222" s="12"/>
      <c r="H222" s="12">
        <v>0.6</v>
      </c>
      <c r="I222" s="13">
        <v>0.2</v>
      </c>
      <c r="J222" s="17">
        <v>2009</v>
      </c>
      <c r="K222" s="20" t="s">
        <v>144</v>
      </c>
      <c r="L222" s="4" t="s">
        <v>24</v>
      </c>
      <c r="M222" s="4" t="s">
        <v>21</v>
      </c>
      <c r="N222" s="4"/>
      <c r="O222" s="4"/>
    </row>
    <row r="223" spans="2:15">
      <c r="B223" s="15"/>
      <c r="C223" s="25"/>
      <c r="D223" s="24" t="s">
        <v>270</v>
      </c>
      <c r="E223" s="11">
        <v>0.4</v>
      </c>
      <c r="F223" s="12"/>
      <c r="G223" s="12"/>
      <c r="H223" s="12"/>
      <c r="I223" s="13"/>
      <c r="J223" s="17">
        <v>2006</v>
      </c>
      <c r="K223" s="20" t="s">
        <v>144</v>
      </c>
      <c r="L223" s="4" t="s">
        <v>125</v>
      </c>
      <c r="M223" s="4" t="s">
        <v>51</v>
      </c>
      <c r="N223" s="4"/>
      <c r="O223" s="4"/>
    </row>
    <row r="224" spans="2:15">
      <c r="B224" s="15"/>
      <c r="C224" s="25"/>
      <c r="D224" s="24" t="s">
        <v>272</v>
      </c>
      <c r="E224" s="11">
        <v>0.2</v>
      </c>
      <c r="F224" s="12"/>
      <c r="G224" s="12"/>
      <c r="H224" s="12">
        <v>0.3</v>
      </c>
      <c r="I224" s="13">
        <v>0.1</v>
      </c>
      <c r="J224" s="17">
        <v>2015</v>
      </c>
      <c r="K224" s="20" t="s">
        <v>144</v>
      </c>
      <c r="L224" s="4" t="s">
        <v>24</v>
      </c>
      <c r="M224" s="4" t="s">
        <v>21</v>
      </c>
      <c r="N224" s="4"/>
      <c r="O224" s="4"/>
    </row>
    <row r="225" spans="2:15">
      <c r="B225" s="15"/>
      <c r="C225" s="25"/>
      <c r="D225" s="24" t="s">
        <v>272</v>
      </c>
      <c r="E225" s="11">
        <v>0.2</v>
      </c>
      <c r="F225" s="12"/>
      <c r="G225" s="12"/>
      <c r="H225" s="12">
        <v>0.2</v>
      </c>
      <c r="I225" s="13">
        <v>0.1</v>
      </c>
      <c r="J225" s="17">
        <v>2004</v>
      </c>
      <c r="K225" s="20" t="s">
        <v>27</v>
      </c>
      <c r="L225" s="4" t="s">
        <v>249</v>
      </c>
      <c r="M225" s="4"/>
      <c r="N225" s="4"/>
      <c r="O225" s="4"/>
    </row>
    <row r="226" spans="2:15">
      <c r="B226" s="15"/>
      <c r="C226" s="25"/>
      <c r="D226" s="24" t="s">
        <v>273</v>
      </c>
      <c r="E226" s="11">
        <v>0.6</v>
      </c>
      <c r="F226" s="12"/>
      <c r="G226" s="12"/>
      <c r="H226" s="12">
        <v>1.2</v>
      </c>
      <c r="I226" s="13">
        <v>0.3</v>
      </c>
      <c r="J226" s="17">
        <v>2019</v>
      </c>
      <c r="K226" s="20" t="s">
        <v>144</v>
      </c>
      <c r="L226" s="4" t="s">
        <v>24</v>
      </c>
      <c r="M226" s="4" t="s">
        <v>21</v>
      </c>
      <c r="N226" s="4"/>
      <c r="O226" s="4"/>
    </row>
    <row r="227" spans="2:15">
      <c r="B227" s="15"/>
      <c r="C227" s="25"/>
      <c r="D227" s="24" t="s">
        <v>273</v>
      </c>
      <c r="E227" s="11">
        <v>0.88</v>
      </c>
      <c r="F227" s="12"/>
      <c r="G227" s="12"/>
      <c r="H227" s="12">
        <v>0.99</v>
      </c>
      <c r="I227" s="13">
        <v>0.81</v>
      </c>
      <c r="J227" s="17">
        <v>2015</v>
      </c>
      <c r="K227" s="20" t="s">
        <v>144</v>
      </c>
      <c r="L227" s="4" t="s">
        <v>24</v>
      </c>
      <c r="M227" s="4" t="s">
        <v>21</v>
      </c>
      <c r="N227" s="4"/>
      <c r="O227" s="4"/>
    </row>
    <row r="228" spans="2:15">
      <c r="B228" s="15"/>
      <c r="C228" s="25"/>
      <c r="D228" s="24" t="s">
        <v>273</v>
      </c>
      <c r="E228" s="11">
        <v>0.5</v>
      </c>
      <c r="F228" s="12">
        <v>0.2</v>
      </c>
      <c r="G228" s="12">
        <v>0.8</v>
      </c>
      <c r="H228" s="12"/>
      <c r="I228" s="13"/>
      <c r="J228" s="17">
        <v>2007</v>
      </c>
      <c r="K228" s="20" t="s">
        <v>144</v>
      </c>
      <c r="L228" s="4" t="s">
        <v>24</v>
      </c>
      <c r="M228" s="4" t="s">
        <v>21</v>
      </c>
      <c r="N228" s="4"/>
      <c r="O228" s="4"/>
    </row>
    <row r="229" spans="2:15">
      <c r="B229" s="15"/>
      <c r="C229" s="25"/>
      <c r="D229" s="24" t="s">
        <v>274</v>
      </c>
      <c r="E229" s="11">
        <v>0.52</v>
      </c>
      <c r="F229" s="12">
        <v>0.37</v>
      </c>
      <c r="G229" s="12">
        <v>0.67</v>
      </c>
      <c r="H229" s="12"/>
      <c r="I229" s="13"/>
      <c r="J229" s="17">
        <v>2015</v>
      </c>
      <c r="K229" s="20" t="s">
        <v>27</v>
      </c>
      <c r="L229" s="4" t="s">
        <v>238</v>
      </c>
      <c r="M229" s="4" t="s">
        <v>44</v>
      </c>
      <c r="N229" s="4" t="s">
        <v>33</v>
      </c>
      <c r="O229" s="4"/>
    </row>
    <row r="230" spans="2:15">
      <c r="B230" s="15"/>
      <c r="C230" s="25"/>
      <c r="D230" s="24" t="s">
        <v>274</v>
      </c>
      <c r="E230" s="11">
        <v>0.57999999999999996</v>
      </c>
      <c r="F230" s="12">
        <v>0.16</v>
      </c>
      <c r="G230" s="12">
        <v>1</v>
      </c>
      <c r="H230" s="12"/>
      <c r="I230" s="13"/>
      <c r="J230" s="17">
        <v>2011</v>
      </c>
      <c r="K230" s="20" t="s">
        <v>27</v>
      </c>
      <c r="L230" s="4" t="s">
        <v>234</v>
      </c>
      <c r="M230" s="4" t="s">
        <v>44</v>
      </c>
      <c r="N230" s="4" t="s">
        <v>45</v>
      </c>
      <c r="O230" s="4"/>
    </row>
    <row r="231" spans="2:15">
      <c r="B231" s="15"/>
      <c r="C231" s="25"/>
      <c r="D231" s="24" t="s">
        <v>274</v>
      </c>
      <c r="E231" s="11">
        <v>0.5</v>
      </c>
      <c r="F231" s="12"/>
      <c r="G231" s="12"/>
      <c r="H231" s="12"/>
      <c r="I231" s="13"/>
      <c r="J231" s="17">
        <v>2007</v>
      </c>
      <c r="K231" s="20" t="s">
        <v>27</v>
      </c>
      <c r="L231" s="4" t="s">
        <v>241</v>
      </c>
      <c r="M231" s="4" t="s">
        <v>74</v>
      </c>
      <c r="N231" s="4" t="s">
        <v>75</v>
      </c>
      <c r="O231" s="4"/>
    </row>
    <row r="232" spans="2:15">
      <c r="B232" s="15"/>
      <c r="C232" s="25"/>
      <c r="D232" s="24" t="s">
        <v>276</v>
      </c>
      <c r="E232" s="11">
        <v>2.7</v>
      </c>
      <c r="F232" s="12"/>
      <c r="G232" s="12"/>
      <c r="H232" s="12">
        <v>3.9</v>
      </c>
      <c r="I232" s="13">
        <v>1.6</v>
      </c>
      <c r="J232" s="17">
        <v>2019</v>
      </c>
      <c r="K232" s="20" t="s">
        <v>27</v>
      </c>
      <c r="L232" s="4" t="s">
        <v>24</v>
      </c>
      <c r="M232" s="4" t="s">
        <v>21</v>
      </c>
      <c r="N232" s="4"/>
      <c r="O232" s="4" t="s">
        <v>489</v>
      </c>
    </row>
    <row r="233" spans="2:15">
      <c r="B233" s="15"/>
      <c r="C233" s="25"/>
      <c r="D233" s="24" t="s">
        <v>276</v>
      </c>
      <c r="E233" s="11">
        <v>2.1</v>
      </c>
      <c r="F233" s="12"/>
      <c r="G233" s="12"/>
      <c r="H233" s="12">
        <v>3.1</v>
      </c>
      <c r="I233" s="13">
        <v>1.1000000000000001</v>
      </c>
      <c r="J233" s="17">
        <v>2015</v>
      </c>
      <c r="K233" s="20" t="s">
        <v>27</v>
      </c>
      <c r="L233" s="4" t="s">
        <v>24</v>
      </c>
      <c r="M233" s="4" t="s">
        <v>21</v>
      </c>
      <c r="N233" s="4"/>
      <c r="O233" s="4" t="s">
        <v>395</v>
      </c>
    </row>
    <row r="234" spans="2:15">
      <c r="B234" s="15"/>
      <c r="C234" s="25"/>
      <c r="D234" s="24" t="s">
        <v>276</v>
      </c>
      <c r="E234" s="11">
        <v>0.5</v>
      </c>
      <c r="F234" s="12"/>
      <c r="G234" s="12"/>
      <c r="H234" s="12">
        <v>0.6</v>
      </c>
      <c r="I234" s="13">
        <v>0.3</v>
      </c>
      <c r="J234" s="17">
        <v>2011</v>
      </c>
      <c r="K234" s="20" t="s">
        <v>27</v>
      </c>
      <c r="L234" s="4" t="s">
        <v>24</v>
      </c>
      <c r="M234" s="4" t="s">
        <v>21</v>
      </c>
      <c r="N234" s="4"/>
      <c r="O234" s="4"/>
    </row>
    <row r="235" spans="2:15">
      <c r="B235" s="15"/>
      <c r="C235" s="25"/>
      <c r="D235" s="24" t="s">
        <v>276</v>
      </c>
      <c r="E235" s="11">
        <v>1.2</v>
      </c>
      <c r="F235" s="12"/>
      <c r="G235" s="12"/>
      <c r="H235" s="12"/>
      <c r="I235" s="13"/>
      <c r="J235" s="17">
        <v>2007</v>
      </c>
      <c r="K235" s="20" t="s">
        <v>27</v>
      </c>
      <c r="L235" s="4" t="s">
        <v>125</v>
      </c>
      <c r="M235" s="4"/>
      <c r="N235" s="4"/>
      <c r="O235" s="4"/>
    </row>
    <row r="236" spans="2:15">
      <c r="B236" s="15"/>
      <c r="C236" s="25"/>
      <c r="D236" s="24" t="s">
        <v>278</v>
      </c>
      <c r="E236" s="11">
        <v>0.8</v>
      </c>
      <c r="F236" s="12"/>
      <c r="G236" s="12"/>
      <c r="H236" s="12">
        <v>1.1000000000000001</v>
      </c>
      <c r="I236" s="13">
        <v>0.5</v>
      </c>
      <c r="J236" s="17">
        <v>2022</v>
      </c>
      <c r="K236" s="20" t="s">
        <v>144</v>
      </c>
      <c r="L236" s="4" t="s">
        <v>24</v>
      </c>
      <c r="M236" s="4" t="s">
        <v>21</v>
      </c>
      <c r="N236" s="4"/>
      <c r="O236" s="4"/>
    </row>
    <row r="237" spans="2:15">
      <c r="B237" s="15"/>
      <c r="C237" s="25"/>
      <c r="D237" s="24" t="s">
        <v>278</v>
      </c>
      <c r="E237" s="11">
        <v>0.35</v>
      </c>
      <c r="F237" s="12"/>
      <c r="G237" s="12"/>
      <c r="H237" s="12">
        <v>0.45</v>
      </c>
      <c r="I237" s="13">
        <v>0.26</v>
      </c>
      <c r="J237" s="17">
        <v>2017</v>
      </c>
      <c r="K237" s="20" t="s">
        <v>27</v>
      </c>
      <c r="L237" s="4" t="s">
        <v>24</v>
      </c>
      <c r="M237" s="4" t="s">
        <v>21</v>
      </c>
      <c r="N237" s="4"/>
      <c r="O237" s="4"/>
    </row>
    <row r="238" spans="2:15">
      <c r="B238" s="15"/>
      <c r="C238" s="25"/>
      <c r="D238" s="24" t="s">
        <v>278</v>
      </c>
      <c r="E238" s="11">
        <v>0.4</v>
      </c>
      <c r="F238" s="12"/>
      <c r="G238" s="12"/>
      <c r="H238" s="12">
        <v>0.6</v>
      </c>
      <c r="I238" s="13">
        <v>0.3</v>
      </c>
      <c r="J238" s="17">
        <v>2013</v>
      </c>
      <c r="K238" s="20" t="s">
        <v>27</v>
      </c>
      <c r="L238" s="4" t="s">
        <v>24</v>
      </c>
      <c r="M238" s="4" t="s">
        <v>21</v>
      </c>
      <c r="N238" s="4"/>
      <c r="O238" s="4" t="s">
        <v>490</v>
      </c>
    </row>
    <row r="239" spans="2:15">
      <c r="B239" s="15"/>
      <c r="C239" s="25"/>
      <c r="D239" s="24" t="s">
        <v>278</v>
      </c>
      <c r="E239" s="11">
        <v>0.06</v>
      </c>
      <c r="F239" s="12"/>
      <c r="G239" s="12"/>
      <c r="H239" s="12">
        <v>0.11</v>
      </c>
      <c r="I239" s="13">
        <v>0.02</v>
      </c>
      <c r="J239" s="17">
        <v>2012</v>
      </c>
      <c r="K239" s="20" t="s">
        <v>27</v>
      </c>
      <c r="L239" s="4" t="s">
        <v>24</v>
      </c>
      <c r="M239" s="4" t="s">
        <v>21</v>
      </c>
      <c r="N239" s="4"/>
      <c r="O239" s="4"/>
    </row>
    <row r="240" spans="2:15">
      <c r="B240" s="15"/>
      <c r="C240" s="25"/>
      <c r="D240" s="24" t="s">
        <v>278</v>
      </c>
      <c r="E240" s="11">
        <v>0.66</v>
      </c>
      <c r="F240" s="12">
        <v>0.7</v>
      </c>
      <c r="G240" s="12">
        <v>0.7</v>
      </c>
      <c r="H240" s="12"/>
      <c r="I240" s="13"/>
      <c r="J240" s="17">
        <v>2008</v>
      </c>
      <c r="K240" s="20" t="s">
        <v>27</v>
      </c>
      <c r="L240" s="4" t="s">
        <v>24</v>
      </c>
      <c r="M240" s="4" t="s">
        <v>21</v>
      </c>
      <c r="N240" s="4"/>
      <c r="O240" s="4"/>
    </row>
    <row r="241" spans="2:15">
      <c r="B241" s="15"/>
      <c r="C241" s="25"/>
      <c r="D241" s="24" t="s">
        <v>278</v>
      </c>
      <c r="E241" s="11">
        <v>0.5</v>
      </c>
      <c r="F241" s="12"/>
      <c r="G241" s="12"/>
      <c r="H241" s="12"/>
      <c r="I241" s="13"/>
      <c r="J241" s="17">
        <v>2005</v>
      </c>
      <c r="K241" s="20" t="s">
        <v>27</v>
      </c>
      <c r="L241" s="4" t="s">
        <v>259</v>
      </c>
      <c r="M241" s="4" t="s">
        <v>51</v>
      </c>
      <c r="N241" s="4"/>
      <c r="O241" s="4"/>
    </row>
    <row r="242" spans="2:15">
      <c r="B242" s="15"/>
      <c r="C242" s="25"/>
      <c r="D242" s="24" t="s">
        <v>280</v>
      </c>
      <c r="E242" s="11">
        <v>0.7</v>
      </c>
      <c r="F242" s="12"/>
      <c r="G242" s="12"/>
      <c r="H242" s="12">
        <v>0.9</v>
      </c>
      <c r="I242" s="13">
        <v>0.5</v>
      </c>
      <c r="J242" s="17">
        <v>2020</v>
      </c>
      <c r="K242" s="20" t="s">
        <v>27</v>
      </c>
      <c r="L242" s="4" t="s">
        <v>24</v>
      </c>
      <c r="M242" s="4" t="s">
        <v>21</v>
      </c>
      <c r="N242" s="4"/>
      <c r="O242" s="4"/>
    </row>
    <row r="243" spans="2:15">
      <c r="B243" s="15"/>
      <c r="C243" s="25"/>
      <c r="D243" s="24" t="s">
        <v>280</v>
      </c>
      <c r="E243" s="11">
        <v>0.3</v>
      </c>
      <c r="F243" s="12"/>
      <c r="G243" s="12"/>
      <c r="H243" s="12">
        <v>0.5</v>
      </c>
      <c r="I243" s="13">
        <v>0.2</v>
      </c>
      <c r="J243" s="17">
        <v>2015</v>
      </c>
      <c r="K243" s="20" t="s">
        <v>27</v>
      </c>
      <c r="L243" s="4" t="s">
        <v>24</v>
      </c>
      <c r="M243" s="4" t="s">
        <v>21</v>
      </c>
      <c r="N243" s="4"/>
      <c r="O243" s="4"/>
    </row>
    <row r="244" spans="2:15">
      <c r="B244" s="15"/>
      <c r="C244" s="25"/>
      <c r="D244" s="24" t="s">
        <v>280</v>
      </c>
      <c r="E244" s="11">
        <v>0.4</v>
      </c>
      <c r="F244" s="12"/>
      <c r="G244" s="12"/>
      <c r="H244" s="12">
        <v>0.6</v>
      </c>
      <c r="I244" s="13">
        <v>0.1</v>
      </c>
      <c r="J244" s="17">
        <v>2011</v>
      </c>
      <c r="K244" s="20" t="s">
        <v>27</v>
      </c>
      <c r="L244" s="4" t="s">
        <v>24</v>
      </c>
      <c r="M244" s="4" t="s">
        <v>21</v>
      </c>
      <c r="N244" s="4"/>
      <c r="O244" s="4"/>
    </row>
    <row r="245" spans="2:15">
      <c r="B245" s="15"/>
      <c r="C245" s="25"/>
      <c r="D245" s="24" t="s">
        <v>280</v>
      </c>
      <c r="E245" s="11">
        <v>1.5</v>
      </c>
      <c r="F245" s="12"/>
      <c r="G245" s="12"/>
      <c r="H245" s="12"/>
      <c r="I245" s="13"/>
      <c r="J245" s="17">
        <v>2007</v>
      </c>
      <c r="K245" s="20" t="s">
        <v>27</v>
      </c>
      <c r="L245" s="4" t="s">
        <v>38</v>
      </c>
      <c r="M245" s="4"/>
      <c r="N245" s="4"/>
      <c r="O245" s="4"/>
    </row>
    <row r="246" spans="2:15">
      <c r="B246" s="15"/>
      <c r="C246" s="25"/>
      <c r="D246" s="24" t="s">
        <v>281</v>
      </c>
      <c r="E246" s="11">
        <v>0.4</v>
      </c>
      <c r="F246" s="12"/>
      <c r="G246" s="12"/>
      <c r="H246" s="12">
        <v>0.8</v>
      </c>
      <c r="I246" s="13">
        <v>0</v>
      </c>
      <c r="J246" s="17">
        <v>2021</v>
      </c>
      <c r="K246" s="20" t="s">
        <v>27</v>
      </c>
      <c r="L246" s="4" t="s">
        <v>24</v>
      </c>
      <c r="M246" s="4" t="s">
        <v>21</v>
      </c>
      <c r="N246" s="4"/>
      <c r="O246" s="4" t="s">
        <v>489</v>
      </c>
    </row>
    <row r="247" spans="2:15">
      <c r="B247" s="15"/>
      <c r="C247" s="25"/>
      <c r="D247" s="24" t="s">
        <v>281</v>
      </c>
      <c r="E247" s="11">
        <v>0.4</v>
      </c>
      <c r="F247" s="12"/>
      <c r="G247" s="12"/>
      <c r="H247" s="12">
        <v>0.6</v>
      </c>
      <c r="I247" s="13">
        <v>0.2</v>
      </c>
      <c r="J247" s="17">
        <v>2016</v>
      </c>
      <c r="K247" s="20" t="s">
        <v>27</v>
      </c>
      <c r="L247" s="4" t="s">
        <v>24</v>
      </c>
      <c r="M247" s="4" t="s">
        <v>21</v>
      </c>
      <c r="N247" s="4"/>
      <c r="O247" s="4"/>
    </row>
    <row r="248" spans="2:15">
      <c r="B248" s="15"/>
      <c r="C248" s="25"/>
      <c r="D248" s="24" t="s">
        <v>281</v>
      </c>
      <c r="E248" s="11">
        <v>0.2</v>
      </c>
      <c r="F248" s="12"/>
      <c r="G248" s="12"/>
      <c r="H248" s="12">
        <v>0.2</v>
      </c>
      <c r="I248" s="13">
        <v>0.1</v>
      </c>
      <c r="J248" s="17">
        <v>2012</v>
      </c>
      <c r="K248" s="20" t="s">
        <v>27</v>
      </c>
      <c r="L248" s="4" t="s">
        <v>24</v>
      </c>
      <c r="M248" s="4" t="s">
        <v>21</v>
      </c>
      <c r="N248" s="4"/>
      <c r="O248" s="4"/>
    </row>
    <row r="249" spans="2:15">
      <c r="B249" s="15"/>
      <c r="C249" s="25"/>
      <c r="D249" s="24" t="s">
        <v>281</v>
      </c>
      <c r="E249" s="11">
        <v>1</v>
      </c>
      <c r="F249" s="12"/>
      <c r="G249" s="12"/>
      <c r="H249" s="12"/>
      <c r="I249" s="13"/>
      <c r="J249" s="17">
        <v>2008</v>
      </c>
      <c r="K249" s="20" t="s">
        <v>27</v>
      </c>
      <c r="L249" s="4" t="s">
        <v>24</v>
      </c>
      <c r="M249" s="4" t="s">
        <v>21</v>
      </c>
      <c r="N249" s="4"/>
      <c r="O249" s="4"/>
    </row>
    <row r="250" spans="2:15">
      <c r="B250" s="15"/>
      <c r="C250" s="25"/>
      <c r="D250" s="24" t="s">
        <v>281</v>
      </c>
      <c r="E250" s="11">
        <v>0.4</v>
      </c>
      <c r="F250" s="12"/>
      <c r="G250" s="12"/>
      <c r="H250" s="12"/>
      <c r="I250" s="13"/>
      <c r="J250" s="17">
        <v>2004</v>
      </c>
      <c r="K250" s="20" t="s">
        <v>27</v>
      </c>
      <c r="L250" s="4" t="s">
        <v>38</v>
      </c>
      <c r="M250" s="4" t="s">
        <v>51</v>
      </c>
      <c r="N250" s="4" t="s">
        <v>491</v>
      </c>
      <c r="O250" s="4"/>
    </row>
    <row r="251" spans="2:15">
      <c r="B251" s="15"/>
      <c r="C251" s="25"/>
      <c r="D251" s="24" t="s">
        <v>282</v>
      </c>
      <c r="E251" s="11">
        <v>0.3</v>
      </c>
      <c r="F251" s="12"/>
      <c r="G251" s="12"/>
      <c r="H251" s="12">
        <v>0.4</v>
      </c>
      <c r="I251" s="13">
        <v>0.2</v>
      </c>
      <c r="J251" s="17">
        <v>2019</v>
      </c>
      <c r="K251" s="20" t="s">
        <v>27</v>
      </c>
      <c r="L251" s="4" t="s">
        <v>283</v>
      </c>
      <c r="M251" s="4" t="s">
        <v>21</v>
      </c>
      <c r="N251" s="4"/>
      <c r="O251" s="4"/>
    </row>
    <row r="252" spans="2:15">
      <c r="B252" s="15"/>
      <c r="C252" s="25"/>
      <c r="D252" s="24" t="s">
        <v>282</v>
      </c>
      <c r="E252" s="11">
        <v>0.2</v>
      </c>
      <c r="F252" s="12"/>
      <c r="G252" s="12"/>
      <c r="H252" s="12">
        <v>0.3</v>
      </c>
      <c r="I252" s="13">
        <v>0.2</v>
      </c>
      <c r="J252" s="17">
        <v>2014</v>
      </c>
      <c r="K252" s="20" t="s">
        <v>27</v>
      </c>
      <c r="L252" s="4" t="s">
        <v>283</v>
      </c>
      <c r="M252" s="4" t="s">
        <v>21</v>
      </c>
      <c r="N252" s="4"/>
      <c r="O252" s="4" t="s">
        <v>492</v>
      </c>
    </row>
    <row r="253" spans="2:15">
      <c r="B253" s="15"/>
      <c r="C253" s="25"/>
      <c r="D253" s="24" t="s">
        <v>284</v>
      </c>
      <c r="E253" s="11">
        <v>0</v>
      </c>
      <c r="F253" s="12"/>
      <c r="G253" s="12"/>
      <c r="H253" s="12"/>
      <c r="I253" s="13"/>
      <c r="J253" s="17">
        <v>2013</v>
      </c>
      <c r="K253" s="20" t="s">
        <v>27</v>
      </c>
      <c r="L253" s="4" t="s">
        <v>24</v>
      </c>
      <c r="M253" s="4" t="s">
        <v>21</v>
      </c>
      <c r="N253" s="4"/>
      <c r="O253" s="4"/>
    </row>
    <row r="254" spans="2:15">
      <c r="B254" s="15"/>
      <c r="C254" s="25"/>
      <c r="D254" s="24" t="s">
        <v>284</v>
      </c>
      <c r="E254" s="11">
        <v>0.86</v>
      </c>
      <c r="F254" s="12">
        <v>0.31</v>
      </c>
      <c r="G254" s="12">
        <v>1.4</v>
      </c>
      <c r="H254" s="12"/>
      <c r="I254" s="13"/>
      <c r="J254" s="17">
        <v>2011</v>
      </c>
      <c r="K254" s="20" t="s">
        <v>27</v>
      </c>
      <c r="L254" s="4" t="s">
        <v>234</v>
      </c>
      <c r="M254" s="4" t="s">
        <v>44</v>
      </c>
      <c r="N254" s="4" t="s">
        <v>45</v>
      </c>
      <c r="O254" s="4"/>
    </row>
    <row r="255" spans="2:15">
      <c r="B255" s="15"/>
      <c r="C255" s="25"/>
      <c r="D255" s="24" t="s">
        <v>284</v>
      </c>
      <c r="E255" s="11">
        <v>0.88</v>
      </c>
      <c r="F255" s="12">
        <v>0.87</v>
      </c>
      <c r="G255" s="12">
        <v>0.89</v>
      </c>
      <c r="H255" s="12"/>
      <c r="I255" s="13"/>
      <c r="J255" s="17">
        <v>2007</v>
      </c>
      <c r="K255" s="20" t="s">
        <v>27</v>
      </c>
      <c r="L255" s="4" t="s">
        <v>241</v>
      </c>
      <c r="M255" s="4" t="s">
        <v>74</v>
      </c>
      <c r="N255" s="4" t="s">
        <v>75</v>
      </c>
      <c r="O255" s="4"/>
    </row>
    <row r="256" spans="2:15">
      <c r="B256" s="15"/>
      <c r="C256" s="25"/>
      <c r="D256" s="24" t="s">
        <v>286</v>
      </c>
      <c r="E256" s="11">
        <v>4.8</v>
      </c>
      <c r="F256" s="12"/>
      <c r="G256" s="12"/>
      <c r="H256" s="12">
        <v>6.2</v>
      </c>
      <c r="I256" s="13">
        <v>3.4</v>
      </c>
      <c r="J256" s="17">
        <v>2023</v>
      </c>
      <c r="K256" s="20" t="s">
        <v>27</v>
      </c>
      <c r="L256" s="4" t="s">
        <v>38</v>
      </c>
      <c r="M256" s="4" t="s">
        <v>21</v>
      </c>
      <c r="N256" s="4"/>
      <c r="O256" s="4"/>
    </row>
    <row r="257" spans="2:15">
      <c r="B257" s="15"/>
      <c r="C257" s="25"/>
      <c r="D257" s="24" t="s">
        <v>286</v>
      </c>
      <c r="E257" s="11">
        <v>4.9000000000000004</v>
      </c>
      <c r="F257" s="12"/>
      <c r="G257" s="12"/>
      <c r="H257" s="12">
        <v>5.9</v>
      </c>
      <c r="I257" s="13">
        <v>3.9</v>
      </c>
      <c r="J257" s="17">
        <v>2022</v>
      </c>
      <c r="K257" s="20" t="s">
        <v>27</v>
      </c>
      <c r="L257" s="4" t="s">
        <v>24</v>
      </c>
      <c r="M257" s="4" t="s">
        <v>21</v>
      </c>
      <c r="N257" s="4"/>
      <c r="O257" s="4"/>
    </row>
    <row r="258" spans="2:15">
      <c r="B258" s="15"/>
      <c r="C258" s="25"/>
      <c r="D258" s="24" t="s">
        <v>286</v>
      </c>
      <c r="E258" s="11">
        <v>3.9</v>
      </c>
      <c r="F258" s="12"/>
      <c r="G258" s="12"/>
      <c r="H258" s="12">
        <v>4.5999999999999996</v>
      </c>
      <c r="I258" s="13">
        <v>3.2</v>
      </c>
      <c r="J258" s="17">
        <v>2021</v>
      </c>
      <c r="K258" s="20" t="s">
        <v>27</v>
      </c>
      <c r="L258" s="4" t="s">
        <v>24</v>
      </c>
      <c r="M258" s="4" t="s">
        <v>21</v>
      </c>
      <c r="N258" s="4"/>
      <c r="O258" s="4"/>
    </row>
    <row r="259" spans="2:15">
      <c r="B259" s="15"/>
      <c r="C259" s="25"/>
      <c r="D259" s="24" t="s">
        <v>286</v>
      </c>
      <c r="E259" s="11">
        <v>4</v>
      </c>
      <c r="F259" s="12"/>
      <c r="G259" s="12"/>
      <c r="H259" s="12">
        <v>4.5</v>
      </c>
      <c r="I259" s="13">
        <v>3.5</v>
      </c>
      <c r="J259" s="17">
        <v>2020</v>
      </c>
      <c r="K259" s="20" t="s">
        <v>27</v>
      </c>
      <c r="L259" s="4" t="s">
        <v>24</v>
      </c>
      <c r="M259" s="4" t="s">
        <v>21</v>
      </c>
      <c r="N259" s="4"/>
      <c r="O259" s="4"/>
    </row>
    <row r="260" spans="2:15">
      <c r="B260" s="15"/>
      <c r="C260" s="25"/>
      <c r="D260" s="24" t="s">
        <v>286</v>
      </c>
      <c r="E260" s="11">
        <v>4.2</v>
      </c>
      <c r="F260" s="12"/>
      <c r="G260" s="12"/>
      <c r="H260" s="12">
        <v>5.6</v>
      </c>
      <c r="I260" s="13">
        <v>2.9</v>
      </c>
      <c r="J260" s="17">
        <v>2019</v>
      </c>
      <c r="K260" s="20" t="s">
        <v>27</v>
      </c>
      <c r="L260" s="4" t="s">
        <v>249</v>
      </c>
      <c r="M260" s="4" t="s">
        <v>21</v>
      </c>
      <c r="N260" s="4"/>
      <c r="O260" s="4"/>
    </row>
    <row r="261" spans="2:15">
      <c r="B261" s="15"/>
      <c r="C261" s="25"/>
      <c r="D261" s="24" t="s">
        <v>286</v>
      </c>
      <c r="E261" s="11">
        <v>3.5</v>
      </c>
      <c r="F261" s="12"/>
      <c r="G261" s="12"/>
      <c r="H261" s="12">
        <v>4.2</v>
      </c>
      <c r="I261" s="13">
        <v>2.9</v>
      </c>
      <c r="J261" s="17">
        <v>2018</v>
      </c>
      <c r="K261" s="20" t="s">
        <v>27</v>
      </c>
      <c r="L261" s="4" t="s">
        <v>249</v>
      </c>
      <c r="M261" s="4" t="s">
        <v>21</v>
      </c>
      <c r="N261" s="4"/>
      <c r="O261" s="4"/>
    </row>
    <row r="262" spans="2:15">
      <c r="B262" s="15"/>
      <c r="C262" s="25"/>
      <c r="D262" s="24" t="s">
        <v>286</v>
      </c>
      <c r="E262" s="11">
        <v>3.3</v>
      </c>
      <c r="F262" s="12">
        <v>2.9</v>
      </c>
      <c r="G262" s="12">
        <v>3.8</v>
      </c>
      <c r="H262" s="12">
        <v>4.0999999999999996</v>
      </c>
      <c r="I262" s="13">
        <v>2.6</v>
      </c>
      <c r="J262" s="17">
        <v>2017</v>
      </c>
      <c r="K262" s="20" t="s">
        <v>27</v>
      </c>
      <c r="L262" s="4" t="s">
        <v>249</v>
      </c>
      <c r="M262" s="4" t="s">
        <v>21</v>
      </c>
      <c r="N262" s="4"/>
      <c r="O262" s="4"/>
    </row>
    <row r="263" spans="2:15">
      <c r="B263" s="15"/>
      <c r="C263" s="25"/>
      <c r="D263" s="24" t="s">
        <v>286</v>
      </c>
      <c r="E263" s="11">
        <v>3.6</v>
      </c>
      <c r="F263" s="12"/>
      <c r="G263" s="12"/>
      <c r="H263" s="12">
        <v>4.5999999999999996</v>
      </c>
      <c r="I263" s="13">
        <v>2.5</v>
      </c>
      <c r="J263" s="17">
        <v>2016</v>
      </c>
      <c r="K263" s="20" t="s">
        <v>27</v>
      </c>
      <c r="L263" s="4" t="s">
        <v>249</v>
      </c>
      <c r="M263" s="4" t="s">
        <v>21</v>
      </c>
      <c r="N263" s="4"/>
      <c r="O263" s="4"/>
    </row>
    <row r="264" spans="2:15">
      <c r="B264" s="15"/>
      <c r="C264" s="25"/>
      <c r="D264" s="24" t="s">
        <v>286</v>
      </c>
      <c r="E264" s="11">
        <v>3.4</v>
      </c>
      <c r="F264" s="12"/>
      <c r="G264" s="12"/>
      <c r="H264" s="12">
        <v>4.4000000000000004</v>
      </c>
      <c r="I264" s="13">
        <v>2.4</v>
      </c>
      <c r="J264" s="17">
        <v>2015</v>
      </c>
      <c r="K264" s="20" t="s">
        <v>27</v>
      </c>
      <c r="L264" s="4" t="s">
        <v>249</v>
      </c>
      <c r="M264" s="4" t="s">
        <v>21</v>
      </c>
      <c r="N264" s="4"/>
      <c r="O264" s="4"/>
    </row>
    <row r="265" spans="2:15">
      <c r="B265" s="15"/>
      <c r="C265" s="25"/>
      <c r="D265" s="24" t="s">
        <v>286</v>
      </c>
      <c r="E265" s="11">
        <v>2.5</v>
      </c>
      <c r="F265" s="12"/>
      <c r="G265" s="12"/>
      <c r="H265" s="12"/>
      <c r="I265" s="13"/>
      <c r="J265" s="17">
        <v>2014</v>
      </c>
      <c r="K265" s="20" t="s">
        <v>27</v>
      </c>
      <c r="L265" s="4" t="s">
        <v>24</v>
      </c>
      <c r="M265" s="4" t="s">
        <v>21</v>
      </c>
      <c r="N265" s="4"/>
      <c r="O265" s="4"/>
    </row>
    <row r="266" spans="2:15">
      <c r="B266" s="15"/>
      <c r="C266" s="25"/>
      <c r="D266" s="24" t="s">
        <v>286</v>
      </c>
      <c r="E266" s="11">
        <v>1.4</v>
      </c>
      <c r="F266" s="12"/>
      <c r="G266" s="12"/>
      <c r="H266" s="12"/>
      <c r="I266" s="13"/>
      <c r="J266" s="17">
        <v>2009</v>
      </c>
      <c r="K266" s="20" t="s">
        <v>27</v>
      </c>
      <c r="L266" s="4" t="s">
        <v>24</v>
      </c>
      <c r="M266" s="4" t="s">
        <v>21</v>
      </c>
      <c r="N266" s="4"/>
      <c r="O266" s="4"/>
    </row>
    <row r="267" spans="2:15">
      <c r="B267" s="15"/>
      <c r="C267" s="25"/>
      <c r="D267" s="24" t="s">
        <v>286</v>
      </c>
      <c r="E267" s="11">
        <v>1.2</v>
      </c>
      <c r="F267" s="12"/>
      <c r="G267" s="12"/>
      <c r="H267" s="12"/>
      <c r="I267" s="13"/>
      <c r="J267" s="17">
        <v>2005</v>
      </c>
      <c r="K267" s="20" t="s">
        <v>27</v>
      </c>
      <c r="L267" s="4" t="s">
        <v>38</v>
      </c>
      <c r="M267" s="4"/>
      <c r="N267" s="4"/>
      <c r="O267" s="4"/>
    </row>
    <row r="268" spans="2:15">
      <c r="B268" s="15"/>
      <c r="C268" s="25"/>
      <c r="D268" s="24" t="s">
        <v>287</v>
      </c>
      <c r="E268" s="11">
        <v>0.9</v>
      </c>
      <c r="F268" s="12"/>
      <c r="G268" s="12"/>
      <c r="H268" s="12">
        <v>1.3</v>
      </c>
      <c r="I268" s="13">
        <v>0.4</v>
      </c>
      <c r="J268" s="17">
        <v>2023</v>
      </c>
      <c r="K268" s="20" t="s">
        <v>265</v>
      </c>
      <c r="L268" s="4" t="s">
        <v>38</v>
      </c>
      <c r="M268" s="4" t="s">
        <v>21</v>
      </c>
      <c r="N268" s="4"/>
      <c r="O268" s="4"/>
    </row>
    <row r="269" spans="2:15">
      <c r="B269" s="15"/>
      <c r="C269" s="25"/>
      <c r="D269" s="24" t="s">
        <v>287</v>
      </c>
      <c r="E269" s="11">
        <v>0.8</v>
      </c>
      <c r="F269" s="12"/>
      <c r="G269" s="12"/>
      <c r="H269" s="12">
        <v>1.3</v>
      </c>
      <c r="I269" s="13">
        <v>0.4</v>
      </c>
      <c r="J269" s="17">
        <v>2021</v>
      </c>
      <c r="K269" s="20" t="s">
        <v>265</v>
      </c>
      <c r="L269" s="4" t="s">
        <v>24</v>
      </c>
      <c r="M269" s="4" t="s">
        <v>21</v>
      </c>
      <c r="N269" s="4"/>
      <c r="O269" s="4"/>
    </row>
    <row r="270" spans="2:15">
      <c r="B270" s="15"/>
      <c r="C270" s="25"/>
      <c r="D270" s="24" t="s">
        <v>287</v>
      </c>
      <c r="E270" s="11">
        <v>0.9</v>
      </c>
      <c r="F270" s="12"/>
      <c r="G270" s="12"/>
      <c r="H270" s="12">
        <v>1.4</v>
      </c>
      <c r="I270" s="13">
        <v>0.5</v>
      </c>
      <c r="J270" s="17">
        <v>2020</v>
      </c>
      <c r="K270" s="20" t="s">
        <v>265</v>
      </c>
      <c r="L270" s="4" t="s">
        <v>24</v>
      </c>
      <c r="M270" s="4" t="s">
        <v>21</v>
      </c>
      <c r="N270" s="4"/>
      <c r="O270" s="4"/>
    </row>
    <row r="271" spans="2:15">
      <c r="B271" s="15"/>
      <c r="C271" s="25"/>
      <c r="D271" s="24" t="s">
        <v>287</v>
      </c>
      <c r="E271" s="11">
        <v>0.6</v>
      </c>
      <c r="F271" s="12"/>
      <c r="G271" s="12"/>
      <c r="H271" s="12">
        <v>0.7</v>
      </c>
      <c r="I271" s="13">
        <v>0.5</v>
      </c>
      <c r="J271" s="17">
        <v>2019</v>
      </c>
      <c r="K271" s="20" t="s">
        <v>265</v>
      </c>
      <c r="L271" s="4" t="s">
        <v>24</v>
      </c>
      <c r="M271" s="4" t="s">
        <v>21</v>
      </c>
      <c r="N271" s="4"/>
      <c r="O271" s="4"/>
    </row>
    <row r="272" spans="2:15">
      <c r="B272" s="15"/>
      <c r="C272" s="25"/>
      <c r="D272" s="24" t="s">
        <v>287</v>
      </c>
      <c r="E272" s="11">
        <v>0.7</v>
      </c>
      <c r="F272" s="12"/>
      <c r="G272" s="12"/>
      <c r="H272" s="12">
        <v>1.3</v>
      </c>
      <c r="I272" s="13">
        <v>0.1</v>
      </c>
      <c r="J272" s="17">
        <v>2018</v>
      </c>
      <c r="K272" s="20" t="s">
        <v>265</v>
      </c>
      <c r="L272" s="4" t="s">
        <v>24</v>
      </c>
      <c r="M272" s="4" t="s">
        <v>21</v>
      </c>
      <c r="N272" s="4"/>
      <c r="O272" s="4"/>
    </row>
    <row r="273" spans="2:15">
      <c r="B273" s="15"/>
      <c r="C273" s="25"/>
      <c r="D273" s="24" t="s">
        <v>287</v>
      </c>
      <c r="E273" s="11">
        <v>1</v>
      </c>
      <c r="F273" s="12"/>
      <c r="G273" s="12"/>
      <c r="H273" s="12">
        <v>1.3</v>
      </c>
      <c r="I273" s="13">
        <v>0.7</v>
      </c>
      <c r="J273" s="17">
        <v>2017</v>
      </c>
      <c r="K273" s="20" t="s">
        <v>265</v>
      </c>
      <c r="L273" s="4" t="s">
        <v>24</v>
      </c>
      <c r="M273" s="4" t="s">
        <v>21</v>
      </c>
      <c r="N273" s="4"/>
      <c r="O273" s="4"/>
    </row>
    <row r="274" spans="2:15">
      <c r="B274" s="15"/>
      <c r="C274" s="25"/>
      <c r="D274" s="24" t="s">
        <v>287</v>
      </c>
      <c r="E274" s="11">
        <v>0.6</v>
      </c>
      <c r="F274" s="12"/>
      <c r="G274" s="12"/>
      <c r="H274" s="12">
        <v>0.6</v>
      </c>
      <c r="I274" s="13">
        <v>0.6</v>
      </c>
      <c r="J274" s="17">
        <v>2016</v>
      </c>
      <c r="K274" s="20" t="s">
        <v>265</v>
      </c>
      <c r="L274" s="4" t="s">
        <v>24</v>
      </c>
      <c r="M274" s="4" t="s">
        <v>21</v>
      </c>
      <c r="N274" s="4"/>
      <c r="O274" s="4"/>
    </row>
    <row r="275" spans="2:15">
      <c r="B275" s="15"/>
      <c r="C275" s="25"/>
      <c r="D275" s="24" t="s">
        <v>287</v>
      </c>
      <c r="E275" s="11">
        <v>0.6</v>
      </c>
      <c r="F275" s="12"/>
      <c r="G275" s="12"/>
      <c r="H275" s="12">
        <v>1</v>
      </c>
      <c r="I275" s="13">
        <v>0.2</v>
      </c>
      <c r="J275" s="17">
        <v>2015</v>
      </c>
      <c r="K275" s="20" t="s">
        <v>265</v>
      </c>
      <c r="L275" s="4" t="s">
        <v>24</v>
      </c>
      <c r="M275" s="4" t="s">
        <v>21</v>
      </c>
      <c r="N275" s="4"/>
      <c r="O275" s="4"/>
    </row>
    <row r="276" spans="2:15">
      <c r="B276" s="15"/>
      <c r="C276" s="25"/>
      <c r="D276" s="24" t="s">
        <v>287</v>
      </c>
      <c r="E276" s="11">
        <v>0.1</v>
      </c>
      <c r="F276" s="12"/>
      <c r="G276" s="12"/>
      <c r="H276" s="12">
        <v>0.2</v>
      </c>
      <c r="I276" s="13">
        <v>0.1</v>
      </c>
      <c r="J276" s="17">
        <v>2014</v>
      </c>
      <c r="K276" s="20" t="s">
        <v>265</v>
      </c>
      <c r="L276" s="4" t="s">
        <v>24</v>
      </c>
      <c r="M276" s="4" t="s">
        <v>21</v>
      </c>
      <c r="N276" s="4"/>
      <c r="O276" s="4"/>
    </row>
    <row r="277" spans="2:15">
      <c r="B277" s="15"/>
      <c r="C277" s="25"/>
      <c r="D277" s="24" t="s">
        <v>287</v>
      </c>
      <c r="E277" s="11">
        <v>0.4</v>
      </c>
      <c r="F277" s="12"/>
      <c r="G277" s="12"/>
      <c r="H277" s="12">
        <v>0.8</v>
      </c>
      <c r="I277" s="13">
        <v>0</v>
      </c>
      <c r="J277" s="17">
        <v>2013</v>
      </c>
      <c r="K277" s="20" t="s">
        <v>265</v>
      </c>
      <c r="L277" s="4" t="s">
        <v>24</v>
      </c>
      <c r="M277" s="4" t="s">
        <v>21</v>
      </c>
      <c r="N277" s="4"/>
      <c r="O277" s="4"/>
    </row>
    <row r="278" spans="2:15">
      <c r="B278" s="15"/>
      <c r="C278" s="25"/>
      <c r="D278" s="24" t="s">
        <v>287</v>
      </c>
      <c r="E278" s="11">
        <v>0.3</v>
      </c>
      <c r="F278" s="12"/>
      <c r="G278" s="12"/>
      <c r="H278" s="12"/>
      <c r="I278" s="13"/>
      <c r="J278" s="17">
        <v>2009</v>
      </c>
      <c r="K278" s="20" t="s">
        <v>27</v>
      </c>
      <c r="L278" s="4" t="s">
        <v>24</v>
      </c>
      <c r="M278" s="4" t="s">
        <v>21</v>
      </c>
      <c r="N278" s="4"/>
      <c r="O278" s="4"/>
    </row>
    <row r="279" spans="2:15">
      <c r="B279" s="15"/>
      <c r="C279" s="25"/>
      <c r="D279" s="24" t="s">
        <v>287</v>
      </c>
      <c r="E279" s="11">
        <v>0.5</v>
      </c>
      <c r="F279" s="12"/>
      <c r="G279" s="12"/>
      <c r="H279" s="12"/>
      <c r="I279" s="13"/>
      <c r="J279" s="17">
        <v>2004</v>
      </c>
      <c r="K279" s="20" t="s">
        <v>27</v>
      </c>
      <c r="L279" s="4" t="s">
        <v>38</v>
      </c>
      <c r="M279" s="4"/>
      <c r="N279" s="4"/>
      <c r="O279" s="4"/>
    </row>
    <row r="280" spans="2:15">
      <c r="B280" s="15"/>
      <c r="C280" s="25"/>
      <c r="D280" s="24" t="s">
        <v>290</v>
      </c>
      <c r="E280" s="11">
        <v>0.3</v>
      </c>
      <c r="F280" s="12"/>
      <c r="G280" s="12"/>
      <c r="H280" s="12">
        <v>0.3</v>
      </c>
      <c r="I280" s="13">
        <v>0.3</v>
      </c>
      <c r="J280" s="17">
        <v>2019</v>
      </c>
      <c r="K280" s="20" t="s">
        <v>27</v>
      </c>
      <c r="L280" s="4" t="s">
        <v>24</v>
      </c>
      <c r="M280" s="4" t="s">
        <v>21</v>
      </c>
      <c r="N280" s="4"/>
      <c r="O280" s="4" t="s">
        <v>397</v>
      </c>
    </row>
    <row r="281" spans="2:15">
      <c r="B281" s="15"/>
      <c r="C281" s="25"/>
      <c r="D281" s="24" t="s">
        <v>290</v>
      </c>
      <c r="E281" s="11">
        <v>1.2</v>
      </c>
      <c r="F281" s="12"/>
      <c r="G281" s="12"/>
      <c r="H281" s="12">
        <v>0.9</v>
      </c>
      <c r="I281" s="13">
        <v>1.5</v>
      </c>
      <c r="J281" s="17">
        <v>2016</v>
      </c>
      <c r="K281" s="20" t="s">
        <v>27</v>
      </c>
      <c r="L281" s="4" t="s">
        <v>24</v>
      </c>
      <c r="M281" s="4" t="s">
        <v>21</v>
      </c>
      <c r="N281" s="4"/>
      <c r="O281" s="4"/>
    </row>
    <row r="282" spans="2:15">
      <c r="B282" s="15"/>
      <c r="C282" s="25"/>
      <c r="D282" s="24" t="s">
        <v>290</v>
      </c>
      <c r="E282" s="11">
        <v>0.3</v>
      </c>
      <c r="F282" s="12"/>
      <c r="G282" s="12"/>
      <c r="H282" s="12">
        <v>0.7</v>
      </c>
      <c r="I282" s="13"/>
      <c r="J282" s="17">
        <v>2014</v>
      </c>
      <c r="K282" s="20" t="s">
        <v>27</v>
      </c>
      <c r="L282" s="4" t="s">
        <v>24</v>
      </c>
      <c r="M282" s="4" t="s">
        <v>21</v>
      </c>
      <c r="N282" s="4"/>
      <c r="O282" s="4" t="s">
        <v>398</v>
      </c>
    </row>
    <row r="283" spans="2:15">
      <c r="B283" s="15"/>
      <c r="C283" s="25"/>
      <c r="D283" s="24" t="s">
        <v>290</v>
      </c>
      <c r="E283" s="11">
        <v>0.1</v>
      </c>
      <c r="F283" s="12"/>
      <c r="G283" s="12"/>
      <c r="H283" s="12"/>
      <c r="I283" s="13"/>
      <c r="J283" s="17">
        <v>2012</v>
      </c>
      <c r="K283" s="20" t="s">
        <v>27</v>
      </c>
      <c r="L283" s="4" t="s">
        <v>24</v>
      </c>
      <c r="M283" s="4" t="s">
        <v>21</v>
      </c>
      <c r="N283" s="4"/>
      <c r="O283" s="4"/>
    </row>
    <row r="284" spans="2:15">
      <c r="B284" s="15"/>
      <c r="C284" s="25"/>
      <c r="D284" s="24" t="s">
        <v>290</v>
      </c>
      <c r="E284" s="11">
        <v>1.5</v>
      </c>
      <c r="F284" s="12"/>
      <c r="G284" s="12"/>
      <c r="H284" s="12"/>
      <c r="I284" s="13"/>
      <c r="J284" s="17">
        <v>2010</v>
      </c>
      <c r="K284" s="20" t="s">
        <v>27</v>
      </c>
      <c r="L284" s="4" t="s">
        <v>24</v>
      </c>
      <c r="M284" s="4" t="s">
        <v>21</v>
      </c>
      <c r="N284" s="4"/>
      <c r="O284" s="4"/>
    </row>
    <row r="285" spans="2:15">
      <c r="B285" s="15"/>
      <c r="C285" s="25"/>
      <c r="D285" s="24" t="s">
        <v>290</v>
      </c>
      <c r="E285" s="11">
        <v>0.3</v>
      </c>
      <c r="F285" s="12"/>
      <c r="G285" s="12"/>
      <c r="H285" s="12"/>
      <c r="I285" s="13"/>
      <c r="J285" s="17">
        <v>2006</v>
      </c>
      <c r="K285" s="20" t="s">
        <v>27</v>
      </c>
      <c r="L285" s="4" t="s">
        <v>38</v>
      </c>
      <c r="M285" s="4"/>
      <c r="N285" s="4"/>
      <c r="O285" s="4"/>
    </row>
    <row r="286" spans="2:15">
      <c r="B286" s="15"/>
      <c r="C286" s="25"/>
      <c r="D286" s="24" t="s">
        <v>293</v>
      </c>
      <c r="E286" s="11">
        <v>0.1</v>
      </c>
      <c r="F286" s="12"/>
      <c r="G286" s="12"/>
      <c r="H286" s="12">
        <v>0.2</v>
      </c>
      <c r="I286" s="13">
        <v>0.01</v>
      </c>
      <c r="J286" s="17">
        <v>2022</v>
      </c>
      <c r="K286" s="20" t="s">
        <v>27</v>
      </c>
      <c r="L286" s="4" t="s">
        <v>24</v>
      </c>
      <c r="M286" s="4" t="s">
        <v>21</v>
      </c>
      <c r="N286" s="4"/>
      <c r="O286" s="4" t="s">
        <v>294</v>
      </c>
    </row>
    <row r="287" spans="2:15">
      <c r="B287" s="15"/>
      <c r="C287" s="25"/>
      <c r="D287" s="24" t="s">
        <v>293</v>
      </c>
      <c r="E287" s="11">
        <v>0.1</v>
      </c>
      <c r="F287" s="12"/>
      <c r="G287" s="12"/>
      <c r="H287" s="12">
        <v>0.2</v>
      </c>
      <c r="I287" s="13">
        <v>0.04</v>
      </c>
      <c r="J287" s="17">
        <v>2017</v>
      </c>
      <c r="K287" s="20" t="s">
        <v>27</v>
      </c>
      <c r="L287" s="4" t="s">
        <v>24</v>
      </c>
      <c r="M287" s="4" t="s">
        <v>21</v>
      </c>
      <c r="N287" s="4"/>
      <c r="O287" s="4" t="s">
        <v>493</v>
      </c>
    </row>
    <row r="288" spans="2:15">
      <c r="B288" s="15"/>
      <c r="C288" s="25"/>
      <c r="D288" s="24" t="s">
        <v>293</v>
      </c>
      <c r="E288" s="11">
        <v>0.2</v>
      </c>
      <c r="F288" s="12"/>
      <c r="G288" s="12"/>
      <c r="H288" s="12">
        <v>0.3</v>
      </c>
      <c r="I288" s="13">
        <v>0.2</v>
      </c>
      <c r="J288" s="17">
        <v>2012</v>
      </c>
      <c r="K288" s="20" t="s">
        <v>27</v>
      </c>
      <c r="L288" s="4" t="s">
        <v>24</v>
      </c>
      <c r="M288" s="4" t="s">
        <v>21</v>
      </c>
      <c r="N288" s="4"/>
      <c r="O288" s="4"/>
    </row>
    <row r="289" spans="2:15">
      <c r="B289" s="15"/>
      <c r="C289" s="25"/>
      <c r="D289" s="24" t="s">
        <v>293</v>
      </c>
      <c r="E289" s="11">
        <v>0.4</v>
      </c>
      <c r="F289" s="12"/>
      <c r="G289" s="12"/>
      <c r="H289" s="12">
        <v>0.6</v>
      </c>
      <c r="I289" s="13">
        <v>0.2</v>
      </c>
      <c r="J289" s="17">
        <v>2007</v>
      </c>
      <c r="K289" s="20" t="s">
        <v>27</v>
      </c>
      <c r="L289" s="4" t="s">
        <v>24</v>
      </c>
      <c r="M289" s="4" t="s">
        <v>21</v>
      </c>
      <c r="N289" s="4"/>
      <c r="O289" s="4"/>
    </row>
    <row r="290" spans="2:15">
      <c r="B290" s="15"/>
      <c r="C290" s="25"/>
      <c r="D290" s="24" t="s">
        <v>296</v>
      </c>
      <c r="E290" s="11">
        <v>1</v>
      </c>
      <c r="F290" s="12"/>
      <c r="G290" s="12"/>
      <c r="H290" s="12">
        <v>1.4</v>
      </c>
      <c r="I290" s="13">
        <v>0.5</v>
      </c>
      <c r="J290" s="17">
        <v>2023</v>
      </c>
      <c r="K290" s="20" t="s">
        <v>27</v>
      </c>
      <c r="L290" s="4" t="s">
        <v>24</v>
      </c>
      <c r="M290" s="4" t="s">
        <v>21</v>
      </c>
      <c r="N290" s="4"/>
      <c r="O290" s="4" t="s">
        <v>489</v>
      </c>
    </row>
    <row r="291" spans="2:15">
      <c r="B291" s="15"/>
      <c r="C291" s="25"/>
      <c r="D291" s="24" t="s">
        <v>296</v>
      </c>
      <c r="E291" s="11">
        <v>0.5</v>
      </c>
      <c r="F291" s="12"/>
      <c r="G291" s="12"/>
      <c r="H291" s="12">
        <v>0.8</v>
      </c>
      <c r="I291" s="13">
        <v>0.1</v>
      </c>
      <c r="J291" s="17">
        <v>2019</v>
      </c>
      <c r="K291" s="20" t="s">
        <v>27</v>
      </c>
      <c r="L291" s="4" t="s">
        <v>24</v>
      </c>
      <c r="M291" s="4" t="s">
        <v>21</v>
      </c>
      <c r="N291" s="4"/>
      <c r="O291" s="4"/>
    </row>
    <row r="292" spans="2:15">
      <c r="B292" s="15"/>
      <c r="C292" s="25"/>
      <c r="D292" s="24" t="s">
        <v>296</v>
      </c>
      <c r="E292" s="11">
        <v>0.6</v>
      </c>
      <c r="F292" s="12"/>
      <c r="G292" s="12"/>
      <c r="H292" s="12">
        <v>1</v>
      </c>
      <c r="I292" s="13">
        <v>0.1</v>
      </c>
      <c r="J292" s="17">
        <v>2015</v>
      </c>
      <c r="K292" s="20" t="s">
        <v>27</v>
      </c>
      <c r="L292" s="4" t="s">
        <v>24</v>
      </c>
      <c r="M292" s="4" t="s">
        <v>21</v>
      </c>
      <c r="N292" s="4"/>
      <c r="O292" s="4"/>
    </row>
    <row r="293" spans="2:15">
      <c r="B293" s="15"/>
      <c r="C293" s="25"/>
      <c r="D293" s="24" t="s">
        <v>296</v>
      </c>
      <c r="E293" s="11">
        <v>0.46</v>
      </c>
      <c r="F293" s="12"/>
      <c r="G293" s="12"/>
      <c r="H293" s="12"/>
      <c r="I293" s="13"/>
      <c r="J293" s="17">
        <v>2010</v>
      </c>
      <c r="K293" s="20" t="s">
        <v>27</v>
      </c>
      <c r="L293" s="4" t="s">
        <v>249</v>
      </c>
      <c r="M293" s="4" t="s">
        <v>21</v>
      </c>
      <c r="N293" s="4"/>
      <c r="O293" s="4"/>
    </row>
    <row r="294" spans="2:15">
      <c r="B294" s="15"/>
      <c r="C294" s="25"/>
      <c r="D294" s="24" t="s">
        <v>296</v>
      </c>
      <c r="E294" s="11">
        <v>1.6</v>
      </c>
      <c r="F294" s="12"/>
      <c r="G294" s="12"/>
      <c r="H294" s="12"/>
      <c r="I294" s="13"/>
      <c r="J294" s="17">
        <v>2006</v>
      </c>
      <c r="K294" s="20" t="s">
        <v>27</v>
      </c>
      <c r="L294" s="4" t="s">
        <v>249</v>
      </c>
      <c r="M294" s="4" t="s">
        <v>21</v>
      </c>
      <c r="N294" s="4"/>
      <c r="O294" s="4"/>
    </row>
    <row r="295" spans="2:15">
      <c r="B295" s="15"/>
      <c r="C295" s="25"/>
      <c r="D295" s="24" t="s">
        <v>296</v>
      </c>
      <c r="E295" s="11">
        <v>1.2</v>
      </c>
      <c r="F295" s="12"/>
      <c r="G295" s="12"/>
      <c r="H295" s="12"/>
      <c r="I295" s="13"/>
      <c r="J295" s="17">
        <v>2004</v>
      </c>
      <c r="K295" s="20" t="s">
        <v>27</v>
      </c>
      <c r="L295" s="4" t="s">
        <v>38</v>
      </c>
      <c r="M295" s="4"/>
      <c r="N295" s="4"/>
      <c r="O295" s="4"/>
    </row>
    <row r="296" spans="2:15">
      <c r="B296" s="15"/>
      <c r="C296" s="25"/>
      <c r="D296" s="24" t="s">
        <v>297</v>
      </c>
      <c r="E296" s="11">
        <v>0.8</v>
      </c>
      <c r="F296" s="12"/>
      <c r="G296" s="12"/>
      <c r="H296" s="12">
        <v>1</v>
      </c>
      <c r="I296" s="13">
        <v>0.5</v>
      </c>
      <c r="J296" s="17">
        <v>2023</v>
      </c>
      <c r="K296" s="20" t="s">
        <v>27</v>
      </c>
      <c r="L296" s="4" t="s">
        <v>38</v>
      </c>
      <c r="M296" s="4" t="s">
        <v>51</v>
      </c>
      <c r="N296" s="4"/>
      <c r="O296" s="4"/>
    </row>
    <row r="297" spans="2:15">
      <c r="B297" s="15"/>
      <c r="C297" s="25"/>
      <c r="D297" s="24" t="s">
        <v>297</v>
      </c>
      <c r="E297" s="11">
        <v>0.5</v>
      </c>
      <c r="F297" s="12">
        <v>0.4</v>
      </c>
      <c r="G297" s="12">
        <v>0.7</v>
      </c>
      <c r="H297" s="12">
        <v>0.6</v>
      </c>
      <c r="I297" s="13">
        <v>0.4</v>
      </c>
      <c r="J297" s="17">
        <v>2018</v>
      </c>
      <c r="K297" s="20" t="s">
        <v>27</v>
      </c>
      <c r="L297" s="4" t="s">
        <v>249</v>
      </c>
      <c r="M297" s="4" t="s">
        <v>21</v>
      </c>
      <c r="N297" s="4" t="s">
        <v>494</v>
      </c>
      <c r="O297" s="4"/>
    </row>
    <row r="298" spans="2:15">
      <c r="B298" s="15"/>
      <c r="C298" s="25"/>
      <c r="D298" s="24" t="s">
        <v>297</v>
      </c>
      <c r="E298" s="11">
        <v>0.3</v>
      </c>
      <c r="F298" s="12"/>
      <c r="G298" s="12"/>
      <c r="H298" s="12">
        <v>0.4</v>
      </c>
      <c r="I298" s="13">
        <v>0.2</v>
      </c>
      <c r="J298" s="17">
        <v>2012</v>
      </c>
      <c r="K298" s="20" t="s">
        <v>27</v>
      </c>
      <c r="L298" s="4" t="s">
        <v>24</v>
      </c>
      <c r="M298" s="4" t="s">
        <v>21</v>
      </c>
      <c r="N298" s="4"/>
      <c r="O298" s="4"/>
    </row>
    <row r="299" spans="2:15">
      <c r="B299" s="15"/>
      <c r="C299" s="25"/>
      <c r="D299" s="24" t="s">
        <v>297</v>
      </c>
      <c r="E299" s="11">
        <v>0.46</v>
      </c>
      <c r="F299" s="12">
        <v>0.18</v>
      </c>
      <c r="G299" s="12">
        <v>0.74</v>
      </c>
      <c r="H299" s="12"/>
      <c r="I299" s="13"/>
      <c r="J299" s="17">
        <v>2008</v>
      </c>
      <c r="K299" s="20" t="s">
        <v>202</v>
      </c>
      <c r="L299" s="4" t="s">
        <v>24</v>
      </c>
      <c r="M299" s="4" t="s">
        <v>21</v>
      </c>
      <c r="N299" s="4" t="s">
        <v>22</v>
      </c>
      <c r="O299" s="4"/>
    </row>
    <row r="300" spans="2:15">
      <c r="B300" s="15"/>
      <c r="C300" s="25"/>
      <c r="D300" s="24" t="s">
        <v>297</v>
      </c>
      <c r="E300" s="11">
        <v>0.68</v>
      </c>
      <c r="F300" s="12">
        <v>0.68</v>
      </c>
      <c r="G300" s="12">
        <v>0.69</v>
      </c>
      <c r="H300" s="12"/>
      <c r="I300" s="13"/>
      <c r="J300" s="17">
        <v>2007</v>
      </c>
      <c r="K300" s="20" t="s">
        <v>27</v>
      </c>
      <c r="L300" s="4" t="s">
        <v>241</v>
      </c>
      <c r="M300" s="4" t="s">
        <v>74</v>
      </c>
      <c r="N300" s="4" t="s">
        <v>75</v>
      </c>
      <c r="O300" s="4"/>
    </row>
    <row r="301" spans="2:15">
      <c r="B301" s="15"/>
      <c r="C301" s="25"/>
      <c r="D301" s="24" t="s">
        <v>299</v>
      </c>
      <c r="E301" s="11">
        <v>0.8</v>
      </c>
      <c r="F301" s="12"/>
      <c r="G301" s="12"/>
      <c r="H301" s="12">
        <v>1</v>
      </c>
      <c r="I301" s="13">
        <v>0.5</v>
      </c>
      <c r="J301" s="17">
        <v>2022</v>
      </c>
      <c r="K301" s="20" t="s">
        <v>27</v>
      </c>
      <c r="L301" s="4" t="s">
        <v>24</v>
      </c>
      <c r="M301" s="4" t="s">
        <v>21</v>
      </c>
      <c r="N301" s="4"/>
      <c r="O301" s="4"/>
    </row>
    <row r="302" spans="2:15">
      <c r="B302" s="15"/>
      <c r="C302" s="25"/>
      <c r="D302" s="24" t="s">
        <v>299</v>
      </c>
      <c r="E302" s="11">
        <v>0.9</v>
      </c>
      <c r="F302" s="12"/>
      <c r="G302" s="12"/>
      <c r="H302" s="12">
        <v>1.4</v>
      </c>
      <c r="I302" s="13">
        <v>0.4</v>
      </c>
      <c r="J302" s="17">
        <v>2020</v>
      </c>
      <c r="K302" s="20" t="s">
        <v>27</v>
      </c>
      <c r="L302" s="4" t="s">
        <v>24</v>
      </c>
      <c r="M302" s="4" t="s">
        <v>21</v>
      </c>
      <c r="N302" s="4"/>
      <c r="O302" s="4" t="s">
        <v>495</v>
      </c>
    </row>
    <row r="303" spans="2:15">
      <c r="B303" s="15"/>
      <c r="C303" s="25"/>
      <c r="D303" s="24" t="s">
        <v>299</v>
      </c>
      <c r="E303" s="11">
        <v>0.6</v>
      </c>
      <c r="F303" s="12">
        <v>0.5</v>
      </c>
      <c r="G303" s="12">
        <v>0.7</v>
      </c>
      <c r="H303" s="12">
        <v>1</v>
      </c>
      <c r="I303" s="13">
        <v>0.3</v>
      </c>
      <c r="J303" s="17">
        <v>2017</v>
      </c>
      <c r="K303" s="20" t="s">
        <v>27</v>
      </c>
      <c r="L303" s="4" t="s">
        <v>249</v>
      </c>
      <c r="M303" s="4" t="s">
        <v>21</v>
      </c>
      <c r="N303" s="4"/>
      <c r="O303" s="4"/>
    </row>
    <row r="304" spans="2:15">
      <c r="B304" s="15"/>
      <c r="C304" s="25"/>
      <c r="D304" s="24" t="s">
        <v>299</v>
      </c>
      <c r="E304" s="11">
        <v>0.6</v>
      </c>
      <c r="F304" s="12"/>
      <c r="G304" s="12"/>
      <c r="H304" s="12">
        <v>0.9</v>
      </c>
      <c r="I304" s="13">
        <v>0.3</v>
      </c>
      <c r="J304" s="17">
        <v>2015</v>
      </c>
      <c r="K304" s="20" t="s">
        <v>27</v>
      </c>
      <c r="L304" s="4" t="s">
        <v>24</v>
      </c>
      <c r="M304" s="4" t="s">
        <v>21</v>
      </c>
      <c r="N304" s="4"/>
      <c r="O304" s="4"/>
    </row>
    <row r="305" spans="2:15">
      <c r="B305" s="15"/>
      <c r="C305" s="25"/>
      <c r="D305" s="24" t="s">
        <v>299</v>
      </c>
      <c r="E305" s="11">
        <v>0.7</v>
      </c>
      <c r="F305" s="12"/>
      <c r="G305" s="12"/>
      <c r="H305" s="12">
        <v>1</v>
      </c>
      <c r="I305" s="13">
        <v>0.3</v>
      </c>
      <c r="J305" s="17">
        <v>2013</v>
      </c>
      <c r="K305" s="20" t="s">
        <v>27</v>
      </c>
      <c r="L305" s="4" t="s">
        <v>24</v>
      </c>
      <c r="M305" s="4" t="s">
        <v>21</v>
      </c>
      <c r="N305" s="4"/>
      <c r="O305" s="4"/>
    </row>
    <row r="306" spans="2:15">
      <c r="B306" s="15"/>
      <c r="C306" s="25"/>
      <c r="D306" s="24" t="s">
        <v>299</v>
      </c>
      <c r="E306" s="11">
        <v>0.7</v>
      </c>
      <c r="F306" s="12"/>
      <c r="G306" s="12"/>
      <c r="H306" s="12">
        <v>1</v>
      </c>
      <c r="I306" s="13">
        <v>0.4</v>
      </c>
      <c r="J306" s="17">
        <v>2011</v>
      </c>
      <c r="K306" s="20" t="s">
        <v>27</v>
      </c>
      <c r="L306" s="4" t="s">
        <v>24</v>
      </c>
      <c r="M306" s="4" t="s">
        <v>21</v>
      </c>
      <c r="N306" s="4"/>
      <c r="O306" s="4"/>
    </row>
    <row r="307" spans="2:15">
      <c r="B307" s="15"/>
      <c r="C307" s="25"/>
      <c r="D307" s="24" t="s">
        <v>299</v>
      </c>
      <c r="E307" s="11">
        <v>1.4</v>
      </c>
      <c r="F307" s="12"/>
      <c r="G307" s="12"/>
      <c r="H307" s="12"/>
      <c r="I307" s="13"/>
      <c r="J307" s="17">
        <v>2009</v>
      </c>
      <c r="K307" s="20" t="s">
        <v>27</v>
      </c>
      <c r="L307" s="4" t="s">
        <v>38</v>
      </c>
      <c r="M307" s="4" t="s">
        <v>51</v>
      </c>
      <c r="N307" s="4"/>
      <c r="O307" s="4"/>
    </row>
    <row r="308" spans="2:15">
      <c r="B308" s="15"/>
      <c r="C308" s="25"/>
      <c r="D308" s="24" t="s">
        <v>302</v>
      </c>
      <c r="E308" s="11">
        <v>0.8</v>
      </c>
      <c r="F308" s="12"/>
      <c r="G308" s="12"/>
      <c r="H308" s="12">
        <v>0.9</v>
      </c>
      <c r="I308" s="13">
        <v>0.8</v>
      </c>
      <c r="J308" s="17">
        <v>2021</v>
      </c>
      <c r="K308" s="20" t="s">
        <v>265</v>
      </c>
      <c r="L308" s="4" t="s">
        <v>38</v>
      </c>
      <c r="M308" s="4" t="s">
        <v>51</v>
      </c>
      <c r="N308" s="4"/>
      <c r="O308" s="4"/>
    </row>
    <row r="309" spans="2:15">
      <c r="B309" s="15"/>
      <c r="C309" s="25"/>
      <c r="D309" s="24" t="s">
        <v>302</v>
      </c>
      <c r="E309" s="11">
        <v>0.9</v>
      </c>
      <c r="F309" s="12"/>
      <c r="G309" s="12"/>
      <c r="H309" s="12"/>
      <c r="I309" s="13"/>
      <c r="J309" s="17">
        <v>2017</v>
      </c>
      <c r="K309" s="20" t="s">
        <v>303</v>
      </c>
      <c r="L309" s="4" t="s">
        <v>24</v>
      </c>
      <c r="M309" s="4" t="s">
        <v>21</v>
      </c>
      <c r="N309" s="4"/>
      <c r="O309" s="4"/>
    </row>
    <row r="310" spans="2:15">
      <c r="B310" s="15"/>
      <c r="C310" s="25"/>
      <c r="D310" s="24" t="s">
        <v>302</v>
      </c>
      <c r="E310" s="11">
        <v>0.5</v>
      </c>
      <c r="F310" s="12"/>
      <c r="G310" s="12"/>
      <c r="H310" s="12">
        <v>0.6</v>
      </c>
      <c r="I310" s="13">
        <v>0.3</v>
      </c>
      <c r="J310" s="17">
        <v>2013</v>
      </c>
      <c r="K310" s="20" t="s">
        <v>27</v>
      </c>
      <c r="L310" s="4" t="s">
        <v>249</v>
      </c>
      <c r="M310" s="4" t="s">
        <v>21</v>
      </c>
      <c r="N310" s="4"/>
      <c r="O310" s="4"/>
    </row>
    <row r="311" spans="2:15">
      <c r="B311" s="15"/>
      <c r="C311" s="25"/>
      <c r="D311" s="24" t="s">
        <v>302</v>
      </c>
      <c r="E311" s="11">
        <v>0.1</v>
      </c>
      <c r="F311" s="12"/>
      <c r="G311" s="12"/>
      <c r="H311" s="12"/>
      <c r="I311" s="13"/>
      <c r="J311" s="17">
        <v>2008</v>
      </c>
      <c r="K311" s="20" t="s">
        <v>27</v>
      </c>
      <c r="L311" s="4" t="s">
        <v>24</v>
      </c>
      <c r="M311" s="4" t="s">
        <v>21</v>
      </c>
      <c r="N311" s="4"/>
      <c r="O311" s="4"/>
    </row>
    <row r="312" spans="2:15">
      <c r="B312" s="15"/>
      <c r="C312" s="25"/>
      <c r="D312" s="24" t="s">
        <v>302</v>
      </c>
      <c r="E312" s="11">
        <v>0.25</v>
      </c>
      <c r="F312" s="12"/>
      <c r="G312" s="12"/>
      <c r="H312" s="12"/>
      <c r="I312" s="13"/>
      <c r="J312" s="17">
        <v>2007</v>
      </c>
      <c r="K312" s="20" t="s">
        <v>27</v>
      </c>
      <c r="L312" s="4" t="s">
        <v>241</v>
      </c>
      <c r="M312" s="4" t="s">
        <v>74</v>
      </c>
      <c r="N312" s="4" t="s">
        <v>75</v>
      </c>
      <c r="O312" s="4"/>
    </row>
    <row r="313" spans="2:15">
      <c r="B313" s="15"/>
      <c r="C313" s="25"/>
      <c r="D313" s="24" t="s">
        <v>304</v>
      </c>
      <c r="E313" s="11">
        <v>0.8</v>
      </c>
      <c r="F313" s="12"/>
      <c r="G313" s="12"/>
      <c r="H313" s="12">
        <v>1.2</v>
      </c>
      <c r="I313" s="13">
        <v>0.5</v>
      </c>
      <c r="J313" s="17">
        <v>2022</v>
      </c>
      <c r="K313" s="20" t="s">
        <v>27</v>
      </c>
      <c r="L313" s="4" t="s">
        <v>38</v>
      </c>
      <c r="M313" s="4" t="s">
        <v>21</v>
      </c>
      <c r="N313" s="4"/>
      <c r="O313" s="4"/>
    </row>
    <row r="314" spans="2:15">
      <c r="B314" s="15"/>
      <c r="C314" s="25"/>
      <c r="D314" s="24" t="s">
        <v>304</v>
      </c>
      <c r="E314" s="11">
        <v>1.4</v>
      </c>
      <c r="F314" s="12"/>
      <c r="G314" s="12"/>
      <c r="H314" s="12">
        <v>2</v>
      </c>
      <c r="I314" s="13">
        <v>0.8</v>
      </c>
      <c r="J314" s="17">
        <v>2017</v>
      </c>
      <c r="K314" s="20" t="s">
        <v>27</v>
      </c>
      <c r="L314" s="4" t="s">
        <v>24</v>
      </c>
      <c r="M314" s="4" t="s">
        <v>21</v>
      </c>
      <c r="N314" s="4"/>
      <c r="O314" s="4"/>
    </row>
    <row r="315" spans="2:15">
      <c r="B315" s="15"/>
      <c r="C315" s="25"/>
      <c r="D315" s="24" t="s">
        <v>304</v>
      </c>
      <c r="E315" s="11">
        <v>0.18</v>
      </c>
      <c r="F315" s="12"/>
      <c r="G315" s="12"/>
      <c r="H315" s="12"/>
      <c r="I315" s="13"/>
      <c r="J315" s="17">
        <v>2016</v>
      </c>
      <c r="K315" s="20" t="s">
        <v>27</v>
      </c>
      <c r="L315" s="4" t="s">
        <v>36</v>
      </c>
      <c r="M315" s="4" t="s">
        <v>21</v>
      </c>
      <c r="N315" s="4" t="s">
        <v>37</v>
      </c>
      <c r="O315" s="4"/>
    </row>
    <row r="316" spans="2:15">
      <c r="B316" s="15"/>
      <c r="C316" s="25"/>
      <c r="D316" s="24" t="s">
        <v>304</v>
      </c>
      <c r="E316" s="11">
        <v>0.31</v>
      </c>
      <c r="F316" s="12"/>
      <c r="G316" s="12"/>
      <c r="H316" s="12"/>
      <c r="I316" s="13"/>
      <c r="J316" s="17">
        <v>2015</v>
      </c>
      <c r="K316" s="20" t="s">
        <v>27</v>
      </c>
      <c r="L316" s="4" t="s">
        <v>24</v>
      </c>
      <c r="M316" s="4" t="s">
        <v>21</v>
      </c>
      <c r="N316" s="4" t="s">
        <v>37</v>
      </c>
      <c r="O316" s="4"/>
    </row>
    <row r="317" spans="2:15">
      <c r="B317" s="15"/>
      <c r="C317" s="25"/>
      <c r="D317" s="24" t="s">
        <v>304</v>
      </c>
      <c r="E317" s="11">
        <v>0.22</v>
      </c>
      <c r="F317" s="12"/>
      <c r="G317" s="12"/>
      <c r="H317" s="12">
        <v>0.31</v>
      </c>
      <c r="I317" s="13">
        <v>0.13</v>
      </c>
      <c r="J317" s="17">
        <v>2013</v>
      </c>
      <c r="K317" s="20" t="s">
        <v>27</v>
      </c>
      <c r="L317" s="4" t="s">
        <v>24</v>
      </c>
      <c r="M317" s="4" t="s">
        <v>21</v>
      </c>
      <c r="N317" s="4"/>
      <c r="O317" s="4"/>
    </row>
    <row r="318" spans="2:15">
      <c r="B318" s="15"/>
      <c r="C318" s="25"/>
      <c r="D318" s="24" t="s">
        <v>304</v>
      </c>
      <c r="E318" s="11">
        <v>0.3</v>
      </c>
      <c r="F318" s="12"/>
      <c r="G318" s="12"/>
      <c r="H318" s="12"/>
      <c r="I318" s="13"/>
      <c r="J318" s="17">
        <v>2012</v>
      </c>
      <c r="K318" s="20" t="s">
        <v>50</v>
      </c>
      <c r="L318" s="4" t="s">
        <v>24</v>
      </c>
      <c r="M318" s="4" t="s">
        <v>21</v>
      </c>
      <c r="N318" s="4"/>
      <c r="O318" s="4"/>
    </row>
    <row r="319" spans="2:15">
      <c r="B319" s="15"/>
      <c r="C319" s="25"/>
      <c r="D319" s="24" t="s">
        <v>304</v>
      </c>
      <c r="E319" s="11">
        <v>0.28999999999999998</v>
      </c>
      <c r="F319" s="12">
        <v>7.0000000000000007E-2</v>
      </c>
      <c r="G319" s="12">
        <v>0.5</v>
      </c>
      <c r="H319" s="12"/>
      <c r="I319" s="13"/>
      <c r="J319" s="17">
        <v>2011</v>
      </c>
      <c r="K319" s="20" t="s">
        <v>27</v>
      </c>
      <c r="L319" s="4" t="s">
        <v>24</v>
      </c>
      <c r="M319" s="4" t="s">
        <v>21</v>
      </c>
      <c r="N319" s="4" t="s">
        <v>22</v>
      </c>
      <c r="O319" s="4"/>
    </row>
    <row r="320" spans="2:15">
      <c r="B320" s="15"/>
      <c r="C320" s="25"/>
      <c r="D320" s="24" t="s">
        <v>304</v>
      </c>
      <c r="E320" s="11">
        <v>0.33</v>
      </c>
      <c r="F320" s="12">
        <v>0.13</v>
      </c>
      <c r="G320" s="12">
        <v>0.51</v>
      </c>
      <c r="H320" s="12"/>
      <c r="I320" s="13"/>
      <c r="J320" s="17">
        <v>2007</v>
      </c>
      <c r="K320" s="20" t="s">
        <v>27</v>
      </c>
      <c r="L320" s="4" t="s">
        <v>38</v>
      </c>
      <c r="M320" s="4" t="s">
        <v>47</v>
      </c>
      <c r="N320" s="4" t="s">
        <v>75</v>
      </c>
      <c r="O320" s="4"/>
    </row>
    <row r="321" spans="2:15">
      <c r="B321" s="15"/>
      <c r="C321" s="25"/>
      <c r="D321" s="24" t="s">
        <v>305</v>
      </c>
      <c r="E321" s="11">
        <v>1.20255986737302</v>
      </c>
      <c r="F321" s="12"/>
      <c r="G321" s="12"/>
      <c r="H321" s="12">
        <v>1.4744891879797211</v>
      </c>
      <c r="I321" s="13">
        <v>0.93291714775757317</v>
      </c>
      <c r="J321" s="17">
        <v>2023</v>
      </c>
      <c r="K321" s="20" t="s">
        <v>306</v>
      </c>
      <c r="L321" s="4" t="s">
        <v>36</v>
      </c>
      <c r="M321" s="4" t="s">
        <v>21</v>
      </c>
      <c r="N321" s="4"/>
      <c r="O321" s="4" t="s">
        <v>307</v>
      </c>
    </row>
    <row r="322" spans="2:15">
      <c r="B322" s="15"/>
      <c r="C322" s="25"/>
      <c r="D322" s="24" t="s">
        <v>305</v>
      </c>
      <c r="E322" s="11">
        <v>1.1000000000000001</v>
      </c>
      <c r="F322" s="12"/>
      <c r="G322" s="12"/>
      <c r="H322" s="12">
        <v>1.45</v>
      </c>
      <c r="I322" s="13">
        <v>0.76</v>
      </c>
      <c r="J322" s="17">
        <v>2022</v>
      </c>
      <c r="K322" s="20" t="s">
        <v>306</v>
      </c>
      <c r="L322" s="4" t="s">
        <v>36</v>
      </c>
      <c r="M322" s="4" t="s">
        <v>21</v>
      </c>
      <c r="N322" s="4"/>
      <c r="O322" s="4" t="s">
        <v>308</v>
      </c>
    </row>
    <row r="323" spans="2:15">
      <c r="B323" s="15"/>
      <c r="C323" s="25"/>
      <c r="D323" s="24" t="s">
        <v>305</v>
      </c>
      <c r="E323" s="11">
        <v>0.74141814782395898</v>
      </c>
      <c r="F323" s="12"/>
      <c r="G323" s="12"/>
      <c r="H323" s="12"/>
      <c r="I323" s="13"/>
      <c r="J323" s="17">
        <v>2021</v>
      </c>
      <c r="K323" s="20" t="s">
        <v>306</v>
      </c>
      <c r="L323" s="4" t="s">
        <v>36</v>
      </c>
      <c r="M323" s="4" t="s">
        <v>21</v>
      </c>
      <c r="N323" s="4"/>
      <c r="O323" s="4" t="s">
        <v>496</v>
      </c>
    </row>
    <row r="324" spans="2:15">
      <c r="B324" s="15"/>
      <c r="C324" s="25"/>
      <c r="D324" s="24" t="s">
        <v>305</v>
      </c>
      <c r="E324" s="11">
        <v>1.27</v>
      </c>
      <c r="F324" s="12"/>
      <c r="G324" s="12"/>
      <c r="H324" s="12">
        <v>1.56</v>
      </c>
      <c r="I324" s="13">
        <v>1</v>
      </c>
      <c r="J324" s="17">
        <v>2019</v>
      </c>
      <c r="K324" s="20" t="s">
        <v>265</v>
      </c>
      <c r="L324" s="4" t="s">
        <v>24</v>
      </c>
      <c r="M324" s="4" t="s">
        <v>21</v>
      </c>
      <c r="N324" s="4"/>
      <c r="O324" s="4" t="s">
        <v>497</v>
      </c>
    </row>
    <row r="325" spans="2:15">
      <c r="B325" s="15"/>
      <c r="C325" s="25"/>
      <c r="D325" s="24" t="s">
        <v>305</v>
      </c>
      <c r="E325" s="11">
        <v>1.55</v>
      </c>
      <c r="F325" s="12"/>
      <c r="G325" s="12"/>
      <c r="H325" s="12">
        <v>2.0699999999999998</v>
      </c>
      <c r="I325" s="13">
        <v>1.04</v>
      </c>
      <c r="J325" s="17">
        <v>2018</v>
      </c>
      <c r="K325" s="20" t="s">
        <v>306</v>
      </c>
      <c r="L325" s="4" t="s">
        <v>36</v>
      </c>
      <c r="M325" s="4" t="s">
        <v>21</v>
      </c>
      <c r="N325" s="4"/>
      <c r="O325" s="4" t="s">
        <v>498</v>
      </c>
    </row>
    <row r="326" spans="2:15">
      <c r="B326" s="15"/>
      <c r="C326" s="25"/>
      <c r="D326" s="24" t="s">
        <v>305</v>
      </c>
      <c r="E326" s="11">
        <v>1.66</v>
      </c>
      <c r="F326" s="12"/>
      <c r="G326" s="12"/>
      <c r="H326" s="12">
        <v>2.23</v>
      </c>
      <c r="I326" s="13">
        <v>1.0900000000000001</v>
      </c>
      <c r="J326" s="17">
        <v>2017</v>
      </c>
      <c r="K326" s="20" t="s">
        <v>306</v>
      </c>
      <c r="L326" s="4" t="s">
        <v>36</v>
      </c>
      <c r="M326" s="4" t="s">
        <v>21</v>
      </c>
      <c r="N326" s="4"/>
      <c r="O326" s="4" t="s">
        <v>499</v>
      </c>
    </row>
    <row r="327" spans="2:15">
      <c r="B327" s="15"/>
      <c r="C327" s="25"/>
      <c r="D327" s="24" t="s">
        <v>305</v>
      </c>
      <c r="E327" s="11">
        <v>1.34</v>
      </c>
      <c r="F327" s="12"/>
      <c r="G327" s="12"/>
      <c r="H327" s="12">
        <v>1.75</v>
      </c>
      <c r="I327" s="13">
        <v>0.93</v>
      </c>
      <c r="J327" s="17">
        <v>2016</v>
      </c>
      <c r="K327" s="20" t="s">
        <v>306</v>
      </c>
      <c r="L327" s="4" t="s">
        <v>36</v>
      </c>
      <c r="M327" s="4" t="s">
        <v>21</v>
      </c>
      <c r="N327" s="4"/>
      <c r="O327" s="4" t="s">
        <v>500</v>
      </c>
    </row>
    <row r="328" spans="2:15">
      <c r="B328" s="15"/>
      <c r="C328" s="25"/>
      <c r="D328" s="24" t="s">
        <v>305</v>
      </c>
      <c r="E328" s="11">
        <v>1.5</v>
      </c>
      <c r="F328" s="12"/>
      <c r="G328" s="12"/>
      <c r="H328" s="12">
        <v>2.1800000000000002</v>
      </c>
      <c r="I328" s="13">
        <v>0.83</v>
      </c>
      <c r="J328" s="17">
        <v>2015</v>
      </c>
      <c r="K328" s="20" t="s">
        <v>306</v>
      </c>
      <c r="L328" s="4" t="s">
        <v>36</v>
      </c>
      <c r="M328" s="4" t="s">
        <v>21</v>
      </c>
      <c r="N328" s="4"/>
      <c r="O328" s="4" t="s">
        <v>501</v>
      </c>
    </row>
    <row r="329" spans="2:15">
      <c r="B329" s="15"/>
      <c r="C329" s="25"/>
      <c r="D329" s="24" t="s">
        <v>305</v>
      </c>
      <c r="E329" s="11">
        <v>1.68</v>
      </c>
      <c r="F329" s="12"/>
      <c r="G329" s="12"/>
      <c r="H329" s="12">
        <v>2.52</v>
      </c>
      <c r="I329" s="13">
        <v>0.85</v>
      </c>
      <c r="J329" s="17">
        <v>2014</v>
      </c>
      <c r="K329" s="20" t="s">
        <v>306</v>
      </c>
      <c r="L329" s="4" t="s">
        <v>36</v>
      </c>
      <c r="M329" s="4" t="s">
        <v>21</v>
      </c>
      <c r="N329" s="4"/>
      <c r="O329" s="4" t="s">
        <v>502</v>
      </c>
    </row>
    <row r="330" spans="2:15">
      <c r="B330" s="15"/>
      <c r="C330" s="25"/>
      <c r="D330" s="24" t="s">
        <v>305</v>
      </c>
      <c r="E330" s="11">
        <v>1.58</v>
      </c>
      <c r="F330" s="12"/>
      <c r="G330" s="12"/>
      <c r="H330" s="12">
        <v>2.29</v>
      </c>
      <c r="I330" s="13">
        <v>0.89</v>
      </c>
      <c r="J330" s="17">
        <v>2013</v>
      </c>
      <c r="K330" s="20" t="s">
        <v>306</v>
      </c>
      <c r="L330" s="4" t="s">
        <v>36</v>
      </c>
      <c r="M330" s="4" t="s">
        <v>21</v>
      </c>
      <c r="N330" s="4"/>
      <c r="O330" s="4" t="s">
        <v>503</v>
      </c>
    </row>
    <row r="331" spans="2:15">
      <c r="B331" s="15"/>
      <c r="C331" s="25"/>
      <c r="D331" s="24" t="s">
        <v>305</v>
      </c>
      <c r="E331" s="11">
        <v>1.24</v>
      </c>
      <c r="F331" s="12"/>
      <c r="G331" s="12"/>
      <c r="H331" s="12">
        <v>1.85</v>
      </c>
      <c r="I331" s="13">
        <v>0.64</v>
      </c>
      <c r="J331" s="17">
        <v>2012</v>
      </c>
      <c r="K331" s="20" t="s">
        <v>306</v>
      </c>
      <c r="L331" s="4" t="s">
        <v>36</v>
      </c>
      <c r="M331" s="4" t="s">
        <v>21</v>
      </c>
      <c r="N331" s="4"/>
      <c r="O331" s="4" t="s">
        <v>466</v>
      </c>
    </row>
    <row r="332" spans="2:15">
      <c r="B332" s="15"/>
      <c r="C332" s="25"/>
      <c r="D332" s="24" t="s">
        <v>305</v>
      </c>
      <c r="E332" s="11">
        <v>1.38</v>
      </c>
      <c r="F332" s="12"/>
      <c r="G332" s="12"/>
      <c r="H332" s="12">
        <v>2.0099999999999998</v>
      </c>
      <c r="I332" s="13">
        <v>0.76</v>
      </c>
      <c r="J332" s="17">
        <v>2011</v>
      </c>
      <c r="K332" s="20" t="s">
        <v>306</v>
      </c>
      <c r="L332" s="4" t="s">
        <v>36</v>
      </c>
      <c r="M332" s="4" t="s">
        <v>21</v>
      </c>
      <c r="N332" s="4"/>
      <c r="O332" s="4" t="s">
        <v>467</v>
      </c>
    </row>
    <row r="333" spans="2:15">
      <c r="B333" s="15"/>
      <c r="C333" s="25"/>
      <c r="D333" s="24" t="s">
        <v>305</v>
      </c>
      <c r="E333" s="11">
        <v>1.35</v>
      </c>
      <c r="F333" s="12"/>
      <c r="G333" s="12"/>
      <c r="H333" s="12">
        <v>1.86</v>
      </c>
      <c r="I333" s="13">
        <v>0.85</v>
      </c>
      <c r="J333" s="17">
        <v>2010</v>
      </c>
      <c r="K333" s="20" t="s">
        <v>306</v>
      </c>
      <c r="L333" s="4" t="s">
        <v>125</v>
      </c>
      <c r="M333" s="4" t="s">
        <v>51</v>
      </c>
      <c r="N333" s="4"/>
      <c r="O333" s="4" t="s">
        <v>468</v>
      </c>
    </row>
    <row r="334" spans="2:15">
      <c r="B334" s="15"/>
      <c r="C334" s="25"/>
      <c r="D334" s="24" t="s">
        <v>320</v>
      </c>
      <c r="E334" s="11">
        <v>0.8</v>
      </c>
      <c r="F334" s="12"/>
      <c r="G334" s="12"/>
      <c r="H334" s="12"/>
      <c r="I334" s="13"/>
      <c r="J334" s="17">
        <v>2014</v>
      </c>
      <c r="K334" s="20" t="s">
        <v>27</v>
      </c>
      <c r="L334" s="4" t="s">
        <v>36</v>
      </c>
      <c r="M334" s="4" t="s">
        <v>21</v>
      </c>
      <c r="N334" s="4"/>
      <c r="O334" s="4" t="s">
        <v>398</v>
      </c>
    </row>
    <row r="335" spans="2:15">
      <c r="B335" s="15"/>
      <c r="C335" s="25"/>
      <c r="D335" s="24" t="s">
        <v>320</v>
      </c>
      <c r="E335" s="11">
        <v>1.1000000000000001</v>
      </c>
      <c r="F335" s="12"/>
      <c r="G335" s="12"/>
      <c r="H335" s="12"/>
      <c r="I335" s="13"/>
      <c r="J335" s="17">
        <v>2011</v>
      </c>
      <c r="K335" s="20" t="s">
        <v>27</v>
      </c>
      <c r="L335" s="4" t="s">
        <v>36</v>
      </c>
      <c r="M335" s="4" t="s">
        <v>21</v>
      </c>
      <c r="N335" s="4"/>
      <c r="O335" s="4" t="s">
        <v>469</v>
      </c>
    </row>
    <row r="336" spans="2:15">
      <c r="B336" s="15"/>
      <c r="C336" s="25"/>
      <c r="D336" s="24" t="s">
        <v>320</v>
      </c>
      <c r="E336" s="11">
        <v>1.8</v>
      </c>
      <c r="F336" s="12"/>
      <c r="G336" s="12"/>
      <c r="H336" s="12"/>
      <c r="I336" s="13"/>
      <c r="J336" s="17">
        <v>2006</v>
      </c>
      <c r="K336" s="20" t="s">
        <v>27</v>
      </c>
      <c r="L336" s="4" t="s">
        <v>125</v>
      </c>
      <c r="M336" s="4" t="s">
        <v>51</v>
      </c>
      <c r="N336" s="4"/>
      <c r="O336" s="4"/>
    </row>
    <row r="337" spans="2:15">
      <c r="B337" s="15"/>
      <c r="C337" s="25"/>
      <c r="D337" s="24" t="s">
        <v>323</v>
      </c>
      <c r="E337" s="11">
        <v>1.7</v>
      </c>
      <c r="F337" s="12"/>
      <c r="G337" s="12"/>
      <c r="H337" s="12">
        <v>2.66</v>
      </c>
      <c r="I337" s="13">
        <v>0.78</v>
      </c>
      <c r="J337" s="17">
        <v>2014</v>
      </c>
      <c r="K337" s="20" t="s">
        <v>265</v>
      </c>
      <c r="L337" s="4" t="s">
        <v>36</v>
      </c>
      <c r="M337" s="4" t="s">
        <v>21</v>
      </c>
      <c r="N337" s="4"/>
      <c r="O337" s="4" t="s">
        <v>398</v>
      </c>
    </row>
    <row r="338" spans="2:15">
      <c r="B338" s="15"/>
      <c r="C338" s="25"/>
      <c r="D338" s="24" t="s">
        <v>323</v>
      </c>
      <c r="E338" s="11">
        <v>1.7</v>
      </c>
      <c r="F338" s="12"/>
      <c r="G338" s="12"/>
      <c r="H338" s="12">
        <v>2.6</v>
      </c>
      <c r="I338" s="13">
        <v>0.7</v>
      </c>
      <c r="J338" s="17">
        <v>2012</v>
      </c>
      <c r="K338" s="20" t="s">
        <v>265</v>
      </c>
      <c r="L338" s="4" t="s">
        <v>36</v>
      </c>
      <c r="M338" s="4" t="s">
        <v>21</v>
      </c>
      <c r="N338" s="4"/>
      <c r="O338" s="4" t="s">
        <v>471</v>
      </c>
    </row>
    <row r="339" spans="2:15">
      <c r="B339" s="15"/>
      <c r="C339" s="25"/>
      <c r="D339" s="24" t="s">
        <v>323</v>
      </c>
      <c r="E339" s="11">
        <v>1.7</v>
      </c>
      <c r="F339" s="12"/>
      <c r="G339" s="12"/>
      <c r="H339" s="12"/>
      <c r="I339" s="13"/>
      <c r="J339" s="17">
        <v>2011</v>
      </c>
      <c r="K339" s="20" t="s">
        <v>265</v>
      </c>
      <c r="L339" s="4" t="s">
        <v>36</v>
      </c>
      <c r="M339" s="4" t="s">
        <v>21</v>
      </c>
      <c r="N339" s="4"/>
      <c r="O339" s="4" t="s">
        <v>469</v>
      </c>
    </row>
    <row r="340" spans="2:15">
      <c r="B340" s="15"/>
      <c r="C340" s="25"/>
      <c r="D340" s="24" t="s">
        <v>323</v>
      </c>
      <c r="E340" s="11">
        <v>2.4</v>
      </c>
      <c r="F340" s="12"/>
      <c r="G340" s="12"/>
      <c r="H340" s="12"/>
      <c r="I340" s="13"/>
      <c r="J340" s="17">
        <v>2010</v>
      </c>
      <c r="K340" s="20" t="s">
        <v>265</v>
      </c>
      <c r="L340" s="4" t="s">
        <v>125</v>
      </c>
      <c r="M340" s="4" t="s">
        <v>51</v>
      </c>
      <c r="N340" s="4"/>
      <c r="O340" s="4" t="s">
        <v>472</v>
      </c>
    </row>
    <row r="341" spans="2:15">
      <c r="B341" s="15" t="s">
        <v>327</v>
      </c>
      <c r="C341" s="25" t="s">
        <v>328</v>
      </c>
      <c r="D341" s="24" t="s">
        <v>329</v>
      </c>
      <c r="E341" s="11">
        <v>2.1</v>
      </c>
      <c r="F341" s="12">
        <f>E341-0.3</f>
        <v>1.8</v>
      </c>
      <c r="G341" s="12">
        <f>E341+0.3</f>
        <v>2.4</v>
      </c>
      <c r="H341" s="12">
        <v>2.5</v>
      </c>
      <c r="I341" s="13">
        <v>1.6</v>
      </c>
      <c r="J341" s="17" t="s">
        <v>330</v>
      </c>
      <c r="K341" s="20" t="s">
        <v>226</v>
      </c>
      <c r="L341" s="4" t="s">
        <v>125</v>
      </c>
      <c r="M341" s="4" t="s">
        <v>21</v>
      </c>
      <c r="N341" s="4"/>
      <c r="O341" s="4"/>
    </row>
    <row r="342" spans="2:15">
      <c r="B342" s="15"/>
      <c r="C342" s="25"/>
      <c r="D342" s="24" t="s">
        <v>329</v>
      </c>
      <c r="E342" s="11">
        <v>3</v>
      </c>
      <c r="F342" s="12"/>
      <c r="G342" s="12"/>
      <c r="H342" s="12">
        <v>3.9</v>
      </c>
      <c r="I342" s="13">
        <v>2</v>
      </c>
      <c r="J342" s="17">
        <v>2019</v>
      </c>
      <c r="K342" s="20" t="s">
        <v>226</v>
      </c>
      <c r="L342" s="4" t="s">
        <v>24</v>
      </c>
      <c r="M342" s="4" t="s">
        <v>21</v>
      </c>
      <c r="N342" s="4"/>
      <c r="O342" s="4"/>
    </row>
    <row r="343" spans="2:15">
      <c r="B343" s="15"/>
      <c r="C343" s="25"/>
      <c r="D343" s="24" t="s">
        <v>329</v>
      </c>
      <c r="E343" s="11">
        <v>2.2000000000000002</v>
      </c>
      <c r="F343" s="12"/>
      <c r="G343" s="12"/>
      <c r="H343" s="12">
        <v>2.6</v>
      </c>
      <c r="I343" s="13">
        <v>1.8</v>
      </c>
      <c r="J343" s="17">
        <v>2016</v>
      </c>
      <c r="K343" s="20" t="s">
        <v>226</v>
      </c>
      <c r="L343" s="4" t="s">
        <v>24</v>
      </c>
      <c r="M343" s="4" t="s">
        <v>21</v>
      </c>
      <c r="N343" s="4"/>
      <c r="O343" s="4"/>
    </row>
    <row r="344" spans="2:15">
      <c r="B344" s="15"/>
      <c r="C344" s="25"/>
      <c r="D344" s="24" t="s">
        <v>329</v>
      </c>
      <c r="E344" s="11">
        <v>2.5</v>
      </c>
      <c r="F344" s="12"/>
      <c r="G344" s="12"/>
      <c r="H344" s="12">
        <v>3.2</v>
      </c>
      <c r="I344" s="13">
        <v>1.8</v>
      </c>
      <c r="J344" s="17">
        <v>2013</v>
      </c>
      <c r="K344" s="20" t="s">
        <v>226</v>
      </c>
      <c r="L344" s="4" t="s">
        <v>24</v>
      </c>
      <c r="M344" s="4" t="s">
        <v>21</v>
      </c>
      <c r="N344" s="4"/>
      <c r="O344" s="4"/>
    </row>
    <row r="345" spans="2:15">
      <c r="B345" s="15"/>
      <c r="C345" s="25"/>
      <c r="D345" s="24" t="s">
        <v>329</v>
      </c>
      <c r="E345" s="11">
        <v>3</v>
      </c>
      <c r="F345" s="12"/>
      <c r="G345" s="12"/>
      <c r="H345" s="12"/>
      <c r="I345" s="13"/>
      <c r="J345" s="17">
        <v>2010</v>
      </c>
      <c r="K345" s="20" t="s">
        <v>226</v>
      </c>
      <c r="L345" s="4" t="s">
        <v>24</v>
      </c>
      <c r="M345" s="4" t="s">
        <v>21</v>
      </c>
      <c r="N345" s="4"/>
      <c r="O345" s="4"/>
    </row>
    <row r="346" spans="2:15">
      <c r="B346" s="15"/>
      <c r="C346" s="25"/>
      <c r="D346" s="24" t="s">
        <v>329</v>
      </c>
      <c r="E346" s="11">
        <v>4.2</v>
      </c>
      <c r="F346" s="12"/>
      <c r="G346" s="12"/>
      <c r="H346" s="12"/>
      <c r="I346" s="13"/>
      <c r="J346" s="17">
        <v>2007</v>
      </c>
      <c r="K346" s="20" t="s">
        <v>27</v>
      </c>
      <c r="L346" s="4" t="s">
        <v>504</v>
      </c>
      <c r="M346" s="4" t="s">
        <v>51</v>
      </c>
      <c r="N346" s="4"/>
      <c r="O346" s="4"/>
    </row>
    <row r="347" spans="2:15">
      <c r="B347" s="15"/>
      <c r="C347" s="25"/>
      <c r="D347" s="24" t="s">
        <v>331</v>
      </c>
      <c r="E347" s="11">
        <v>4.8</v>
      </c>
      <c r="F347" s="12">
        <v>4.2</v>
      </c>
      <c r="G347" s="12">
        <v>5.6</v>
      </c>
      <c r="H347" s="12">
        <v>6.3</v>
      </c>
      <c r="I347" s="13">
        <v>3.3</v>
      </c>
      <c r="J347" s="17" t="s">
        <v>332</v>
      </c>
      <c r="K347" s="20" t="s">
        <v>50</v>
      </c>
      <c r="L347" s="4" t="s">
        <v>36</v>
      </c>
      <c r="M347" s="4" t="s">
        <v>51</v>
      </c>
      <c r="N347" s="4"/>
      <c r="O347" s="4"/>
    </row>
    <row r="348" spans="2:15">
      <c r="B348" s="15"/>
      <c r="C348" s="25"/>
      <c r="D348" s="24" t="s">
        <v>331</v>
      </c>
      <c r="E348" s="11">
        <v>3.6</v>
      </c>
      <c r="F348" s="12"/>
      <c r="G348" s="12"/>
      <c r="H348" s="12">
        <v>4.5</v>
      </c>
      <c r="I348" s="13">
        <v>2.6</v>
      </c>
      <c r="J348" s="17" t="s">
        <v>330</v>
      </c>
      <c r="K348" s="20" t="s">
        <v>50</v>
      </c>
      <c r="L348" s="4" t="s">
        <v>38</v>
      </c>
      <c r="M348" s="4" t="s">
        <v>51</v>
      </c>
      <c r="N348" s="4"/>
      <c r="O348" s="4"/>
    </row>
    <row r="349" spans="2:15">
      <c r="B349" s="15"/>
      <c r="C349" s="25"/>
      <c r="D349" s="24" t="s">
        <v>331</v>
      </c>
      <c r="E349" s="11">
        <v>4.3</v>
      </c>
      <c r="F349" s="12"/>
      <c r="G349" s="12"/>
      <c r="H349" s="12"/>
      <c r="I349" s="13"/>
      <c r="J349" s="17">
        <v>2022</v>
      </c>
      <c r="K349" s="20" t="s">
        <v>27</v>
      </c>
      <c r="L349" s="4" t="s">
        <v>24</v>
      </c>
      <c r="M349" s="4" t="s">
        <v>21</v>
      </c>
      <c r="N349" s="4"/>
      <c r="O349" s="4" t="s">
        <v>333</v>
      </c>
    </row>
    <row r="350" spans="2:15">
      <c r="B350" s="15"/>
      <c r="C350" s="25"/>
      <c r="D350" s="24" t="s">
        <v>331</v>
      </c>
      <c r="E350" s="11">
        <v>2</v>
      </c>
      <c r="F350" s="12">
        <v>1.7</v>
      </c>
      <c r="G350" s="12">
        <v>2.4</v>
      </c>
      <c r="H350" s="12">
        <v>2.7</v>
      </c>
      <c r="I350" s="13">
        <v>1.5</v>
      </c>
      <c r="J350" s="17">
        <v>2013</v>
      </c>
      <c r="K350" s="20" t="s">
        <v>50</v>
      </c>
      <c r="L350" s="4" t="s">
        <v>36</v>
      </c>
      <c r="M350" s="4" t="s">
        <v>21</v>
      </c>
      <c r="N350" s="4"/>
      <c r="O350" s="4" t="s">
        <v>340</v>
      </c>
    </row>
    <row r="351" spans="2:15">
      <c r="B351" s="15"/>
      <c r="C351" s="25"/>
      <c r="D351" s="24" t="s">
        <v>331</v>
      </c>
      <c r="E351" s="11">
        <v>2.6</v>
      </c>
      <c r="F351" s="12">
        <v>2</v>
      </c>
      <c r="G351" s="12">
        <v>3.1</v>
      </c>
      <c r="H351" s="12">
        <v>3.6</v>
      </c>
      <c r="I351" s="13">
        <v>1.5</v>
      </c>
      <c r="J351" s="17">
        <v>2008</v>
      </c>
      <c r="K351" s="20" t="s">
        <v>265</v>
      </c>
      <c r="L351" s="4" t="s">
        <v>36</v>
      </c>
      <c r="M351" s="4" t="s">
        <v>21</v>
      </c>
      <c r="N351" s="4"/>
      <c r="O351" s="4" t="s">
        <v>341</v>
      </c>
    </row>
    <row r="352" spans="2:15">
      <c r="B352" s="15"/>
      <c r="C352" s="25"/>
      <c r="D352" s="24" t="s">
        <v>331</v>
      </c>
      <c r="E352" s="11">
        <v>2.6</v>
      </c>
      <c r="F352" s="12"/>
      <c r="G352" s="12"/>
      <c r="H352" s="12"/>
      <c r="I352" s="13"/>
      <c r="J352" s="17">
        <v>2007</v>
      </c>
      <c r="K352" s="20" t="s">
        <v>265</v>
      </c>
      <c r="L352" s="4" t="s">
        <v>36</v>
      </c>
      <c r="M352" s="4" t="s">
        <v>21</v>
      </c>
      <c r="N352" s="4"/>
      <c r="O352" s="4"/>
    </row>
    <row r="353" spans="2:15">
      <c r="B353" s="15"/>
      <c r="C353" s="25"/>
      <c r="D353" s="24" t="s">
        <v>331</v>
      </c>
      <c r="E353" s="11">
        <v>2.6</v>
      </c>
      <c r="F353" s="12"/>
      <c r="G353" s="12"/>
      <c r="H353" s="12"/>
      <c r="I353" s="13"/>
      <c r="J353" s="17">
        <v>2006</v>
      </c>
      <c r="K353" s="20" t="s">
        <v>27</v>
      </c>
      <c r="L353" s="4" t="s">
        <v>38</v>
      </c>
      <c r="M353" s="4" t="s">
        <v>51</v>
      </c>
      <c r="N353" s="4" t="s">
        <v>505</v>
      </c>
      <c r="O353" s="4"/>
    </row>
    <row r="354" spans="2:15" ht="158.1" customHeight="1">
      <c r="B354" s="87" t="s">
        <v>506</v>
      </c>
      <c r="C354" s="88"/>
      <c r="D354" s="88"/>
      <c r="E354" s="88"/>
      <c r="F354" s="88"/>
      <c r="G354" s="88"/>
      <c r="H354" s="88"/>
      <c r="I354" s="88"/>
      <c r="J354" s="88"/>
      <c r="K354" s="88"/>
      <c r="L354" s="88"/>
      <c r="M354" s="88"/>
      <c r="N354" s="88"/>
      <c r="O354" s="88"/>
    </row>
  </sheetData>
  <mergeCells count="3">
    <mergeCell ref="B1:O1"/>
    <mergeCell ref="B2:O2"/>
    <mergeCell ref="B354:O354"/>
  </mergeCells>
  <conditionalFormatting sqref="D4:D353">
    <cfRule type="expression" dxfId="13" priority="5">
      <formula>#REF!=-1</formula>
    </cfRule>
  </conditionalFormatting>
  <pageMargins left="0.7" right="0.7" top="0.75" bottom="0.75" header="0.3" footer="0.3"/>
  <pageSetup paperSize="9" scale="14"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B1:O55"/>
  <sheetViews>
    <sheetView zoomScale="90" zoomScaleNormal="90" workbookViewId="0">
      <pane ySplit="3" topLeftCell="A4" activePane="bottomLeft" state="frozen"/>
      <selection activeCell="H40" sqref="H40"/>
      <selection pane="bottomLeft"/>
    </sheetView>
  </sheetViews>
  <sheetFormatPr defaultColWidth="9" defaultRowHeight="15.75"/>
  <cols>
    <col min="1" max="1" width="8" customWidth="1"/>
    <col min="2" max="2" width="16.125" customWidth="1"/>
    <col min="3" max="3" width="40.125" customWidth="1"/>
    <col min="4" max="4" width="38.875" customWidth="1"/>
    <col min="5" max="9" width="11.625" customWidth="1"/>
    <col min="10" max="11" width="11.625" style="18" customWidth="1"/>
    <col min="12" max="12" width="49.125" customWidth="1"/>
    <col min="13" max="13" width="12.5" customWidth="1"/>
    <col min="14" max="14" width="16.625" customWidth="1"/>
    <col min="15" max="15" width="64.375" customWidth="1"/>
  </cols>
  <sheetData>
    <row r="1" spans="2:15" ht="29.45" customHeight="1">
      <c r="B1" s="76" t="s">
        <v>507</v>
      </c>
      <c r="C1" s="77"/>
      <c r="D1" s="77"/>
      <c r="E1" s="77"/>
      <c r="F1" s="77"/>
      <c r="G1" s="77"/>
      <c r="H1" s="77"/>
      <c r="I1" s="77"/>
      <c r="J1" s="77"/>
      <c r="K1" s="77"/>
      <c r="L1" s="77"/>
      <c r="M1" s="77"/>
      <c r="N1" s="77"/>
      <c r="O1" s="77"/>
    </row>
    <row r="2" spans="2:15" ht="27" customHeight="1">
      <c r="B2" s="78" t="s">
        <v>1</v>
      </c>
      <c r="C2" s="79"/>
      <c r="D2" s="79"/>
      <c r="E2" s="79"/>
      <c r="F2" s="79"/>
      <c r="G2" s="79"/>
      <c r="H2" s="79"/>
      <c r="I2" s="79"/>
      <c r="J2" s="79"/>
      <c r="K2" s="79"/>
      <c r="L2" s="79"/>
      <c r="M2" s="79"/>
      <c r="N2" s="79"/>
      <c r="O2" s="79"/>
    </row>
    <row r="3" spans="2:15" ht="45.6" customHeight="1">
      <c r="B3" s="5" t="s">
        <v>2</v>
      </c>
      <c r="C3" s="5" t="s">
        <v>3</v>
      </c>
      <c r="D3" s="5" t="s">
        <v>4</v>
      </c>
      <c r="E3" s="6" t="s">
        <v>5</v>
      </c>
      <c r="F3" s="6" t="s">
        <v>6</v>
      </c>
      <c r="G3" s="6" t="s">
        <v>7</v>
      </c>
      <c r="H3" s="7" t="s">
        <v>8</v>
      </c>
      <c r="I3" s="8" t="s">
        <v>9</v>
      </c>
      <c r="J3" s="5" t="s">
        <v>10</v>
      </c>
      <c r="K3" s="5" t="s">
        <v>11</v>
      </c>
      <c r="L3" s="5" t="s">
        <v>12</v>
      </c>
      <c r="M3" s="9" t="s">
        <v>13</v>
      </c>
      <c r="N3" s="6" t="s">
        <v>14</v>
      </c>
      <c r="O3" s="5" t="s">
        <v>15</v>
      </c>
    </row>
    <row r="4" spans="2:15">
      <c r="B4" s="15" t="s">
        <v>16</v>
      </c>
      <c r="C4" s="15" t="s">
        <v>59</v>
      </c>
      <c r="D4" s="4" t="s">
        <v>71</v>
      </c>
      <c r="E4" s="32">
        <v>0.156</v>
      </c>
      <c r="F4" s="33">
        <v>0</v>
      </c>
      <c r="G4" s="33">
        <v>0.47699999999999998</v>
      </c>
      <c r="H4" s="33"/>
      <c r="I4" s="34"/>
      <c r="J4" s="35">
        <v>2017</v>
      </c>
      <c r="K4" s="36" t="s">
        <v>27</v>
      </c>
      <c r="L4" s="37" t="s">
        <v>69</v>
      </c>
      <c r="M4" s="37" t="s">
        <v>70</v>
      </c>
      <c r="N4" s="37"/>
      <c r="O4" s="37" t="s">
        <v>508</v>
      </c>
    </row>
    <row r="5" spans="2:15">
      <c r="B5" s="15" t="s">
        <v>76</v>
      </c>
      <c r="C5" s="15" t="s">
        <v>91</v>
      </c>
      <c r="D5" s="4" t="s">
        <v>93</v>
      </c>
      <c r="E5" s="32">
        <v>1.44</v>
      </c>
      <c r="F5" s="33"/>
      <c r="G5" s="33"/>
      <c r="H5" s="33">
        <v>1.61</v>
      </c>
      <c r="I5" s="34">
        <v>1.27</v>
      </c>
      <c r="J5" s="35">
        <v>2015</v>
      </c>
      <c r="K5" s="36" t="s">
        <v>159</v>
      </c>
      <c r="L5" s="37" t="s">
        <v>509</v>
      </c>
      <c r="M5" s="37" t="s">
        <v>21</v>
      </c>
      <c r="N5" s="37"/>
      <c r="O5" s="37"/>
    </row>
    <row r="6" spans="2:15">
      <c r="B6" s="15"/>
      <c r="C6" s="15"/>
      <c r="D6" s="4" t="s">
        <v>93</v>
      </c>
      <c r="E6" s="32">
        <v>1.1000000000000001</v>
      </c>
      <c r="F6" s="33"/>
      <c r="G6" s="33"/>
      <c r="H6" s="33">
        <v>1.29</v>
      </c>
      <c r="I6" s="34">
        <v>0.9</v>
      </c>
      <c r="J6" s="35">
        <v>2010</v>
      </c>
      <c r="K6" s="36" t="s">
        <v>27</v>
      </c>
      <c r="L6" s="37" t="s">
        <v>24</v>
      </c>
      <c r="M6" s="37" t="s">
        <v>21</v>
      </c>
      <c r="N6" s="37" t="s">
        <v>416</v>
      </c>
      <c r="O6" s="37"/>
    </row>
    <row r="7" spans="2:15">
      <c r="B7" s="15"/>
      <c r="C7" s="15"/>
      <c r="D7" s="4" t="s">
        <v>93</v>
      </c>
      <c r="E7" s="32">
        <v>1.31</v>
      </c>
      <c r="F7" s="33"/>
      <c r="G7" s="33"/>
      <c r="H7" s="33">
        <v>1.25</v>
      </c>
      <c r="I7" s="34">
        <v>1.37</v>
      </c>
      <c r="J7" s="35">
        <v>2006</v>
      </c>
      <c r="K7" s="36" t="s">
        <v>94</v>
      </c>
      <c r="L7" s="37" t="s">
        <v>24</v>
      </c>
      <c r="M7" s="37" t="s">
        <v>21</v>
      </c>
      <c r="N7" s="37" t="s">
        <v>416</v>
      </c>
      <c r="O7" s="37" t="s">
        <v>510</v>
      </c>
    </row>
    <row r="8" spans="2:15">
      <c r="B8" s="15"/>
      <c r="C8" s="15"/>
      <c r="D8" s="4" t="s">
        <v>95</v>
      </c>
      <c r="E8" s="32">
        <v>0.36</v>
      </c>
      <c r="F8" s="33">
        <v>0.24</v>
      </c>
      <c r="G8" s="33">
        <v>0.54</v>
      </c>
      <c r="H8" s="33">
        <v>0.54</v>
      </c>
      <c r="I8" s="34">
        <v>0.23</v>
      </c>
      <c r="J8" s="35">
        <v>2014</v>
      </c>
      <c r="K8" s="36" t="s">
        <v>79</v>
      </c>
      <c r="L8" s="37" t="s">
        <v>36</v>
      </c>
      <c r="M8" s="37" t="s">
        <v>21</v>
      </c>
      <c r="N8" s="37" t="s">
        <v>416</v>
      </c>
      <c r="O8" s="37"/>
    </row>
    <row r="9" spans="2:15">
      <c r="B9" s="15"/>
      <c r="C9" s="15"/>
      <c r="D9" s="4" t="s">
        <v>102</v>
      </c>
      <c r="E9" s="32">
        <v>0.05</v>
      </c>
      <c r="F9" s="33"/>
      <c r="G9" s="33"/>
      <c r="H9" s="33">
        <v>0.06</v>
      </c>
      <c r="I9" s="34">
        <v>0.04</v>
      </c>
      <c r="J9" s="35">
        <v>2015</v>
      </c>
      <c r="K9" s="36" t="s">
        <v>79</v>
      </c>
      <c r="L9" s="37" t="s">
        <v>24</v>
      </c>
      <c r="M9" s="37" t="s">
        <v>21</v>
      </c>
      <c r="N9" s="37"/>
      <c r="O9" s="37" t="s">
        <v>358</v>
      </c>
    </row>
    <row r="10" spans="2:15">
      <c r="B10" s="15"/>
      <c r="C10" s="15" t="s">
        <v>104</v>
      </c>
      <c r="D10" s="4" t="s">
        <v>107</v>
      </c>
      <c r="E10" s="32">
        <v>0.99234325899999998</v>
      </c>
      <c r="F10" s="33">
        <v>0.89012845699999998</v>
      </c>
      <c r="G10" s="33">
        <v>1.1061645389999999</v>
      </c>
      <c r="H10" s="33">
        <v>1.0500986450000001</v>
      </c>
      <c r="I10" s="34">
        <v>0.93587036499999998</v>
      </c>
      <c r="J10" s="35">
        <v>2023</v>
      </c>
      <c r="K10" s="36" t="s">
        <v>50</v>
      </c>
      <c r="L10" s="37" t="s">
        <v>36</v>
      </c>
      <c r="M10" s="37" t="s">
        <v>21</v>
      </c>
      <c r="N10" s="37"/>
      <c r="O10" s="37" t="s">
        <v>511</v>
      </c>
    </row>
    <row r="11" spans="2:15">
      <c r="B11" s="15"/>
      <c r="C11" s="15"/>
      <c r="D11" s="4" t="s">
        <v>107</v>
      </c>
      <c r="E11" s="32">
        <v>0.35</v>
      </c>
      <c r="F11" s="33"/>
      <c r="G11" s="33"/>
      <c r="H11" s="33">
        <v>0.6</v>
      </c>
      <c r="I11" s="34">
        <v>0.1</v>
      </c>
      <c r="J11" s="35">
        <v>2017</v>
      </c>
      <c r="K11" s="36" t="s">
        <v>50</v>
      </c>
      <c r="L11" s="37" t="s">
        <v>24</v>
      </c>
      <c r="M11" s="37" t="s">
        <v>21</v>
      </c>
      <c r="N11" s="37"/>
      <c r="O11" s="37"/>
    </row>
    <row r="12" spans="2:15">
      <c r="B12" s="15"/>
      <c r="C12" s="15"/>
      <c r="D12" s="4" t="s">
        <v>107</v>
      </c>
      <c r="E12" s="32">
        <v>0.28000000000000003</v>
      </c>
      <c r="F12" s="33"/>
      <c r="G12" s="33"/>
      <c r="H12" s="33">
        <v>0.33</v>
      </c>
      <c r="I12" s="34"/>
      <c r="J12" s="35">
        <v>2015</v>
      </c>
      <c r="K12" s="36" t="s">
        <v>27</v>
      </c>
      <c r="L12" s="37" t="s">
        <v>24</v>
      </c>
      <c r="M12" s="37" t="s">
        <v>21</v>
      </c>
      <c r="N12" s="37"/>
      <c r="O12" s="37"/>
    </row>
    <row r="13" spans="2:15">
      <c r="B13" s="15"/>
      <c r="C13" s="15"/>
      <c r="D13" s="4" t="s">
        <v>107</v>
      </c>
      <c r="E13" s="32">
        <v>0.7</v>
      </c>
      <c r="F13" s="33"/>
      <c r="G13" s="33"/>
      <c r="H13" s="33">
        <v>0.7</v>
      </c>
      <c r="I13" s="34"/>
      <c r="J13" s="35">
        <v>2012</v>
      </c>
      <c r="K13" s="36" t="s">
        <v>27</v>
      </c>
      <c r="L13" s="37" t="s">
        <v>24</v>
      </c>
      <c r="M13" s="37"/>
      <c r="N13" s="37" t="s">
        <v>416</v>
      </c>
      <c r="O13" s="37"/>
    </row>
    <row r="14" spans="2:15">
      <c r="B14" s="15"/>
      <c r="C14" s="15"/>
      <c r="D14" s="4" t="s">
        <v>113</v>
      </c>
      <c r="E14" s="32">
        <v>1.8006315749999999</v>
      </c>
      <c r="F14" s="33"/>
      <c r="G14" s="33"/>
      <c r="H14" s="33">
        <v>1.783270452</v>
      </c>
      <c r="I14" s="34">
        <v>1.6869388919999999</v>
      </c>
      <c r="J14" s="35">
        <v>2023</v>
      </c>
      <c r="K14" s="36" t="s">
        <v>27</v>
      </c>
      <c r="L14" s="37" t="s">
        <v>97</v>
      </c>
      <c r="M14" s="37" t="s">
        <v>21</v>
      </c>
      <c r="N14" s="37" t="s">
        <v>37</v>
      </c>
      <c r="O14" s="37" t="s">
        <v>114</v>
      </c>
    </row>
    <row r="15" spans="2:15">
      <c r="B15" s="15"/>
      <c r="C15" s="15"/>
      <c r="D15" s="4" t="s">
        <v>113</v>
      </c>
      <c r="E15" s="32">
        <v>1.9292481159999999</v>
      </c>
      <c r="F15" s="33" t="s">
        <v>360</v>
      </c>
      <c r="G15" s="33" t="s">
        <v>360</v>
      </c>
      <c r="H15" s="33">
        <v>2.2927762949999999</v>
      </c>
      <c r="I15" s="34">
        <v>1.6869388919999999</v>
      </c>
      <c r="J15" s="35">
        <v>2022</v>
      </c>
      <c r="K15" s="36" t="s">
        <v>27</v>
      </c>
      <c r="L15" s="37" t="s">
        <v>97</v>
      </c>
      <c r="M15" s="37" t="s">
        <v>21</v>
      </c>
      <c r="N15" s="37" t="s">
        <v>37</v>
      </c>
      <c r="O15" s="37" t="s">
        <v>115</v>
      </c>
    </row>
    <row r="16" spans="2:15">
      <c r="B16" s="15"/>
      <c r="C16" s="15"/>
      <c r="D16" s="4" t="s">
        <v>113</v>
      </c>
      <c r="E16" s="32">
        <v>1.52</v>
      </c>
      <c r="F16" s="33"/>
      <c r="G16" s="33"/>
      <c r="H16" s="33">
        <v>1.6675758490000001</v>
      </c>
      <c r="I16" s="34">
        <v>1.5473661540000001</v>
      </c>
      <c r="J16" s="35">
        <v>2021</v>
      </c>
      <c r="K16" s="36" t="s">
        <v>27</v>
      </c>
      <c r="L16" s="37" t="s">
        <v>97</v>
      </c>
      <c r="M16" s="37" t="s">
        <v>21</v>
      </c>
      <c r="N16" s="37" t="s">
        <v>37</v>
      </c>
      <c r="O16" s="37" t="s">
        <v>116</v>
      </c>
    </row>
    <row r="17" spans="2:15">
      <c r="B17" s="15"/>
      <c r="C17" s="15"/>
      <c r="D17" s="4" t="s">
        <v>113</v>
      </c>
      <c r="E17" s="32">
        <v>2.1</v>
      </c>
      <c r="F17" s="33"/>
      <c r="G17" s="33"/>
      <c r="H17" s="33">
        <v>2.2000000000000002</v>
      </c>
      <c r="I17" s="34">
        <v>1.9</v>
      </c>
      <c r="J17" s="35">
        <v>2020</v>
      </c>
      <c r="K17" s="36" t="s">
        <v>27</v>
      </c>
      <c r="L17" s="37" t="s">
        <v>24</v>
      </c>
      <c r="M17" s="37" t="s">
        <v>21</v>
      </c>
      <c r="N17" s="37"/>
      <c r="O17" s="37" t="s">
        <v>512</v>
      </c>
    </row>
    <row r="18" spans="2:15">
      <c r="B18" s="15"/>
      <c r="C18" s="15"/>
      <c r="D18" s="4" t="s">
        <v>113</v>
      </c>
      <c r="E18" s="32">
        <v>2.4</v>
      </c>
      <c r="F18" s="33"/>
      <c r="G18" s="33"/>
      <c r="H18" s="33">
        <v>2.6</v>
      </c>
      <c r="I18" s="34">
        <v>2.1</v>
      </c>
      <c r="J18" s="35">
        <v>2018</v>
      </c>
      <c r="K18" s="36" t="s">
        <v>27</v>
      </c>
      <c r="L18" s="37" t="s">
        <v>24</v>
      </c>
      <c r="M18" s="37" t="s">
        <v>21</v>
      </c>
      <c r="N18" s="37"/>
      <c r="O18" s="37"/>
    </row>
    <row r="19" spans="2:15">
      <c r="B19" s="15"/>
      <c r="C19" s="15"/>
      <c r="D19" s="4" t="s">
        <v>113</v>
      </c>
      <c r="E19" s="32">
        <v>2.7</v>
      </c>
      <c r="F19" s="33"/>
      <c r="G19" s="33"/>
      <c r="H19" s="33">
        <v>3.3</v>
      </c>
      <c r="I19" s="34">
        <v>2.2000000000000002</v>
      </c>
      <c r="J19" s="35">
        <v>2017</v>
      </c>
      <c r="K19" s="36" t="s">
        <v>27</v>
      </c>
      <c r="L19" s="37" t="s">
        <v>24</v>
      </c>
      <c r="M19" s="37" t="s">
        <v>21</v>
      </c>
      <c r="N19" s="37"/>
      <c r="O19" s="37"/>
    </row>
    <row r="20" spans="2:15">
      <c r="B20" s="15"/>
      <c r="C20" s="15"/>
      <c r="D20" s="4" t="s">
        <v>113</v>
      </c>
      <c r="E20" s="32">
        <v>2.6</v>
      </c>
      <c r="F20" s="33"/>
      <c r="G20" s="33"/>
      <c r="H20" s="33">
        <v>2.8</v>
      </c>
      <c r="I20" s="34">
        <v>2.4</v>
      </c>
      <c r="J20" s="35">
        <v>2016</v>
      </c>
      <c r="K20" s="36" t="s">
        <v>27</v>
      </c>
      <c r="L20" s="37" t="s">
        <v>24</v>
      </c>
      <c r="M20" s="37" t="s">
        <v>21</v>
      </c>
      <c r="N20" s="37"/>
      <c r="O20" s="37"/>
    </row>
    <row r="21" spans="2:15">
      <c r="B21" s="15"/>
      <c r="C21" s="15"/>
      <c r="D21" s="4" t="s">
        <v>113</v>
      </c>
      <c r="E21" s="32">
        <v>2.5</v>
      </c>
      <c r="F21" s="33"/>
      <c r="G21" s="33"/>
      <c r="H21" s="33">
        <v>2.9</v>
      </c>
      <c r="I21" s="34">
        <v>2.1</v>
      </c>
      <c r="J21" s="35">
        <v>2015</v>
      </c>
      <c r="K21" s="36" t="s">
        <v>27</v>
      </c>
      <c r="L21" s="37" t="s">
        <v>24</v>
      </c>
      <c r="M21" s="37" t="s">
        <v>21</v>
      </c>
      <c r="N21" s="37"/>
      <c r="O21" s="37" t="s">
        <v>483</v>
      </c>
    </row>
    <row r="22" spans="2:15">
      <c r="B22" s="15"/>
      <c r="C22" s="15"/>
      <c r="D22" s="4" t="s">
        <v>113</v>
      </c>
      <c r="E22" s="32">
        <v>1.6</v>
      </c>
      <c r="F22" s="33"/>
      <c r="G22" s="33"/>
      <c r="H22" s="33">
        <v>1.8</v>
      </c>
      <c r="I22" s="34">
        <v>1.5</v>
      </c>
      <c r="J22" s="35">
        <v>2014</v>
      </c>
      <c r="K22" s="36" t="s">
        <v>27</v>
      </c>
      <c r="L22" s="37" t="s">
        <v>24</v>
      </c>
      <c r="M22" s="37" t="s">
        <v>21</v>
      </c>
      <c r="N22" s="37" t="s">
        <v>416</v>
      </c>
      <c r="O22" s="37" t="s">
        <v>420</v>
      </c>
    </row>
    <row r="23" spans="2:15">
      <c r="B23" s="15"/>
      <c r="C23" s="15"/>
      <c r="D23" s="4" t="s">
        <v>113</v>
      </c>
      <c r="E23" s="32">
        <v>1.6</v>
      </c>
      <c r="F23" s="33"/>
      <c r="G23" s="33"/>
      <c r="H23" s="33"/>
      <c r="I23" s="34"/>
      <c r="J23" s="35">
        <v>2012</v>
      </c>
      <c r="K23" s="36" t="s">
        <v>27</v>
      </c>
      <c r="L23" s="37" t="s">
        <v>24</v>
      </c>
      <c r="M23" s="37" t="s">
        <v>21</v>
      </c>
      <c r="N23" s="37" t="s">
        <v>416</v>
      </c>
      <c r="O23" s="37"/>
    </row>
    <row r="24" spans="2:15">
      <c r="B24" s="15"/>
      <c r="C24" s="15"/>
      <c r="D24" s="4" t="s">
        <v>113</v>
      </c>
      <c r="E24" s="32">
        <v>1.3</v>
      </c>
      <c r="F24" s="33"/>
      <c r="G24" s="33"/>
      <c r="H24" s="33"/>
      <c r="I24" s="34"/>
      <c r="J24" s="35">
        <v>2011</v>
      </c>
      <c r="K24" s="36" t="s">
        <v>27</v>
      </c>
      <c r="L24" s="37" t="s">
        <v>24</v>
      </c>
      <c r="M24" s="37" t="s">
        <v>21</v>
      </c>
      <c r="N24" s="37" t="s">
        <v>416</v>
      </c>
      <c r="O24" s="37"/>
    </row>
    <row r="25" spans="2:15">
      <c r="B25" s="15"/>
      <c r="C25" s="15" t="s">
        <v>117</v>
      </c>
      <c r="D25" s="4" t="s">
        <v>118</v>
      </c>
      <c r="E25" s="32">
        <v>0.09</v>
      </c>
      <c r="F25" s="33"/>
      <c r="G25" s="33"/>
      <c r="H25" s="33">
        <v>0.16</v>
      </c>
      <c r="I25" s="34">
        <v>0.04</v>
      </c>
      <c r="J25" s="35">
        <v>2017</v>
      </c>
      <c r="K25" s="36" t="s">
        <v>27</v>
      </c>
      <c r="L25" s="37" t="s">
        <v>24</v>
      </c>
      <c r="M25" s="37" t="s">
        <v>21</v>
      </c>
      <c r="N25" s="37"/>
      <c r="O25" s="37"/>
    </row>
    <row r="26" spans="2:15">
      <c r="B26" s="15"/>
      <c r="C26" s="15"/>
      <c r="D26" s="4" t="s">
        <v>118</v>
      </c>
      <c r="E26" s="32">
        <v>0.1</v>
      </c>
      <c r="F26" s="33"/>
      <c r="G26" s="33"/>
      <c r="H26" s="33">
        <v>0.1</v>
      </c>
      <c r="I26" s="34">
        <v>0.1</v>
      </c>
      <c r="J26" s="35">
        <v>2011</v>
      </c>
      <c r="K26" s="36" t="s">
        <v>106</v>
      </c>
      <c r="L26" s="37" t="s">
        <v>36</v>
      </c>
      <c r="M26" s="37"/>
      <c r="N26" s="37" t="s">
        <v>416</v>
      </c>
      <c r="O26" s="37" t="s">
        <v>513</v>
      </c>
    </row>
    <row r="27" spans="2:15">
      <c r="B27" s="15"/>
      <c r="C27" s="15"/>
      <c r="D27" s="4" t="s">
        <v>118</v>
      </c>
      <c r="E27" s="32">
        <v>0.2</v>
      </c>
      <c r="F27" s="33"/>
      <c r="G27" s="33"/>
      <c r="H27" s="33"/>
      <c r="I27" s="34"/>
      <c r="J27" s="35">
        <v>2008</v>
      </c>
      <c r="K27" s="36" t="s">
        <v>79</v>
      </c>
      <c r="L27" s="37" t="s">
        <v>36</v>
      </c>
      <c r="M27" s="37" t="s">
        <v>21</v>
      </c>
      <c r="N27" s="37" t="s">
        <v>410</v>
      </c>
      <c r="O27" s="37"/>
    </row>
    <row r="28" spans="2:15">
      <c r="B28" s="15"/>
      <c r="C28" s="15"/>
      <c r="D28" s="4" t="s">
        <v>120</v>
      </c>
      <c r="E28" s="32">
        <v>0.61</v>
      </c>
      <c r="F28" s="33"/>
      <c r="G28" s="33"/>
      <c r="H28" s="33">
        <v>0.54</v>
      </c>
      <c r="I28" s="34">
        <v>0.67</v>
      </c>
      <c r="J28" s="35">
        <v>2023</v>
      </c>
      <c r="K28" s="36" t="s">
        <v>79</v>
      </c>
      <c r="L28" s="37" t="s">
        <v>109</v>
      </c>
      <c r="M28" s="37" t="s">
        <v>21</v>
      </c>
      <c r="N28" s="37"/>
      <c r="O28" s="37"/>
    </row>
    <row r="29" spans="2:15">
      <c r="B29" s="15"/>
      <c r="C29" s="15"/>
      <c r="D29" s="4" t="s">
        <v>120</v>
      </c>
      <c r="E29" s="32">
        <v>0.38</v>
      </c>
      <c r="F29" s="33"/>
      <c r="G29" s="33"/>
      <c r="H29" s="33">
        <v>0.47</v>
      </c>
      <c r="I29" s="34">
        <v>0.31</v>
      </c>
      <c r="J29" s="35">
        <v>2018</v>
      </c>
      <c r="K29" s="36" t="s">
        <v>79</v>
      </c>
      <c r="L29" s="37" t="s">
        <v>24</v>
      </c>
      <c r="M29" s="37" t="s">
        <v>21</v>
      </c>
      <c r="N29" s="37"/>
      <c r="O29" s="37"/>
    </row>
    <row r="30" spans="2:15">
      <c r="B30" s="15"/>
      <c r="C30" s="15"/>
      <c r="D30" s="4" t="s">
        <v>120</v>
      </c>
      <c r="E30" s="32">
        <v>0.26</v>
      </c>
      <c r="F30" s="33"/>
      <c r="G30" s="33"/>
      <c r="H30" s="33">
        <v>0.42</v>
      </c>
      <c r="I30" s="34">
        <v>0.12</v>
      </c>
      <c r="J30" s="35">
        <v>2014</v>
      </c>
      <c r="K30" s="36" t="s">
        <v>79</v>
      </c>
      <c r="L30" s="37" t="s">
        <v>24</v>
      </c>
      <c r="M30" s="37" t="s">
        <v>21</v>
      </c>
      <c r="N30" s="37"/>
      <c r="O30" s="37"/>
    </row>
    <row r="31" spans="2:15">
      <c r="B31" s="15"/>
      <c r="C31" s="15"/>
      <c r="D31" s="4" t="s">
        <v>120</v>
      </c>
      <c r="E31" s="32">
        <v>0.26</v>
      </c>
      <c r="F31" s="33"/>
      <c r="G31" s="33"/>
      <c r="H31" s="33">
        <v>0.42</v>
      </c>
      <c r="I31" s="34">
        <v>0.12</v>
      </c>
      <c r="J31" s="35">
        <v>2013</v>
      </c>
      <c r="K31" s="36" t="s">
        <v>79</v>
      </c>
      <c r="L31" s="37" t="s">
        <v>24</v>
      </c>
      <c r="M31" s="37" t="s">
        <v>21</v>
      </c>
      <c r="N31" s="37" t="s">
        <v>416</v>
      </c>
      <c r="O31" s="37"/>
    </row>
    <row r="32" spans="2:15">
      <c r="B32" s="15"/>
      <c r="C32" s="15"/>
      <c r="D32" s="4" t="s">
        <v>124</v>
      </c>
      <c r="E32" s="32">
        <v>0.7</v>
      </c>
      <c r="F32" s="33"/>
      <c r="G32" s="33"/>
      <c r="H32" s="33"/>
      <c r="I32" s="34"/>
      <c r="J32" s="35">
        <v>2005</v>
      </c>
      <c r="K32" s="36" t="s">
        <v>27</v>
      </c>
      <c r="L32" s="37" t="s">
        <v>24</v>
      </c>
      <c r="M32" s="37" t="s">
        <v>21</v>
      </c>
      <c r="N32" s="37"/>
      <c r="O32" s="37"/>
    </row>
    <row r="33" spans="2:15">
      <c r="B33" s="15"/>
      <c r="C33" s="15"/>
      <c r="D33" s="4" t="s">
        <v>126</v>
      </c>
      <c r="E33" s="32">
        <v>0.03</v>
      </c>
      <c r="F33" s="33"/>
      <c r="G33" s="33"/>
      <c r="H33" s="33">
        <v>0.03</v>
      </c>
      <c r="I33" s="34">
        <v>0.03</v>
      </c>
      <c r="J33" s="35">
        <v>2023</v>
      </c>
      <c r="K33" s="36" t="s">
        <v>27</v>
      </c>
      <c r="L33" s="37" t="s">
        <v>38</v>
      </c>
      <c r="M33" s="37" t="s">
        <v>51</v>
      </c>
      <c r="N33" s="37"/>
      <c r="O33" s="37" t="s">
        <v>127</v>
      </c>
    </row>
    <row r="34" spans="2:15">
      <c r="B34" s="15"/>
      <c r="C34" s="15"/>
      <c r="D34" s="4" t="s">
        <v>126</v>
      </c>
      <c r="E34" s="32">
        <v>0.18</v>
      </c>
      <c r="F34" s="33"/>
      <c r="G34" s="33"/>
      <c r="H34" s="33">
        <v>0.1</v>
      </c>
      <c r="I34" s="34">
        <v>0.25</v>
      </c>
      <c r="J34" s="35">
        <v>2020</v>
      </c>
      <c r="K34" s="36" t="s">
        <v>27</v>
      </c>
      <c r="L34" s="37" t="s">
        <v>24</v>
      </c>
      <c r="M34" s="37" t="s">
        <v>21</v>
      </c>
      <c r="N34" s="37"/>
      <c r="O34" s="37"/>
    </row>
    <row r="35" spans="2:15">
      <c r="B35" s="15"/>
      <c r="C35" s="15"/>
      <c r="D35" s="4" t="s">
        <v>126</v>
      </c>
      <c r="E35" s="32">
        <v>0.19</v>
      </c>
      <c r="F35" s="33"/>
      <c r="G35" s="33"/>
      <c r="H35" s="33">
        <v>0.17</v>
      </c>
      <c r="I35" s="34">
        <v>0.22</v>
      </c>
      <c r="J35" s="35">
        <v>2018</v>
      </c>
      <c r="K35" s="36" t="s">
        <v>27</v>
      </c>
      <c r="L35" s="37" t="s">
        <v>24</v>
      </c>
      <c r="M35" s="37" t="s">
        <v>21</v>
      </c>
      <c r="N35" s="37"/>
      <c r="O35" s="37"/>
    </row>
    <row r="36" spans="2:15">
      <c r="B36" s="15"/>
      <c r="C36" s="15"/>
      <c r="D36" s="4" t="s">
        <v>126</v>
      </c>
      <c r="E36" s="32">
        <v>0.25</v>
      </c>
      <c r="F36" s="33"/>
      <c r="G36" s="33"/>
      <c r="H36" s="33">
        <v>0.35</v>
      </c>
      <c r="I36" s="34">
        <v>0.15</v>
      </c>
      <c r="J36" s="35">
        <v>2016</v>
      </c>
      <c r="K36" s="36" t="s">
        <v>27</v>
      </c>
      <c r="L36" s="37" t="s">
        <v>24</v>
      </c>
      <c r="M36" s="37" t="s">
        <v>21</v>
      </c>
      <c r="N36" s="37"/>
      <c r="O36" s="37"/>
    </row>
    <row r="37" spans="2:15">
      <c r="B37" s="15"/>
      <c r="C37" s="15"/>
      <c r="D37" s="4" t="s">
        <v>126</v>
      </c>
      <c r="E37" s="32">
        <v>0.14000000000000001</v>
      </c>
      <c r="F37" s="33"/>
      <c r="G37" s="33"/>
      <c r="H37" s="33">
        <v>0.17</v>
      </c>
      <c r="I37" s="34">
        <v>0.12</v>
      </c>
      <c r="J37" s="35">
        <v>2014</v>
      </c>
      <c r="K37" s="36" t="s">
        <v>27</v>
      </c>
      <c r="L37" s="37" t="s">
        <v>24</v>
      </c>
      <c r="M37" s="37" t="s">
        <v>21</v>
      </c>
      <c r="N37" s="37" t="s">
        <v>416</v>
      </c>
      <c r="O37" s="37"/>
    </row>
    <row r="38" spans="2:15">
      <c r="B38" s="15"/>
      <c r="C38" s="15"/>
      <c r="D38" s="4" t="s">
        <v>126</v>
      </c>
      <c r="E38" s="32">
        <v>0.25</v>
      </c>
      <c r="F38" s="33"/>
      <c r="G38" s="33"/>
      <c r="H38" s="33">
        <v>0.1</v>
      </c>
      <c r="I38" s="34">
        <v>0.4</v>
      </c>
      <c r="J38" s="35">
        <v>2012</v>
      </c>
      <c r="K38" s="36" t="s">
        <v>27</v>
      </c>
      <c r="L38" s="37" t="s">
        <v>24</v>
      </c>
      <c r="M38" s="37" t="s">
        <v>21</v>
      </c>
      <c r="N38" s="37" t="s">
        <v>416</v>
      </c>
      <c r="O38" s="37"/>
    </row>
    <row r="39" spans="2:15">
      <c r="B39" s="15"/>
      <c r="C39" s="15"/>
      <c r="D39" s="4" t="s">
        <v>126</v>
      </c>
      <c r="E39" s="32">
        <v>0.14000000000000001</v>
      </c>
      <c r="F39" s="33"/>
      <c r="G39" s="33"/>
      <c r="H39" s="33"/>
      <c r="I39" s="34"/>
      <c r="J39" s="35">
        <v>2010</v>
      </c>
      <c r="K39" s="36" t="s">
        <v>27</v>
      </c>
      <c r="L39" s="37" t="s">
        <v>24</v>
      </c>
      <c r="M39" s="37"/>
      <c r="N39" s="37" t="s">
        <v>416</v>
      </c>
      <c r="O39" s="37"/>
    </row>
    <row r="40" spans="2:15">
      <c r="B40" s="15"/>
      <c r="C40" s="15"/>
      <c r="D40" s="4" t="s">
        <v>129</v>
      </c>
      <c r="E40" s="32">
        <v>0.11</v>
      </c>
      <c r="F40" s="33"/>
      <c r="G40" s="33"/>
      <c r="H40" s="33">
        <v>0.16</v>
      </c>
      <c r="I40" s="34">
        <v>7.0000000000000007E-2</v>
      </c>
      <c r="J40" s="35">
        <v>2019</v>
      </c>
      <c r="K40" s="36" t="s">
        <v>79</v>
      </c>
      <c r="L40" s="37" t="s">
        <v>36</v>
      </c>
      <c r="M40" s="37" t="s">
        <v>21</v>
      </c>
      <c r="N40" s="37"/>
      <c r="O40" s="37"/>
    </row>
    <row r="41" spans="2:15">
      <c r="B41" s="15"/>
      <c r="C41" s="15"/>
      <c r="D41" s="4" t="s">
        <v>129</v>
      </c>
      <c r="E41" s="32">
        <v>0.04</v>
      </c>
      <c r="F41" s="33"/>
      <c r="G41" s="33"/>
      <c r="H41" s="33">
        <v>7.0000000000000007E-2</v>
      </c>
      <c r="I41" s="34">
        <v>0.01</v>
      </c>
      <c r="J41" s="35">
        <v>2013</v>
      </c>
      <c r="K41" s="36" t="s">
        <v>79</v>
      </c>
      <c r="L41" s="37" t="s">
        <v>24</v>
      </c>
      <c r="M41" s="37" t="s">
        <v>21</v>
      </c>
      <c r="N41" s="37" t="s">
        <v>416</v>
      </c>
      <c r="O41" s="37"/>
    </row>
    <row r="42" spans="2:15">
      <c r="B42" s="15"/>
      <c r="C42" s="15"/>
      <c r="D42" s="4" t="s">
        <v>129</v>
      </c>
      <c r="E42" s="32">
        <v>0.06</v>
      </c>
      <c r="F42" s="33"/>
      <c r="G42" s="33"/>
      <c r="H42" s="33">
        <v>0.06</v>
      </c>
      <c r="I42" s="34">
        <v>0.05</v>
      </c>
      <c r="J42" s="35">
        <v>2008</v>
      </c>
      <c r="K42" s="36" t="s">
        <v>79</v>
      </c>
      <c r="L42" s="37" t="s">
        <v>109</v>
      </c>
      <c r="M42" s="37" t="s">
        <v>21</v>
      </c>
      <c r="N42" s="37"/>
      <c r="O42" s="37"/>
    </row>
    <row r="43" spans="2:15">
      <c r="B43" s="15"/>
      <c r="C43" s="15"/>
      <c r="D43" s="4" t="s">
        <v>131</v>
      </c>
      <c r="E43" s="32">
        <v>0.1</v>
      </c>
      <c r="F43" s="33"/>
      <c r="G43" s="33"/>
      <c r="H43" s="33"/>
      <c r="I43" s="34"/>
      <c r="J43" s="35">
        <v>2007</v>
      </c>
      <c r="K43" s="36" t="s">
        <v>79</v>
      </c>
      <c r="L43" s="37" t="s">
        <v>24</v>
      </c>
      <c r="M43" s="37"/>
      <c r="N43" s="37" t="s">
        <v>416</v>
      </c>
      <c r="O43" s="37"/>
    </row>
    <row r="44" spans="2:15">
      <c r="B44" s="15"/>
      <c r="C44" s="15"/>
      <c r="D44" s="4" t="s">
        <v>134</v>
      </c>
      <c r="E44" s="32">
        <v>0.11</v>
      </c>
      <c r="F44" s="33"/>
      <c r="G44" s="33"/>
      <c r="H44" s="33"/>
      <c r="I44" s="34"/>
      <c r="J44" s="35">
        <v>2010</v>
      </c>
      <c r="K44" s="36" t="s">
        <v>79</v>
      </c>
      <c r="L44" s="37" t="s">
        <v>24</v>
      </c>
      <c r="M44" s="37"/>
      <c r="N44" s="37" t="s">
        <v>416</v>
      </c>
      <c r="O44" s="37"/>
    </row>
    <row r="45" spans="2:15">
      <c r="B45" s="15"/>
      <c r="C45" s="15"/>
      <c r="D45" s="4" t="s">
        <v>134</v>
      </c>
      <c r="E45" s="32">
        <v>0.2</v>
      </c>
      <c r="F45" s="33"/>
      <c r="G45" s="33"/>
      <c r="H45" s="33">
        <v>0.2</v>
      </c>
      <c r="I45" s="34">
        <v>0.2</v>
      </c>
      <c r="J45" s="35">
        <v>2006</v>
      </c>
      <c r="K45" s="36" t="s">
        <v>79</v>
      </c>
      <c r="L45" s="37" t="s">
        <v>24</v>
      </c>
      <c r="M45" s="37" t="s">
        <v>21</v>
      </c>
      <c r="N45" s="37" t="s">
        <v>416</v>
      </c>
      <c r="O45" s="37"/>
    </row>
    <row r="46" spans="2:15">
      <c r="B46" s="15"/>
      <c r="C46" s="15"/>
      <c r="D46" s="4" t="s">
        <v>135</v>
      </c>
      <c r="E46" s="32">
        <v>0.3</v>
      </c>
      <c r="F46" s="33"/>
      <c r="G46" s="33"/>
      <c r="H46" s="33">
        <v>0.6</v>
      </c>
      <c r="I46" s="34">
        <v>0.1</v>
      </c>
      <c r="J46" s="35">
        <v>2013</v>
      </c>
      <c r="K46" s="36" t="s">
        <v>79</v>
      </c>
      <c r="L46" s="37" t="s">
        <v>24</v>
      </c>
      <c r="M46" s="37" t="s">
        <v>21</v>
      </c>
      <c r="N46" s="37"/>
      <c r="O46" s="37"/>
    </row>
    <row r="47" spans="2:15">
      <c r="B47" s="15"/>
      <c r="C47" s="15"/>
      <c r="D47" s="4" t="s">
        <v>137</v>
      </c>
      <c r="E47" s="32">
        <v>0.2</v>
      </c>
      <c r="F47" s="33"/>
      <c r="G47" s="33"/>
      <c r="H47" s="33">
        <v>0.2</v>
      </c>
      <c r="I47" s="34">
        <v>0.1</v>
      </c>
      <c r="J47" s="35">
        <v>2018</v>
      </c>
      <c r="K47" s="36" t="s">
        <v>19</v>
      </c>
      <c r="L47" s="37" t="s">
        <v>24</v>
      </c>
      <c r="M47" s="37" t="s">
        <v>21</v>
      </c>
      <c r="N47" s="37"/>
      <c r="O47" s="37"/>
    </row>
    <row r="48" spans="2:15">
      <c r="B48" s="15"/>
      <c r="C48" s="15"/>
      <c r="D48" s="4" t="s">
        <v>137</v>
      </c>
      <c r="E48" s="32">
        <v>0.03</v>
      </c>
      <c r="F48" s="33"/>
      <c r="G48" s="33"/>
      <c r="H48" s="33">
        <v>0.04</v>
      </c>
      <c r="I48" s="34">
        <v>0.02</v>
      </c>
      <c r="J48" s="35">
        <v>2014</v>
      </c>
      <c r="K48" s="36" t="s">
        <v>19</v>
      </c>
      <c r="L48" s="37" t="s">
        <v>24</v>
      </c>
      <c r="M48" s="37" t="s">
        <v>21</v>
      </c>
      <c r="N48" s="37" t="s">
        <v>416</v>
      </c>
      <c r="O48" s="37"/>
    </row>
    <row r="49" spans="2:15">
      <c r="B49" s="15"/>
      <c r="C49" s="15"/>
      <c r="D49" s="4" t="s">
        <v>137</v>
      </c>
      <c r="E49" s="32">
        <v>0.3</v>
      </c>
      <c r="F49" s="33"/>
      <c r="G49" s="33"/>
      <c r="H49" s="33"/>
      <c r="I49" s="34"/>
      <c r="J49" s="35">
        <v>2006</v>
      </c>
      <c r="K49" s="36" t="s">
        <v>27</v>
      </c>
      <c r="L49" s="37" t="s">
        <v>24</v>
      </c>
      <c r="M49" s="37"/>
      <c r="N49" s="37" t="s">
        <v>416</v>
      </c>
      <c r="O49" s="37"/>
    </row>
    <row r="50" spans="2:15">
      <c r="B50" s="15"/>
      <c r="C50" s="15"/>
      <c r="D50" s="4" t="s">
        <v>138</v>
      </c>
      <c r="E50" s="32">
        <v>0.37</v>
      </c>
      <c r="F50" s="33"/>
      <c r="G50" s="33"/>
      <c r="H50" s="33"/>
      <c r="I50" s="34"/>
      <c r="J50" s="35">
        <v>2011</v>
      </c>
      <c r="K50" s="36" t="s">
        <v>79</v>
      </c>
      <c r="L50" s="37" t="s">
        <v>24</v>
      </c>
      <c r="M50" s="37"/>
      <c r="N50" s="37" t="s">
        <v>416</v>
      </c>
      <c r="O50" s="37"/>
    </row>
    <row r="51" spans="2:15">
      <c r="B51" s="15" t="s">
        <v>139</v>
      </c>
      <c r="C51" s="15" t="s">
        <v>188</v>
      </c>
      <c r="D51" s="4" t="s">
        <v>208</v>
      </c>
      <c r="E51" s="32">
        <v>0.1</v>
      </c>
      <c r="F51" s="33"/>
      <c r="G51" s="33"/>
      <c r="H51" s="33">
        <v>0.1</v>
      </c>
      <c r="I51" s="34">
        <v>0.13</v>
      </c>
      <c r="J51" s="35">
        <v>2012</v>
      </c>
      <c r="K51" s="36" t="s">
        <v>27</v>
      </c>
      <c r="L51" s="37" t="s">
        <v>354</v>
      </c>
      <c r="M51" s="37" t="s">
        <v>21</v>
      </c>
      <c r="N51" s="37"/>
      <c r="O51" s="37"/>
    </row>
    <row r="52" spans="2:15">
      <c r="B52" s="15"/>
      <c r="C52" s="15" t="s">
        <v>213</v>
      </c>
      <c r="D52" s="4" t="s">
        <v>225</v>
      </c>
      <c r="E52" s="32">
        <v>0.76</v>
      </c>
      <c r="F52" s="33"/>
      <c r="G52" s="33"/>
      <c r="H52" s="33">
        <v>1.51</v>
      </c>
      <c r="I52" s="34">
        <v>0.05</v>
      </c>
      <c r="J52" s="35">
        <v>2019</v>
      </c>
      <c r="K52" s="36" t="s">
        <v>27</v>
      </c>
      <c r="L52" s="37" t="s">
        <v>24</v>
      </c>
      <c r="M52" s="37" t="s">
        <v>228</v>
      </c>
      <c r="N52" s="37"/>
      <c r="O52" s="37" t="s">
        <v>514</v>
      </c>
    </row>
    <row r="53" spans="2:15">
      <c r="B53" s="15" t="s">
        <v>327</v>
      </c>
      <c r="C53" s="15" t="s">
        <v>328</v>
      </c>
      <c r="D53" s="4" t="s">
        <v>329</v>
      </c>
      <c r="E53" s="32">
        <v>2.1</v>
      </c>
      <c r="F53" s="33">
        <f>E53-0.3</f>
        <v>1.8</v>
      </c>
      <c r="G53" s="33">
        <f>E53+0.3</f>
        <v>2.4</v>
      </c>
      <c r="H53" s="33">
        <v>2.5</v>
      </c>
      <c r="I53" s="34">
        <v>1.5</v>
      </c>
      <c r="J53" s="35" t="s">
        <v>330</v>
      </c>
      <c r="K53" s="36" t="s">
        <v>226</v>
      </c>
      <c r="L53" s="37" t="s">
        <v>36</v>
      </c>
      <c r="M53" s="37" t="s">
        <v>21</v>
      </c>
      <c r="N53" s="37"/>
      <c r="O53" s="37" t="s">
        <v>515</v>
      </c>
    </row>
    <row r="54" spans="2:15">
      <c r="B54" s="15"/>
      <c r="C54" s="15"/>
      <c r="D54" s="4" t="s">
        <v>331</v>
      </c>
      <c r="E54" s="32">
        <v>0.5</v>
      </c>
      <c r="F54" s="33">
        <v>0.3</v>
      </c>
      <c r="G54" s="33">
        <v>0.7</v>
      </c>
      <c r="H54" s="33">
        <v>0.7</v>
      </c>
      <c r="I54" s="34">
        <v>0.4</v>
      </c>
      <c r="J54" s="35">
        <v>2008</v>
      </c>
      <c r="K54" s="36" t="s">
        <v>265</v>
      </c>
      <c r="L54" s="37" t="s">
        <v>36</v>
      </c>
      <c r="M54" s="37" t="s">
        <v>21</v>
      </c>
      <c r="N54" s="37" t="s">
        <v>416</v>
      </c>
      <c r="O54" s="37" t="s">
        <v>341</v>
      </c>
    </row>
    <row r="55" spans="2:15" ht="216.75" customHeight="1">
      <c r="B55" s="89" t="s">
        <v>516</v>
      </c>
      <c r="C55" s="90"/>
      <c r="D55" s="90"/>
      <c r="E55" s="90"/>
      <c r="F55" s="90"/>
      <c r="G55" s="90"/>
      <c r="H55" s="90"/>
      <c r="I55" s="90"/>
      <c r="J55" s="90"/>
      <c r="K55" s="90"/>
      <c r="L55" s="90"/>
      <c r="M55" s="90"/>
      <c r="N55" s="90"/>
      <c r="O55" s="90"/>
    </row>
  </sheetData>
  <mergeCells count="3">
    <mergeCell ref="B55:O55"/>
    <mergeCell ref="B1:O1"/>
    <mergeCell ref="B2:O2"/>
  </mergeCells>
  <conditionalFormatting sqref="D4:D54">
    <cfRule type="expression" dxfId="12" priority="1">
      <formula>#REF!=-1</formula>
    </cfRule>
  </conditionalFormatting>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B1:O173"/>
  <sheetViews>
    <sheetView zoomScale="90" zoomScaleNormal="90" workbookViewId="0">
      <pane ySplit="3" topLeftCell="A4" activePane="bottomLeft" state="frozen"/>
      <selection activeCell="H40" sqref="H40"/>
      <selection pane="bottomLeft"/>
    </sheetView>
  </sheetViews>
  <sheetFormatPr defaultColWidth="14.625" defaultRowHeight="15.75"/>
  <cols>
    <col min="1" max="1" width="11.625" customWidth="1"/>
    <col min="2" max="2" width="16.125" customWidth="1"/>
    <col min="3" max="3" width="40.125" customWidth="1"/>
    <col min="4" max="4" width="38.875" customWidth="1"/>
    <col min="5" max="9" width="11.625" customWidth="1"/>
    <col min="10" max="11" width="11.625" style="18" customWidth="1"/>
    <col min="12" max="12" width="49.125" customWidth="1"/>
    <col min="13" max="13" width="12.125" customWidth="1"/>
    <col min="14" max="14" width="16.625" customWidth="1"/>
    <col min="15" max="15" width="109.875" customWidth="1"/>
  </cols>
  <sheetData>
    <row r="1" spans="2:15" ht="43.5" customHeight="1">
      <c r="B1" s="82" t="s">
        <v>517</v>
      </c>
      <c r="C1" s="84"/>
      <c r="D1" s="84"/>
      <c r="E1" s="84"/>
      <c r="F1" s="84"/>
      <c r="G1" s="84"/>
      <c r="H1" s="84"/>
      <c r="I1" s="84"/>
      <c r="J1" s="84"/>
      <c r="K1" s="84"/>
      <c r="L1" s="84"/>
      <c r="M1" s="84"/>
      <c r="N1" s="84"/>
      <c r="O1" s="84"/>
    </row>
    <row r="2" spans="2:15" ht="24" customHeight="1">
      <c r="B2" s="78" t="s">
        <v>1</v>
      </c>
      <c r="C2" s="79"/>
      <c r="D2" s="79"/>
      <c r="E2" s="79"/>
      <c r="F2" s="79"/>
      <c r="G2" s="79"/>
      <c r="H2" s="79"/>
      <c r="I2" s="79"/>
      <c r="J2" s="79"/>
      <c r="K2" s="79"/>
      <c r="L2" s="79"/>
      <c r="M2" s="79"/>
      <c r="N2" s="79"/>
      <c r="O2" s="79"/>
    </row>
    <row r="3" spans="2:15" ht="46.35" customHeight="1">
      <c r="B3" s="5" t="s">
        <v>2</v>
      </c>
      <c r="C3" s="5" t="s">
        <v>3</v>
      </c>
      <c r="D3" s="5" t="s">
        <v>4</v>
      </c>
      <c r="E3" s="6" t="s">
        <v>5</v>
      </c>
      <c r="F3" s="6" t="s">
        <v>6</v>
      </c>
      <c r="G3" s="6" t="s">
        <v>7</v>
      </c>
      <c r="H3" s="7" t="s">
        <v>8</v>
      </c>
      <c r="I3" s="8" t="s">
        <v>9</v>
      </c>
      <c r="J3" s="5" t="s">
        <v>10</v>
      </c>
      <c r="K3" s="5" t="s">
        <v>11</v>
      </c>
      <c r="L3" s="5" t="s">
        <v>12</v>
      </c>
      <c r="M3" s="9" t="s">
        <v>13</v>
      </c>
      <c r="N3" s="6" t="s">
        <v>14</v>
      </c>
      <c r="O3" s="5" t="s">
        <v>15</v>
      </c>
    </row>
    <row r="4" spans="2:15">
      <c r="B4" s="15" t="s">
        <v>16</v>
      </c>
      <c r="C4" s="15" t="s">
        <v>17</v>
      </c>
      <c r="D4" s="4" t="s">
        <v>34</v>
      </c>
      <c r="E4" s="38">
        <v>1.29</v>
      </c>
      <c r="F4" s="39"/>
      <c r="G4" s="39"/>
      <c r="H4" s="39"/>
      <c r="I4" s="40"/>
      <c r="J4" s="17">
        <v>2009</v>
      </c>
      <c r="K4" s="20" t="s">
        <v>27</v>
      </c>
      <c r="L4" s="4" t="s">
        <v>36</v>
      </c>
      <c r="M4" s="4" t="s">
        <v>228</v>
      </c>
      <c r="N4" s="4" t="s">
        <v>518</v>
      </c>
      <c r="O4" s="4" t="s">
        <v>519</v>
      </c>
    </row>
    <row r="5" spans="2:15">
      <c r="B5" s="15"/>
      <c r="C5" s="15" t="s">
        <v>39</v>
      </c>
      <c r="D5" s="4" t="s">
        <v>42</v>
      </c>
      <c r="E5" s="38">
        <v>2</v>
      </c>
      <c r="F5" s="39"/>
      <c r="G5" s="39"/>
      <c r="H5" s="39"/>
      <c r="I5" s="40"/>
      <c r="J5" s="17">
        <v>2019</v>
      </c>
      <c r="K5" s="20" t="s">
        <v>27</v>
      </c>
      <c r="L5" s="4" t="s">
        <v>24</v>
      </c>
      <c r="M5" s="4" t="s">
        <v>21</v>
      </c>
      <c r="N5" s="4"/>
      <c r="O5" s="4"/>
    </row>
    <row r="6" spans="2:15">
      <c r="B6" s="15"/>
      <c r="C6" s="15"/>
      <c r="D6" s="4" t="s">
        <v>49</v>
      </c>
      <c r="E6" s="38">
        <v>0.02</v>
      </c>
      <c r="F6" s="39"/>
      <c r="G6" s="39"/>
      <c r="H6" s="39"/>
      <c r="I6" s="40"/>
      <c r="J6" s="17">
        <v>2005</v>
      </c>
      <c r="K6" s="20" t="s">
        <v>50</v>
      </c>
      <c r="L6" s="4" t="s">
        <v>24</v>
      </c>
      <c r="M6" s="4" t="s">
        <v>21</v>
      </c>
      <c r="N6" s="4"/>
      <c r="O6" s="4"/>
    </row>
    <row r="7" spans="2:15">
      <c r="B7" s="15"/>
      <c r="C7" s="15" t="s">
        <v>53</v>
      </c>
      <c r="D7" s="4" t="s">
        <v>54</v>
      </c>
      <c r="E7" s="38">
        <v>0.5</v>
      </c>
      <c r="F7" s="39"/>
      <c r="G7" s="39"/>
      <c r="H7" s="39"/>
      <c r="I7" s="40"/>
      <c r="J7" s="17">
        <v>2008</v>
      </c>
      <c r="K7" s="20" t="s">
        <v>27</v>
      </c>
      <c r="L7" s="4" t="s">
        <v>24</v>
      </c>
      <c r="M7" s="4" t="s">
        <v>21</v>
      </c>
      <c r="N7" s="4" t="s">
        <v>520</v>
      </c>
      <c r="O7" s="4" t="s">
        <v>521</v>
      </c>
    </row>
    <row r="8" spans="2:15">
      <c r="B8" s="15"/>
      <c r="C8" s="15" t="s">
        <v>59</v>
      </c>
      <c r="D8" s="4" t="s">
        <v>522</v>
      </c>
      <c r="E8" s="38">
        <v>0.17</v>
      </c>
      <c r="F8" s="39"/>
      <c r="G8" s="39"/>
      <c r="H8" s="39"/>
      <c r="I8" s="40"/>
      <c r="J8" s="17">
        <v>2004</v>
      </c>
      <c r="K8" s="20" t="s">
        <v>27</v>
      </c>
      <c r="L8" s="4" t="s">
        <v>523</v>
      </c>
      <c r="M8" s="4"/>
      <c r="N8" s="4"/>
      <c r="O8" s="4" t="s">
        <v>524</v>
      </c>
    </row>
    <row r="9" spans="2:15">
      <c r="B9" s="15"/>
      <c r="C9" s="15"/>
      <c r="D9" s="4" t="s">
        <v>71</v>
      </c>
      <c r="E9" s="38">
        <v>4.66</v>
      </c>
      <c r="F9" s="39">
        <v>4.2699999999999996</v>
      </c>
      <c r="G9" s="39">
        <v>5.05</v>
      </c>
      <c r="H9" s="39"/>
      <c r="I9" s="40"/>
      <c r="J9" s="17">
        <v>2017</v>
      </c>
      <c r="K9" s="20" t="s">
        <v>27</v>
      </c>
      <c r="L9" s="4" t="s">
        <v>69</v>
      </c>
      <c r="M9" s="4" t="s">
        <v>70</v>
      </c>
      <c r="N9" s="4"/>
      <c r="O9" s="4" t="s">
        <v>524</v>
      </c>
    </row>
    <row r="10" spans="2:15">
      <c r="B10" s="15" t="s">
        <v>76</v>
      </c>
      <c r="C10" s="15" t="s">
        <v>77</v>
      </c>
      <c r="D10" s="4" t="s">
        <v>80</v>
      </c>
      <c r="E10" s="38">
        <v>0.23</v>
      </c>
      <c r="F10" s="39">
        <v>0.16</v>
      </c>
      <c r="G10" s="39">
        <v>0.28999999999999998</v>
      </c>
      <c r="H10" s="39"/>
      <c r="I10" s="40"/>
      <c r="J10" s="17">
        <v>2006</v>
      </c>
      <c r="K10" s="20" t="s">
        <v>27</v>
      </c>
      <c r="L10" s="4" t="s">
        <v>61</v>
      </c>
      <c r="M10" s="4"/>
      <c r="N10" s="4" t="s">
        <v>520</v>
      </c>
      <c r="O10" s="4" t="s">
        <v>524</v>
      </c>
    </row>
    <row r="11" spans="2:15">
      <c r="B11" s="15"/>
      <c r="C11" s="15"/>
      <c r="D11" s="4" t="s">
        <v>82</v>
      </c>
      <c r="E11" s="38">
        <v>0.14000000000000001</v>
      </c>
      <c r="F11" s="39"/>
      <c r="G11" s="39"/>
      <c r="H11" s="39"/>
      <c r="I11" s="40"/>
      <c r="J11" s="17">
        <v>2001</v>
      </c>
      <c r="K11" s="20" t="s">
        <v>27</v>
      </c>
      <c r="L11" s="4" t="s">
        <v>58</v>
      </c>
      <c r="M11" s="4"/>
      <c r="N11" s="4"/>
      <c r="O11" s="4"/>
    </row>
    <row r="12" spans="2:15">
      <c r="B12" s="15"/>
      <c r="C12" s="15"/>
      <c r="D12" s="4" t="s">
        <v>83</v>
      </c>
      <c r="E12" s="38">
        <v>0.2</v>
      </c>
      <c r="F12" s="39">
        <v>0.19</v>
      </c>
      <c r="G12" s="39">
        <v>0.22</v>
      </c>
      <c r="H12" s="39"/>
      <c r="I12" s="40"/>
      <c r="J12" s="17">
        <v>2006</v>
      </c>
      <c r="K12" s="20" t="s">
        <v>27</v>
      </c>
      <c r="L12" s="4" t="s">
        <v>24</v>
      </c>
      <c r="M12" s="4" t="s">
        <v>44</v>
      </c>
      <c r="N12" s="4" t="s">
        <v>525</v>
      </c>
      <c r="O12" s="4" t="s">
        <v>521</v>
      </c>
    </row>
    <row r="13" spans="2:15">
      <c r="B13" s="15"/>
      <c r="C13" s="15"/>
      <c r="D13" s="4" t="s">
        <v>84</v>
      </c>
      <c r="E13" s="38">
        <v>1</v>
      </c>
      <c r="F13" s="39">
        <v>0.5</v>
      </c>
      <c r="G13" s="39">
        <v>1.5</v>
      </c>
      <c r="H13" s="39"/>
      <c r="I13" s="40"/>
      <c r="J13" s="17">
        <v>2006</v>
      </c>
      <c r="K13" s="20" t="s">
        <v>27</v>
      </c>
      <c r="L13" s="4" t="s">
        <v>61</v>
      </c>
      <c r="M13" s="4" t="s">
        <v>44</v>
      </c>
      <c r="N13" s="4" t="s">
        <v>418</v>
      </c>
      <c r="O13" s="4" t="s">
        <v>521</v>
      </c>
    </row>
    <row r="14" spans="2:15">
      <c r="B14" s="15"/>
      <c r="C14" s="15" t="s">
        <v>91</v>
      </c>
      <c r="D14" s="4" t="s">
        <v>92</v>
      </c>
      <c r="E14" s="38">
        <v>0.3</v>
      </c>
      <c r="F14" s="39"/>
      <c r="G14" s="39"/>
      <c r="H14" s="39"/>
      <c r="I14" s="40"/>
      <c r="J14" s="17">
        <v>2005</v>
      </c>
      <c r="K14" s="20" t="s">
        <v>79</v>
      </c>
      <c r="L14" s="4" t="s">
        <v>526</v>
      </c>
      <c r="M14" s="4" t="s">
        <v>21</v>
      </c>
      <c r="N14" s="4"/>
      <c r="O14" s="4" t="s">
        <v>527</v>
      </c>
    </row>
    <row r="15" spans="2:15">
      <c r="B15" s="15"/>
      <c r="C15" s="15"/>
      <c r="D15" s="4" t="s">
        <v>93</v>
      </c>
      <c r="E15" s="38">
        <v>1.03</v>
      </c>
      <c r="F15" s="39"/>
      <c r="G15" s="39"/>
      <c r="H15" s="39">
        <v>1.04</v>
      </c>
      <c r="I15" s="40">
        <v>1.02</v>
      </c>
      <c r="J15" s="17">
        <v>2015</v>
      </c>
      <c r="K15" s="20" t="s">
        <v>94</v>
      </c>
      <c r="L15" s="4" t="s">
        <v>24</v>
      </c>
      <c r="M15" s="4" t="s">
        <v>21</v>
      </c>
      <c r="N15" s="4"/>
      <c r="O15" s="4" t="s">
        <v>528</v>
      </c>
    </row>
    <row r="16" spans="2:15">
      <c r="B16" s="15"/>
      <c r="C16" s="15"/>
      <c r="D16" s="4" t="s">
        <v>93</v>
      </c>
      <c r="E16" s="38">
        <v>1.0900000000000001</v>
      </c>
      <c r="F16" s="39"/>
      <c r="G16" s="39"/>
      <c r="H16" s="39">
        <v>1.1200000000000001</v>
      </c>
      <c r="I16" s="40">
        <v>1.06</v>
      </c>
      <c r="J16" s="17">
        <v>2015</v>
      </c>
      <c r="K16" s="20" t="s">
        <v>27</v>
      </c>
      <c r="L16" s="4" t="s">
        <v>24</v>
      </c>
      <c r="M16" s="4" t="s">
        <v>21</v>
      </c>
      <c r="N16" s="4"/>
      <c r="O16" s="4" t="s">
        <v>528</v>
      </c>
    </row>
    <row r="17" spans="2:15">
      <c r="B17" s="15"/>
      <c r="C17" s="15"/>
      <c r="D17" s="4" t="s">
        <v>93</v>
      </c>
      <c r="E17" s="38">
        <v>0.63</v>
      </c>
      <c r="F17" s="39"/>
      <c r="G17" s="39"/>
      <c r="H17" s="39">
        <v>0.67</v>
      </c>
      <c r="I17" s="40">
        <v>0.59</v>
      </c>
      <c r="J17" s="17">
        <v>2010</v>
      </c>
      <c r="K17" s="20" t="s">
        <v>27</v>
      </c>
      <c r="L17" s="4"/>
      <c r="M17" s="4" t="s">
        <v>21</v>
      </c>
      <c r="N17" s="4"/>
      <c r="O17" s="4" t="s">
        <v>528</v>
      </c>
    </row>
    <row r="18" spans="2:15">
      <c r="B18" s="15"/>
      <c r="C18" s="15"/>
      <c r="D18" s="4" t="s">
        <v>93</v>
      </c>
      <c r="E18" s="38">
        <v>2.87</v>
      </c>
      <c r="F18" s="39"/>
      <c r="G18" s="39"/>
      <c r="H18" s="39">
        <v>1.97</v>
      </c>
      <c r="I18" s="40">
        <v>3.8</v>
      </c>
      <c r="J18" s="17">
        <v>2006</v>
      </c>
      <c r="K18" s="20" t="s">
        <v>94</v>
      </c>
      <c r="L18" s="4"/>
      <c r="M18" s="4" t="s">
        <v>21</v>
      </c>
      <c r="N18" s="4"/>
      <c r="O18" s="4" t="s">
        <v>528</v>
      </c>
    </row>
    <row r="19" spans="2:15">
      <c r="B19" s="15"/>
      <c r="C19" s="15"/>
      <c r="D19" s="4" t="s">
        <v>95</v>
      </c>
      <c r="E19" s="38">
        <v>0.14000000000000001</v>
      </c>
      <c r="F19" s="39"/>
      <c r="G19" s="39"/>
      <c r="H19" s="39"/>
      <c r="I19" s="40"/>
      <c r="J19" s="17">
        <v>2005</v>
      </c>
      <c r="K19" s="20" t="s">
        <v>27</v>
      </c>
      <c r="L19" s="4" t="s">
        <v>61</v>
      </c>
      <c r="M19" s="4" t="s">
        <v>21</v>
      </c>
      <c r="N19" s="4" t="s">
        <v>529</v>
      </c>
      <c r="O19" s="4" t="s">
        <v>521</v>
      </c>
    </row>
    <row r="20" spans="2:15">
      <c r="B20" s="15"/>
      <c r="C20" s="15" t="s">
        <v>104</v>
      </c>
      <c r="D20" s="4" t="s">
        <v>107</v>
      </c>
      <c r="E20" s="38">
        <v>0.77470000000000006</v>
      </c>
      <c r="F20" s="39"/>
      <c r="G20" s="39"/>
      <c r="H20" s="39">
        <v>0.8328513591671487</v>
      </c>
      <c r="I20" s="40">
        <v>0.72096128170894525</v>
      </c>
      <c r="J20" s="17">
        <v>2023</v>
      </c>
      <c r="K20" s="20" t="s">
        <v>50</v>
      </c>
      <c r="L20" s="4" t="s">
        <v>36</v>
      </c>
      <c r="M20" s="4" t="s">
        <v>21</v>
      </c>
      <c r="N20" s="4"/>
      <c r="O20" s="4" t="s">
        <v>530</v>
      </c>
    </row>
    <row r="21" spans="2:15">
      <c r="B21" s="15"/>
      <c r="C21" s="15"/>
      <c r="D21" s="4" t="s">
        <v>107</v>
      </c>
      <c r="E21" s="38">
        <v>0.109122847</v>
      </c>
      <c r="F21" s="39">
        <v>7.9889699999999994E-2</v>
      </c>
      <c r="G21" s="39">
        <v>0.149036998</v>
      </c>
      <c r="H21" s="39">
        <v>0.125108626</v>
      </c>
      <c r="I21" s="40">
        <v>9.3533887999999996E-2</v>
      </c>
      <c r="J21" s="17">
        <v>2023</v>
      </c>
      <c r="K21" s="20" t="s">
        <v>50</v>
      </c>
      <c r="L21" s="4" t="s">
        <v>36</v>
      </c>
      <c r="M21" s="4" t="s">
        <v>21</v>
      </c>
      <c r="N21" s="4"/>
      <c r="O21" s="4" t="s">
        <v>531</v>
      </c>
    </row>
    <row r="22" spans="2:15">
      <c r="B22" s="15"/>
      <c r="C22" s="15"/>
      <c r="D22" s="4" t="s">
        <v>110</v>
      </c>
      <c r="E22" s="38">
        <v>0.38</v>
      </c>
      <c r="F22" s="39">
        <v>0.19</v>
      </c>
      <c r="G22" s="39">
        <v>0.56000000000000005</v>
      </c>
      <c r="H22" s="39"/>
      <c r="I22" s="40"/>
      <c r="J22" s="17">
        <v>2011</v>
      </c>
      <c r="K22" s="20" t="s">
        <v>79</v>
      </c>
      <c r="L22" s="4" t="s">
        <v>36</v>
      </c>
      <c r="M22" s="4" t="s">
        <v>21</v>
      </c>
      <c r="N22" s="4" t="s">
        <v>520</v>
      </c>
      <c r="O22" s="4" t="s">
        <v>532</v>
      </c>
    </row>
    <row r="23" spans="2:15">
      <c r="B23" s="15"/>
      <c r="C23" s="15"/>
      <c r="D23" s="4" t="s">
        <v>110</v>
      </c>
      <c r="E23" s="38">
        <v>0.1</v>
      </c>
      <c r="F23" s="39"/>
      <c r="G23" s="39"/>
      <c r="H23" s="39"/>
      <c r="I23" s="40"/>
      <c r="J23" s="17">
        <v>2008</v>
      </c>
      <c r="K23" s="20" t="s">
        <v>27</v>
      </c>
      <c r="L23" s="4" t="s">
        <v>38</v>
      </c>
      <c r="M23" s="4" t="s">
        <v>21</v>
      </c>
      <c r="N23" s="4"/>
      <c r="O23" s="4"/>
    </row>
    <row r="24" spans="2:15">
      <c r="B24" s="15"/>
      <c r="C24" s="15"/>
      <c r="D24" s="4" t="s">
        <v>533</v>
      </c>
      <c r="E24" s="38">
        <v>3.5255401179999999</v>
      </c>
      <c r="F24" s="39"/>
      <c r="G24" s="39"/>
      <c r="H24" s="39">
        <v>3.8619794349999998</v>
      </c>
      <c r="I24" s="40">
        <v>3.3037689399999999</v>
      </c>
      <c r="J24" s="17">
        <v>2023</v>
      </c>
      <c r="K24" s="20" t="s">
        <v>27</v>
      </c>
      <c r="L24" s="4" t="s">
        <v>97</v>
      </c>
      <c r="M24" s="4" t="s">
        <v>21</v>
      </c>
      <c r="N24" s="4" t="s">
        <v>37</v>
      </c>
      <c r="O24" s="4" t="s">
        <v>114</v>
      </c>
    </row>
    <row r="25" spans="2:15">
      <c r="B25" s="15"/>
      <c r="C25" s="15"/>
      <c r="D25" s="4" t="s">
        <v>533</v>
      </c>
      <c r="E25" s="38">
        <v>3.6392672190000002</v>
      </c>
      <c r="F25" s="39" t="s">
        <v>360</v>
      </c>
      <c r="G25" s="39" t="s">
        <v>360</v>
      </c>
      <c r="H25" s="39">
        <v>3.8619794349999998</v>
      </c>
      <c r="I25" s="40">
        <v>3.3037689399999999</v>
      </c>
      <c r="J25" s="17">
        <v>2022</v>
      </c>
      <c r="K25" s="20" t="s">
        <v>27</v>
      </c>
      <c r="L25" s="4" t="s">
        <v>97</v>
      </c>
      <c r="M25" s="4" t="s">
        <v>21</v>
      </c>
      <c r="N25" s="4" t="s">
        <v>37</v>
      </c>
      <c r="O25" s="4" t="s">
        <v>115</v>
      </c>
    </row>
    <row r="26" spans="2:15">
      <c r="B26" s="15"/>
      <c r="C26" s="15"/>
      <c r="D26" s="4" t="s">
        <v>533</v>
      </c>
      <c r="E26" s="38">
        <v>4.43</v>
      </c>
      <c r="F26" s="39"/>
      <c r="G26" s="39"/>
      <c r="H26" s="39"/>
      <c r="I26" s="40"/>
      <c r="J26" s="17">
        <v>2021</v>
      </c>
      <c r="K26" s="20" t="s">
        <v>27</v>
      </c>
      <c r="L26" s="4" t="s">
        <v>97</v>
      </c>
      <c r="M26" s="4" t="s">
        <v>21</v>
      </c>
      <c r="N26" s="4" t="s">
        <v>37</v>
      </c>
      <c r="O26" s="4" t="s">
        <v>534</v>
      </c>
    </row>
    <row r="27" spans="2:15">
      <c r="B27" s="15"/>
      <c r="C27" s="15"/>
      <c r="D27" s="4" t="s">
        <v>533</v>
      </c>
      <c r="E27" s="38">
        <v>4.5599999999999996</v>
      </c>
      <c r="F27" s="39">
        <v>4.38</v>
      </c>
      <c r="G27" s="39">
        <v>4.74</v>
      </c>
      <c r="H27" s="39"/>
      <c r="I27" s="40"/>
      <c r="J27" s="17">
        <v>2020</v>
      </c>
      <c r="K27" s="20" t="s">
        <v>27</v>
      </c>
      <c r="L27" s="4" t="s">
        <v>61</v>
      </c>
      <c r="M27" s="4" t="s">
        <v>70</v>
      </c>
      <c r="N27" s="4"/>
      <c r="O27" s="4" t="s">
        <v>535</v>
      </c>
    </row>
    <row r="28" spans="2:15">
      <c r="B28" s="15"/>
      <c r="C28" s="15"/>
      <c r="D28" s="4" t="s">
        <v>533</v>
      </c>
      <c r="E28" s="38">
        <v>4.92</v>
      </c>
      <c r="F28" s="39">
        <v>4.75</v>
      </c>
      <c r="G28" s="39">
        <v>5.09</v>
      </c>
      <c r="H28" s="39"/>
      <c r="I28" s="40"/>
      <c r="J28" s="17">
        <v>2018</v>
      </c>
      <c r="K28" s="20" t="s">
        <v>27</v>
      </c>
      <c r="L28" s="4" t="s">
        <v>61</v>
      </c>
      <c r="M28" s="4" t="s">
        <v>70</v>
      </c>
      <c r="N28" s="4"/>
      <c r="O28" s="4" t="s">
        <v>535</v>
      </c>
    </row>
    <row r="29" spans="2:15">
      <c r="B29" s="15"/>
      <c r="C29" s="15"/>
      <c r="D29" s="4" t="s">
        <v>533</v>
      </c>
      <c r="E29" s="38">
        <v>5.41</v>
      </c>
      <c r="F29" s="39">
        <v>5.22</v>
      </c>
      <c r="G29" s="39">
        <v>5.59</v>
      </c>
      <c r="H29" s="39"/>
      <c r="I29" s="40"/>
      <c r="J29" s="17">
        <v>2017</v>
      </c>
      <c r="K29" s="20" t="s">
        <v>27</v>
      </c>
      <c r="L29" s="4" t="s">
        <v>61</v>
      </c>
      <c r="M29" s="4" t="s">
        <v>70</v>
      </c>
      <c r="N29" s="4"/>
      <c r="O29" s="4" t="s">
        <v>535</v>
      </c>
    </row>
    <row r="30" spans="2:15">
      <c r="B30" s="15"/>
      <c r="C30" s="15"/>
      <c r="D30" s="4" t="s">
        <v>533</v>
      </c>
      <c r="E30" s="38">
        <v>5.75</v>
      </c>
      <c r="F30" s="39">
        <v>5.55</v>
      </c>
      <c r="G30" s="39">
        <v>5.95</v>
      </c>
      <c r="H30" s="39"/>
      <c r="I30" s="40"/>
      <c r="J30" s="17">
        <v>2016</v>
      </c>
      <c r="K30" s="20" t="s">
        <v>27</v>
      </c>
      <c r="L30" s="4" t="s">
        <v>61</v>
      </c>
      <c r="M30" s="4" t="s">
        <v>70</v>
      </c>
      <c r="N30" s="4"/>
      <c r="O30" s="4" t="s">
        <v>535</v>
      </c>
    </row>
    <row r="31" spans="2:15">
      <c r="B31" s="15"/>
      <c r="C31" s="15"/>
      <c r="D31" s="4" t="s">
        <v>533</v>
      </c>
      <c r="E31" s="38">
        <v>6.13</v>
      </c>
      <c r="F31" s="39">
        <v>5.95</v>
      </c>
      <c r="G31" s="39">
        <v>6.31</v>
      </c>
      <c r="H31" s="39"/>
      <c r="I31" s="40"/>
      <c r="J31" s="17">
        <v>2015</v>
      </c>
      <c r="K31" s="20" t="s">
        <v>27</v>
      </c>
      <c r="L31" s="4" t="s">
        <v>61</v>
      </c>
      <c r="M31" s="4" t="s">
        <v>70</v>
      </c>
      <c r="N31" s="4"/>
      <c r="O31" s="4" t="s">
        <v>535</v>
      </c>
    </row>
    <row r="32" spans="2:15">
      <c r="B32" s="15"/>
      <c r="C32" s="15"/>
      <c r="D32" s="4" t="s">
        <v>533</v>
      </c>
      <c r="E32" s="38">
        <v>5.4</v>
      </c>
      <c r="F32" s="39">
        <v>5.25</v>
      </c>
      <c r="G32" s="39">
        <v>5.55</v>
      </c>
      <c r="H32" s="39"/>
      <c r="I32" s="40"/>
      <c r="J32" s="17">
        <v>2013</v>
      </c>
      <c r="K32" s="20" t="s">
        <v>27</v>
      </c>
      <c r="L32" s="4" t="s">
        <v>61</v>
      </c>
      <c r="M32" s="4" t="s">
        <v>70</v>
      </c>
      <c r="N32" s="4"/>
      <c r="O32" s="4" t="s">
        <v>535</v>
      </c>
    </row>
    <row r="33" spans="2:15">
      <c r="B33" s="15"/>
      <c r="C33" s="15"/>
      <c r="D33" s="4" t="s">
        <v>533</v>
      </c>
      <c r="E33" s="38">
        <v>6.22</v>
      </c>
      <c r="F33" s="39">
        <v>6.08</v>
      </c>
      <c r="G33" s="39">
        <v>6.37</v>
      </c>
      <c r="H33" s="39"/>
      <c r="I33" s="40"/>
      <c r="J33" s="17">
        <v>2010</v>
      </c>
      <c r="K33" s="20" t="s">
        <v>27</v>
      </c>
      <c r="L33" s="4" t="s">
        <v>61</v>
      </c>
      <c r="M33" s="4" t="s">
        <v>70</v>
      </c>
      <c r="N33" s="4"/>
      <c r="O33" s="4" t="s">
        <v>535</v>
      </c>
    </row>
    <row r="34" spans="2:15">
      <c r="B34" s="15"/>
      <c r="C34" s="15" t="s">
        <v>117</v>
      </c>
      <c r="D34" s="4" t="s">
        <v>118</v>
      </c>
      <c r="E34" s="38">
        <v>0.2</v>
      </c>
      <c r="F34" s="39"/>
      <c r="G34" s="39"/>
      <c r="H34" s="39">
        <v>0.2</v>
      </c>
      <c r="I34" s="40">
        <v>0.3</v>
      </c>
      <c r="J34" s="17">
        <v>2022</v>
      </c>
      <c r="K34" s="20" t="s">
        <v>119</v>
      </c>
      <c r="L34" s="4" t="s">
        <v>24</v>
      </c>
      <c r="M34" s="4" t="s">
        <v>21</v>
      </c>
      <c r="N34" s="4"/>
      <c r="O34" s="4"/>
    </row>
    <row r="35" spans="2:15">
      <c r="B35" s="15"/>
      <c r="C35" s="15"/>
      <c r="D35" s="4" t="s">
        <v>118</v>
      </c>
      <c r="E35" s="38">
        <v>0.19</v>
      </c>
      <c r="F35" s="39">
        <v>0.13</v>
      </c>
      <c r="G35" s="39">
        <v>0.26</v>
      </c>
      <c r="H35" s="39"/>
      <c r="I35" s="40"/>
      <c r="J35" s="17">
        <v>2007</v>
      </c>
      <c r="K35" s="20" t="s">
        <v>27</v>
      </c>
      <c r="L35" s="4" t="s">
        <v>58</v>
      </c>
      <c r="M35" s="4"/>
      <c r="N35" s="4" t="s">
        <v>529</v>
      </c>
      <c r="O35" s="4"/>
    </row>
    <row r="36" spans="2:15">
      <c r="B36" s="15"/>
      <c r="C36" s="15"/>
      <c r="D36" s="4" t="s">
        <v>124</v>
      </c>
      <c r="E36" s="38">
        <v>0.64</v>
      </c>
      <c r="F36" s="39"/>
      <c r="G36" s="39"/>
      <c r="H36" s="39">
        <v>0.45</v>
      </c>
      <c r="I36" s="40">
        <v>0.82</v>
      </c>
      <c r="J36" s="17">
        <v>2012</v>
      </c>
      <c r="K36" s="20" t="s">
        <v>27</v>
      </c>
      <c r="L36" s="4" t="s">
        <v>36</v>
      </c>
      <c r="M36" s="4" t="s">
        <v>21</v>
      </c>
      <c r="N36" s="4"/>
      <c r="O36" s="4"/>
    </row>
    <row r="37" spans="2:15">
      <c r="B37" s="15"/>
      <c r="C37" s="15"/>
      <c r="D37" s="4" t="s">
        <v>126</v>
      </c>
      <c r="E37" s="38">
        <v>1.54</v>
      </c>
      <c r="F37" s="39"/>
      <c r="G37" s="39"/>
      <c r="H37" s="39">
        <v>1.36</v>
      </c>
      <c r="I37" s="40">
        <v>1.72</v>
      </c>
      <c r="J37" s="17">
        <v>2023</v>
      </c>
      <c r="K37" s="20" t="s">
        <v>27</v>
      </c>
      <c r="L37" s="4" t="s">
        <v>38</v>
      </c>
      <c r="M37" s="4" t="s">
        <v>51</v>
      </c>
      <c r="N37" s="4"/>
      <c r="O37" s="4" t="s">
        <v>127</v>
      </c>
    </row>
    <row r="38" spans="2:15">
      <c r="B38" s="15"/>
      <c r="C38" s="15"/>
      <c r="D38" s="4" t="s">
        <v>126</v>
      </c>
      <c r="E38" s="38">
        <v>1.22</v>
      </c>
      <c r="F38" s="39"/>
      <c r="G38" s="39"/>
      <c r="H38" s="39">
        <v>1.41</v>
      </c>
      <c r="I38" s="40">
        <v>1.04</v>
      </c>
      <c r="J38" s="17">
        <v>2020</v>
      </c>
      <c r="K38" s="20" t="s">
        <v>27</v>
      </c>
      <c r="L38" s="4" t="s">
        <v>24</v>
      </c>
      <c r="M38" s="4" t="s">
        <v>21</v>
      </c>
      <c r="N38" s="4"/>
      <c r="O38" s="4" t="s">
        <v>536</v>
      </c>
    </row>
    <row r="39" spans="2:15">
      <c r="B39" s="15"/>
      <c r="C39" s="15"/>
      <c r="D39" s="4" t="s">
        <v>126</v>
      </c>
      <c r="E39" s="38">
        <v>1.1399999999999999</v>
      </c>
      <c r="F39" s="39"/>
      <c r="G39" s="39"/>
      <c r="H39" s="39">
        <v>1.21</v>
      </c>
      <c r="I39" s="40">
        <v>1.08</v>
      </c>
      <c r="J39" s="17">
        <v>2018</v>
      </c>
      <c r="K39" s="20" t="s">
        <v>27</v>
      </c>
      <c r="L39" s="4" t="s">
        <v>24</v>
      </c>
      <c r="M39" s="4" t="s">
        <v>21</v>
      </c>
      <c r="N39" s="4"/>
      <c r="O39" s="4" t="s">
        <v>524</v>
      </c>
    </row>
    <row r="40" spans="2:15">
      <c r="B40" s="15"/>
      <c r="C40" s="15"/>
      <c r="D40" s="4" t="s">
        <v>126</v>
      </c>
      <c r="E40" s="38">
        <v>1.22</v>
      </c>
      <c r="F40" s="39"/>
      <c r="G40" s="39"/>
      <c r="H40" s="39">
        <v>0.94</v>
      </c>
      <c r="I40" s="40">
        <v>1.5</v>
      </c>
      <c r="J40" s="17">
        <v>2016</v>
      </c>
      <c r="K40" s="20" t="s">
        <v>27</v>
      </c>
      <c r="L40" s="4" t="s">
        <v>24</v>
      </c>
      <c r="M40" s="4" t="s">
        <v>21</v>
      </c>
      <c r="N40" s="4"/>
      <c r="O40" s="4"/>
    </row>
    <row r="41" spans="2:15">
      <c r="B41" s="15"/>
      <c r="C41" s="15"/>
      <c r="D41" s="4" t="s">
        <v>126</v>
      </c>
      <c r="E41" s="38">
        <v>0.57999999999999996</v>
      </c>
      <c r="F41" s="39"/>
      <c r="G41" s="39"/>
      <c r="H41" s="39">
        <v>0.54</v>
      </c>
      <c r="I41" s="40">
        <v>0.62</v>
      </c>
      <c r="J41" s="17">
        <v>2014</v>
      </c>
      <c r="K41" s="20" t="s">
        <v>27</v>
      </c>
      <c r="L41" s="4" t="s">
        <v>24</v>
      </c>
      <c r="M41" s="4" t="s">
        <v>21</v>
      </c>
      <c r="N41" s="4" t="s">
        <v>520</v>
      </c>
      <c r="O41" s="4" t="s">
        <v>519</v>
      </c>
    </row>
    <row r="42" spans="2:15">
      <c r="B42" s="15"/>
      <c r="C42" s="15"/>
      <c r="D42" s="4" t="s">
        <v>129</v>
      </c>
      <c r="E42" s="38">
        <v>0.28000000000000003</v>
      </c>
      <c r="F42" s="39"/>
      <c r="G42" s="39"/>
      <c r="H42" s="39">
        <v>0.2</v>
      </c>
      <c r="I42" s="40">
        <v>0.35</v>
      </c>
      <c r="J42" s="17">
        <v>2019</v>
      </c>
      <c r="K42" s="20" t="s">
        <v>79</v>
      </c>
      <c r="L42" s="4" t="s">
        <v>36</v>
      </c>
      <c r="M42" s="4" t="s">
        <v>21</v>
      </c>
      <c r="N42" s="4"/>
      <c r="O42" s="4"/>
    </row>
    <row r="43" spans="2:15">
      <c r="B43" s="15"/>
      <c r="C43" s="15"/>
      <c r="D43" s="4" t="s">
        <v>131</v>
      </c>
      <c r="E43" s="38">
        <v>8.5921168025748465E-2</v>
      </c>
      <c r="F43" s="39"/>
      <c r="G43" s="39"/>
      <c r="H43" s="39">
        <v>0.18161566613443947</v>
      </c>
      <c r="I43" s="40">
        <v>3.449748264873119E-2</v>
      </c>
      <c r="J43" s="17">
        <v>2020</v>
      </c>
      <c r="K43" s="20" t="s">
        <v>27</v>
      </c>
      <c r="L43" s="4" t="s">
        <v>425</v>
      </c>
      <c r="M43" s="4" t="s">
        <v>228</v>
      </c>
      <c r="N43" s="4"/>
      <c r="O43" s="4" t="s">
        <v>537</v>
      </c>
    </row>
    <row r="44" spans="2:15">
      <c r="B44" s="15"/>
      <c r="C44" s="15"/>
      <c r="D44" s="4" t="s">
        <v>131</v>
      </c>
      <c r="E44" s="38">
        <v>0.04</v>
      </c>
      <c r="F44" s="39"/>
      <c r="G44" s="39"/>
      <c r="H44" s="39">
        <v>0</v>
      </c>
      <c r="I44" s="40">
        <v>0.02</v>
      </c>
      <c r="J44" s="17">
        <v>2013</v>
      </c>
      <c r="K44" s="20" t="s">
        <v>79</v>
      </c>
      <c r="L44" s="4" t="s">
        <v>24</v>
      </c>
      <c r="M44" s="4" t="s">
        <v>21</v>
      </c>
      <c r="N44" s="4"/>
      <c r="O44" s="4" t="s">
        <v>538</v>
      </c>
    </row>
    <row r="45" spans="2:15">
      <c r="B45" s="15"/>
      <c r="C45" s="15"/>
      <c r="D45" s="4" t="s">
        <v>137</v>
      </c>
      <c r="E45" s="38">
        <v>4.9000000000000004</v>
      </c>
      <c r="F45" s="39"/>
      <c r="G45" s="39"/>
      <c r="H45" s="39"/>
      <c r="I45" s="40"/>
      <c r="J45" s="17">
        <v>2018</v>
      </c>
      <c r="K45" s="20" t="s">
        <v>27</v>
      </c>
      <c r="L45" s="4" t="s">
        <v>539</v>
      </c>
      <c r="M45" s="4" t="s">
        <v>21</v>
      </c>
      <c r="N45" s="4"/>
      <c r="O45" s="4" t="s">
        <v>519</v>
      </c>
    </row>
    <row r="46" spans="2:15">
      <c r="B46" s="15"/>
      <c r="C46" s="15"/>
      <c r="D46" s="4" t="s">
        <v>137</v>
      </c>
      <c r="E46" s="38">
        <v>0.18</v>
      </c>
      <c r="F46" s="39">
        <v>0.05</v>
      </c>
      <c r="G46" s="39">
        <v>0.3</v>
      </c>
      <c r="H46" s="39"/>
      <c r="I46" s="40"/>
      <c r="J46" s="17">
        <v>2011</v>
      </c>
      <c r="K46" s="20" t="s">
        <v>27</v>
      </c>
      <c r="L46" s="4" t="s">
        <v>61</v>
      </c>
      <c r="M46" s="4" t="s">
        <v>21</v>
      </c>
      <c r="N46" s="4" t="s">
        <v>529</v>
      </c>
      <c r="O46" s="4"/>
    </row>
    <row r="47" spans="2:15">
      <c r="B47" s="15" t="s">
        <v>139</v>
      </c>
      <c r="C47" s="15" t="s">
        <v>140</v>
      </c>
      <c r="D47" s="4" t="s">
        <v>141</v>
      </c>
      <c r="E47" s="38">
        <v>0.16</v>
      </c>
      <c r="F47" s="39">
        <v>0.14000000000000001</v>
      </c>
      <c r="G47" s="39">
        <v>0.2</v>
      </c>
      <c r="H47" s="39"/>
      <c r="I47" s="40"/>
      <c r="J47" s="17">
        <v>2009</v>
      </c>
      <c r="K47" s="20" t="s">
        <v>27</v>
      </c>
      <c r="L47" s="4" t="s">
        <v>540</v>
      </c>
      <c r="M47" s="4" t="s">
        <v>228</v>
      </c>
      <c r="N47" s="4" t="s">
        <v>520</v>
      </c>
      <c r="O47" s="4" t="s">
        <v>521</v>
      </c>
    </row>
    <row r="48" spans="2:15">
      <c r="B48" s="15"/>
      <c r="C48" s="15"/>
      <c r="D48" s="4" t="s">
        <v>141</v>
      </c>
      <c r="E48" s="38">
        <v>0.28000000000000003</v>
      </c>
      <c r="F48" s="39">
        <v>0.24</v>
      </c>
      <c r="G48" s="39">
        <v>0.33</v>
      </c>
      <c r="H48" s="39"/>
      <c r="I48" s="40"/>
      <c r="J48" s="17">
        <v>2007</v>
      </c>
      <c r="K48" s="20" t="s">
        <v>27</v>
      </c>
      <c r="L48" s="4" t="s">
        <v>36</v>
      </c>
      <c r="M48" s="4"/>
      <c r="N48" s="4"/>
      <c r="O48" s="4"/>
    </row>
    <row r="49" spans="2:15">
      <c r="B49" s="15"/>
      <c r="C49" s="15"/>
      <c r="D49" s="4" t="s">
        <v>141</v>
      </c>
      <c r="E49" s="38">
        <v>0.3</v>
      </c>
      <c r="F49" s="39"/>
      <c r="G49" s="39"/>
      <c r="H49" s="39"/>
      <c r="I49" s="40"/>
      <c r="J49" s="17">
        <v>2005</v>
      </c>
      <c r="K49" s="20" t="s">
        <v>27</v>
      </c>
      <c r="L49" s="4" t="s">
        <v>58</v>
      </c>
      <c r="M49" s="4" t="s">
        <v>51</v>
      </c>
      <c r="N49" s="4"/>
      <c r="O49" s="4"/>
    </row>
    <row r="50" spans="2:15">
      <c r="B50" s="15"/>
      <c r="C50" s="15"/>
      <c r="D50" s="4" t="s">
        <v>143</v>
      </c>
      <c r="E50" s="38">
        <v>0.2</v>
      </c>
      <c r="F50" s="39"/>
      <c r="G50" s="39"/>
      <c r="H50" s="39"/>
      <c r="I50" s="40"/>
      <c r="J50" s="17">
        <v>2022</v>
      </c>
      <c r="K50" s="20" t="s">
        <v>144</v>
      </c>
      <c r="L50" s="4" t="s">
        <v>36</v>
      </c>
      <c r="M50" s="4" t="s">
        <v>21</v>
      </c>
      <c r="N50" s="4"/>
      <c r="O50" s="4" t="s">
        <v>541</v>
      </c>
    </row>
    <row r="51" spans="2:15">
      <c r="B51" s="15"/>
      <c r="C51" s="15"/>
      <c r="D51" s="4" t="s">
        <v>143</v>
      </c>
      <c r="E51" s="38">
        <v>1.36</v>
      </c>
      <c r="F51" s="39">
        <v>1.33</v>
      </c>
      <c r="G51" s="39">
        <v>1.4</v>
      </c>
      <c r="H51" s="39"/>
      <c r="I51" s="40"/>
      <c r="J51" s="17">
        <v>2010</v>
      </c>
      <c r="K51" s="20" t="s">
        <v>27</v>
      </c>
      <c r="L51" s="4" t="s">
        <v>542</v>
      </c>
      <c r="M51" s="4" t="s">
        <v>228</v>
      </c>
      <c r="N51" s="4" t="s">
        <v>520</v>
      </c>
      <c r="O51" s="4" t="s">
        <v>521</v>
      </c>
    </row>
    <row r="52" spans="2:15">
      <c r="B52" s="15"/>
      <c r="C52" s="15"/>
      <c r="D52" s="4" t="s">
        <v>143</v>
      </c>
      <c r="E52" s="38">
        <v>0.57999999999999996</v>
      </c>
      <c r="F52" s="39"/>
      <c r="G52" s="39"/>
      <c r="H52" s="39"/>
      <c r="I52" s="40"/>
      <c r="J52" s="17">
        <v>2006</v>
      </c>
      <c r="K52" s="20" t="s">
        <v>27</v>
      </c>
      <c r="L52" s="4" t="s">
        <v>58</v>
      </c>
      <c r="M52" s="4" t="s">
        <v>228</v>
      </c>
      <c r="N52" s="4"/>
      <c r="O52" s="4"/>
    </row>
    <row r="53" spans="2:15">
      <c r="B53" s="15"/>
      <c r="C53" s="15"/>
      <c r="D53" s="4" t="s">
        <v>149</v>
      </c>
      <c r="E53" s="38">
        <v>1</v>
      </c>
      <c r="F53" s="39"/>
      <c r="G53" s="39"/>
      <c r="H53" s="39"/>
      <c r="I53" s="40"/>
      <c r="J53" s="17">
        <v>2006</v>
      </c>
      <c r="K53" s="20" t="s">
        <v>27</v>
      </c>
      <c r="L53" s="4" t="s">
        <v>543</v>
      </c>
      <c r="M53" s="4" t="s">
        <v>228</v>
      </c>
      <c r="N53" s="4" t="s">
        <v>520</v>
      </c>
      <c r="O53" s="4" t="s">
        <v>521</v>
      </c>
    </row>
    <row r="54" spans="2:15">
      <c r="B54" s="15"/>
      <c r="C54" s="15"/>
      <c r="D54" s="4" t="s">
        <v>544</v>
      </c>
      <c r="E54" s="38">
        <v>0.8</v>
      </c>
      <c r="F54" s="39"/>
      <c r="G54" s="39"/>
      <c r="H54" s="39"/>
      <c r="I54" s="40"/>
      <c r="J54" s="17">
        <v>2006</v>
      </c>
      <c r="K54" s="20" t="s">
        <v>27</v>
      </c>
      <c r="L54" s="4" t="s">
        <v>543</v>
      </c>
      <c r="M54" s="4" t="s">
        <v>228</v>
      </c>
      <c r="N54" s="4" t="s">
        <v>520</v>
      </c>
      <c r="O54" s="4" t="s">
        <v>521</v>
      </c>
    </row>
    <row r="55" spans="2:15">
      <c r="B55" s="15"/>
      <c r="C55" s="15"/>
      <c r="D55" s="4" t="s">
        <v>545</v>
      </c>
      <c r="E55" s="38">
        <v>0.54</v>
      </c>
      <c r="F55" s="39"/>
      <c r="G55" s="39"/>
      <c r="H55" s="39"/>
      <c r="I55" s="40"/>
      <c r="J55" s="17">
        <v>2006</v>
      </c>
      <c r="K55" s="20" t="s">
        <v>27</v>
      </c>
      <c r="L55" s="4" t="s">
        <v>543</v>
      </c>
      <c r="M55" s="4" t="s">
        <v>228</v>
      </c>
      <c r="N55" s="4" t="s">
        <v>520</v>
      </c>
      <c r="O55" s="4" t="s">
        <v>521</v>
      </c>
    </row>
    <row r="56" spans="2:15">
      <c r="B56" s="15"/>
      <c r="C56" s="15"/>
      <c r="D56" s="4" t="s">
        <v>546</v>
      </c>
      <c r="E56" s="38">
        <v>0.32</v>
      </c>
      <c r="F56" s="39"/>
      <c r="G56" s="39"/>
      <c r="H56" s="39"/>
      <c r="I56" s="40"/>
      <c r="J56" s="17">
        <v>2007</v>
      </c>
      <c r="K56" s="20" t="s">
        <v>27</v>
      </c>
      <c r="L56" s="4" t="s">
        <v>24</v>
      </c>
      <c r="M56" s="4" t="s">
        <v>211</v>
      </c>
      <c r="N56" s="4"/>
      <c r="O56" s="4" t="s">
        <v>527</v>
      </c>
    </row>
    <row r="57" spans="2:15">
      <c r="B57" s="15"/>
      <c r="C57" s="15"/>
      <c r="D57" s="4" t="s">
        <v>151</v>
      </c>
      <c r="E57" s="38">
        <v>0.8</v>
      </c>
      <c r="F57" s="39"/>
      <c r="G57" s="39"/>
      <c r="H57" s="39"/>
      <c r="I57" s="40"/>
      <c r="J57" s="17">
        <v>2006</v>
      </c>
      <c r="K57" s="20" t="s">
        <v>27</v>
      </c>
      <c r="L57" s="4" t="s">
        <v>543</v>
      </c>
      <c r="M57" s="4" t="s">
        <v>228</v>
      </c>
      <c r="N57" s="4" t="s">
        <v>520</v>
      </c>
      <c r="O57" s="4" t="s">
        <v>521</v>
      </c>
    </row>
    <row r="58" spans="2:15">
      <c r="B58" s="15"/>
      <c r="C58" s="15" t="s">
        <v>152</v>
      </c>
      <c r="D58" s="4" t="s">
        <v>170</v>
      </c>
      <c r="E58" s="38">
        <v>0.1173</v>
      </c>
      <c r="F58" s="39"/>
      <c r="G58" s="39"/>
      <c r="H58" s="39"/>
      <c r="I58" s="40"/>
      <c r="J58" s="17">
        <v>2021</v>
      </c>
      <c r="K58" s="20" t="s">
        <v>27</v>
      </c>
      <c r="L58" s="4" t="s">
        <v>24</v>
      </c>
      <c r="M58" s="4"/>
      <c r="N58" s="4"/>
      <c r="O58" s="4" t="s">
        <v>534</v>
      </c>
    </row>
    <row r="59" spans="2:15">
      <c r="B59" s="15"/>
      <c r="C59" s="15"/>
      <c r="D59" s="4" t="s">
        <v>170</v>
      </c>
      <c r="E59" s="38">
        <v>0.44</v>
      </c>
      <c r="F59" s="39">
        <v>0.28000000000000003</v>
      </c>
      <c r="G59" s="39">
        <v>0.6</v>
      </c>
      <c r="H59" s="39"/>
      <c r="I59" s="40"/>
      <c r="J59" s="17" t="s">
        <v>171</v>
      </c>
      <c r="K59" s="20" t="s">
        <v>27</v>
      </c>
      <c r="L59" s="4" t="s">
        <v>172</v>
      </c>
      <c r="M59" s="4" t="s">
        <v>51</v>
      </c>
      <c r="N59" s="4" t="s">
        <v>37</v>
      </c>
      <c r="O59" s="4" t="s">
        <v>173</v>
      </c>
    </row>
    <row r="60" spans="2:15">
      <c r="B60" s="15"/>
      <c r="C60" s="15"/>
      <c r="D60" s="4" t="s">
        <v>175</v>
      </c>
      <c r="E60" s="38">
        <v>0.05</v>
      </c>
      <c r="F60" s="39"/>
      <c r="G60" s="39"/>
      <c r="H60" s="39"/>
      <c r="I60" s="40"/>
      <c r="J60" s="17">
        <v>2007</v>
      </c>
      <c r="K60" s="20" t="s">
        <v>27</v>
      </c>
      <c r="L60" s="4" t="s">
        <v>547</v>
      </c>
      <c r="M60" s="4"/>
      <c r="N60" s="4"/>
      <c r="O60" s="4"/>
    </row>
    <row r="61" spans="2:15">
      <c r="B61" s="15"/>
      <c r="C61" s="15"/>
      <c r="D61" s="4" t="s">
        <v>183</v>
      </c>
      <c r="E61" s="38">
        <v>0.33</v>
      </c>
      <c r="F61" s="39">
        <v>0.28000000000000003</v>
      </c>
      <c r="G61" s="39">
        <v>0.38</v>
      </c>
      <c r="H61" s="39"/>
      <c r="I61" s="40"/>
      <c r="J61" s="17">
        <v>2010</v>
      </c>
      <c r="K61" s="20" t="s">
        <v>27</v>
      </c>
      <c r="L61" s="4" t="s">
        <v>61</v>
      </c>
      <c r="M61" s="4" t="s">
        <v>228</v>
      </c>
      <c r="N61" s="4"/>
      <c r="O61" s="4" t="s">
        <v>521</v>
      </c>
    </row>
    <row r="62" spans="2:15">
      <c r="B62" s="15"/>
      <c r="C62" s="15" t="s">
        <v>188</v>
      </c>
      <c r="D62" s="4" t="s">
        <v>189</v>
      </c>
      <c r="E62" s="38">
        <v>8.5</v>
      </c>
      <c r="F62" s="39"/>
      <c r="G62" s="39"/>
      <c r="H62" s="39">
        <v>10.3</v>
      </c>
      <c r="I62" s="40">
        <v>6.7</v>
      </c>
      <c r="J62" s="17">
        <v>2015</v>
      </c>
      <c r="K62" s="20" t="s">
        <v>50</v>
      </c>
      <c r="L62" s="4" t="s">
        <v>190</v>
      </c>
      <c r="M62" s="4" t="s">
        <v>21</v>
      </c>
      <c r="N62" s="4"/>
      <c r="O62" s="4"/>
    </row>
    <row r="63" spans="2:15">
      <c r="B63" s="15"/>
      <c r="C63" s="15"/>
      <c r="D63" s="4" t="s">
        <v>189</v>
      </c>
      <c r="E63" s="38">
        <v>2.92</v>
      </c>
      <c r="F63" s="39">
        <v>2.65</v>
      </c>
      <c r="G63" s="39">
        <v>3.2</v>
      </c>
      <c r="H63" s="39">
        <v>4.3</v>
      </c>
      <c r="I63" s="40">
        <v>1.45</v>
      </c>
      <c r="J63" s="17">
        <v>2009</v>
      </c>
      <c r="K63" s="20" t="s">
        <v>27</v>
      </c>
      <c r="L63" s="4" t="s">
        <v>548</v>
      </c>
      <c r="M63" s="4" t="s">
        <v>21</v>
      </c>
      <c r="N63" s="4" t="s">
        <v>520</v>
      </c>
      <c r="O63" s="4" t="s">
        <v>521</v>
      </c>
    </row>
    <row r="64" spans="2:15">
      <c r="B64" s="15"/>
      <c r="C64" s="15"/>
      <c r="D64" s="4" t="s">
        <v>193</v>
      </c>
      <c r="E64" s="38">
        <v>3.02</v>
      </c>
      <c r="F64" s="39">
        <v>2.56</v>
      </c>
      <c r="G64" s="39">
        <v>3.47</v>
      </c>
      <c r="H64" s="39"/>
      <c r="I64" s="40"/>
      <c r="J64" s="17">
        <v>2011</v>
      </c>
      <c r="K64" s="20" t="s">
        <v>27</v>
      </c>
      <c r="L64" s="4" t="s">
        <v>379</v>
      </c>
      <c r="M64" s="4" t="s">
        <v>21</v>
      </c>
      <c r="N64" s="4"/>
      <c r="O64" s="4"/>
    </row>
    <row r="65" spans="2:15">
      <c r="B65" s="15"/>
      <c r="C65" s="15"/>
      <c r="D65" s="4" t="s">
        <v>200</v>
      </c>
      <c r="E65" s="38">
        <v>0.1</v>
      </c>
      <c r="F65" s="39"/>
      <c r="G65" s="39"/>
      <c r="H65" s="39">
        <v>0</v>
      </c>
      <c r="I65" s="40">
        <v>0.2</v>
      </c>
      <c r="J65" s="17">
        <v>2020</v>
      </c>
      <c r="K65" s="20" t="s">
        <v>201</v>
      </c>
      <c r="L65" s="4" t="s">
        <v>24</v>
      </c>
      <c r="M65" s="4" t="s">
        <v>21</v>
      </c>
      <c r="N65" s="4"/>
      <c r="O65" s="4"/>
    </row>
    <row r="66" spans="2:15">
      <c r="B66" s="15"/>
      <c r="C66" s="15"/>
      <c r="D66" s="4" t="s">
        <v>208</v>
      </c>
      <c r="E66" s="38">
        <v>2.4</v>
      </c>
      <c r="F66" s="39">
        <v>2</v>
      </c>
      <c r="G66" s="39">
        <v>3.1</v>
      </c>
      <c r="H66" s="39">
        <v>3.4</v>
      </c>
      <c r="I66" s="40">
        <v>1.4</v>
      </c>
      <c r="J66" s="17">
        <v>2012</v>
      </c>
      <c r="K66" s="20" t="s">
        <v>27</v>
      </c>
      <c r="L66" s="4" t="s">
        <v>69</v>
      </c>
      <c r="M66" s="4" t="s">
        <v>70</v>
      </c>
      <c r="N66" s="4" t="s">
        <v>520</v>
      </c>
      <c r="O66" s="4" t="s">
        <v>521</v>
      </c>
    </row>
    <row r="67" spans="2:15">
      <c r="B67" s="15"/>
      <c r="C67" s="15"/>
      <c r="D67" s="4" t="s">
        <v>208</v>
      </c>
      <c r="E67" s="38">
        <v>0.7</v>
      </c>
      <c r="F67" s="39"/>
      <c r="G67" s="39"/>
      <c r="H67" s="39"/>
      <c r="I67" s="40"/>
      <c r="J67" s="17">
        <v>2006</v>
      </c>
      <c r="K67" s="20" t="s">
        <v>27</v>
      </c>
      <c r="L67" s="4" t="s">
        <v>549</v>
      </c>
      <c r="M67" s="4" t="s">
        <v>228</v>
      </c>
      <c r="N67" s="4" t="s">
        <v>520</v>
      </c>
      <c r="O67" s="4" t="s">
        <v>521</v>
      </c>
    </row>
    <row r="68" spans="2:15">
      <c r="B68" s="15"/>
      <c r="C68" s="15" t="s">
        <v>213</v>
      </c>
      <c r="D68" s="4" t="s">
        <v>214</v>
      </c>
      <c r="E68" s="38">
        <v>0.38424999999999998</v>
      </c>
      <c r="F68" s="39">
        <v>0.1537</v>
      </c>
      <c r="G68" s="39">
        <v>0.61480000000000001</v>
      </c>
      <c r="H68" s="39"/>
      <c r="I68" s="40"/>
      <c r="J68" s="17">
        <v>2018</v>
      </c>
      <c r="K68" s="20" t="s">
        <v>215</v>
      </c>
      <c r="L68" s="4" t="s">
        <v>97</v>
      </c>
      <c r="M68" s="4" t="s">
        <v>21</v>
      </c>
      <c r="N68" s="4" t="s">
        <v>22</v>
      </c>
      <c r="O68" s="4" t="s">
        <v>521</v>
      </c>
    </row>
    <row r="69" spans="2:15">
      <c r="B69" s="15"/>
      <c r="C69" s="15"/>
      <c r="D69" s="4" t="s">
        <v>214</v>
      </c>
      <c r="E69" s="38">
        <v>0.4</v>
      </c>
      <c r="F69" s="39"/>
      <c r="G69" s="39"/>
      <c r="H69" s="39"/>
      <c r="I69" s="40"/>
      <c r="J69" s="17">
        <v>2003</v>
      </c>
      <c r="K69" s="20" t="s">
        <v>27</v>
      </c>
      <c r="L69" s="4" t="s">
        <v>24</v>
      </c>
      <c r="M69" s="4" t="s">
        <v>21</v>
      </c>
      <c r="N69" s="4" t="s">
        <v>550</v>
      </c>
      <c r="O69" s="4" t="s">
        <v>521</v>
      </c>
    </row>
    <row r="70" spans="2:15">
      <c r="B70" s="15"/>
      <c r="C70" s="15"/>
      <c r="D70" s="4" t="s">
        <v>219</v>
      </c>
      <c r="E70" s="38">
        <v>2.06</v>
      </c>
      <c r="F70" s="39"/>
      <c r="G70" s="39"/>
      <c r="H70" s="39">
        <v>3.97</v>
      </c>
      <c r="I70" s="40">
        <v>0.16</v>
      </c>
      <c r="J70" s="17">
        <v>2018</v>
      </c>
      <c r="K70" s="20" t="s">
        <v>220</v>
      </c>
      <c r="L70" s="4" t="s">
        <v>36</v>
      </c>
      <c r="M70" s="4" t="s">
        <v>70</v>
      </c>
      <c r="N70" s="4"/>
      <c r="O70" s="4" t="s">
        <v>551</v>
      </c>
    </row>
    <row r="71" spans="2:15">
      <c r="B71" s="15"/>
      <c r="C71" s="15"/>
      <c r="D71" s="4" t="s">
        <v>222</v>
      </c>
      <c r="E71" s="38">
        <v>1.46</v>
      </c>
      <c r="F71" s="39"/>
      <c r="G71" s="39"/>
      <c r="H71" s="39"/>
      <c r="I71" s="40"/>
      <c r="J71" s="17">
        <v>2012</v>
      </c>
      <c r="K71" s="20" t="s">
        <v>27</v>
      </c>
      <c r="L71" s="4" t="s">
        <v>36</v>
      </c>
      <c r="M71" s="4" t="s">
        <v>21</v>
      </c>
      <c r="N71" s="4"/>
      <c r="O71" s="4" t="s">
        <v>521</v>
      </c>
    </row>
    <row r="72" spans="2:15">
      <c r="B72" s="15" t="s">
        <v>231</v>
      </c>
      <c r="C72" s="15" t="s">
        <v>232</v>
      </c>
      <c r="D72" s="4" t="s">
        <v>236</v>
      </c>
      <c r="E72" s="38">
        <v>0.64</v>
      </c>
      <c r="F72" s="39"/>
      <c r="G72" s="39"/>
      <c r="H72" s="39"/>
      <c r="I72" s="40"/>
      <c r="J72" s="17">
        <v>2020</v>
      </c>
      <c r="K72" s="20" t="s">
        <v>27</v>
      </c>
      <c r="L72" s="4" t="s">
        <v>552</v>
      </c>
      <c r="M72" s="4" t="s">
        <v>553</v>
      </c>
      <c r="N72" s="4"/>
      <c r="O72" s="4" t="s">
        <v>554</v>
      </c>
    </row>
    <row r="73" spans="2:15">
      <c r="B73" s="15"/>
      <c r="C73" s="15"/>
      <c r="D73" s="4" t="s">
        <v>237</v>
      </c>
      <c r="E73" s="38">
        <v>1.03</v>
      </c>
      <c r="F73" s="39"/>
      <c r="G73" s="39"/>
      <c r="H73" s="39"/>
      <c r="I73" s="40"/>
      <c r="J73" s="17">
        <v>2016</v>
      </c>
      <c r="K73" s="20" t="s">
        <v>27</v>
      </c>
      <c r="L73" s="4" t="s">
        <v>20</v>
      </c>
      <c r="M73" s="4" t="s">
        <v>228</v>
      </c>
      <c r="N73" s="4" t="s">
        <v>230</v>
      </c>
      <c r="O73" s="4" t="s">
        <v>555</v>
      </c>
    </row>
    <row r="74" spans="2:15">
      <c r="B74" s="15"/>
      <c r="C74" s="15"/>
      <c r="D74" s="4" t="s">
        <v>237</v>
      </c>
      <c r="E74" s="38">
        <v>2.29</v>
      </c>
      <c r="F74" s="39"/>
      <c r="G74" s="39"/>
      <c r="H74" s="39"/>
      <c r="I74" s="40"/>
      <c r="J74" s="17">
        <v>2010</v>
      </c>
      <c r="K74" s="20" t="s">
        <v>27</v>
      </c>
      <c r="L74" s="4" t="s">
        <v>36</v>
      </c>
      <c r="M74" s="4" t="s">
        <v>228</v>
      </c>
      <c r="N74" s="4" t="s">
        <v>520</v>
      </c>
      <c r="O74" s="4" t="s">
        <v>556</v>
      </c>
    </row>
    <row r="75" spans="2:15">
      <c r="B75" s="15"/>
      <c r="C75" s="15"/>
      <c r="D75" s="4" t="s">
        <v>240</v>
      </c>
      <c r="E75" s="38">
        <v>0.11</v>
      </c>
      <c r="F75" s="39"/>
      <c r="G75" s="39"/>
      <c r="H75" s="39"/>
      <c r="I75" s="40"/>
      <c r="J75" s="17">
        <v>2021</v>
      </c>
      <c r="K75" s="20" t="s">
        <v>27</v>
      </c>
      <c r="L75" s="4" t="s">
        <v>24</v>
      </c>
      <c r="M75" s="4" t="s">
        <v>553</v>
      </c>
      <c r="N75" s="4"/>
      <c r="O75" s="4" t="s">
        <v>558</v>
      </c>
    </row>
    <row r="76" spans="2:15">
      <c r="B76" s="15"/>
      <c r="C76" s="15" t="s">
        <v>242</v>
      </c>
      <c r="D76" s="4" t="s">
        <v>247</v>
      </c>
      <c r="E76" s="38">
        <v>0.5</v>
      </c>
      <c r="F76" s="39"/>
      <c r="G76" s="39"/>
      <c r="H76" s="39">
        <v>0.5</v>
      </c>
      <c r="I76" s="40">
        <v>0.4</v>
      </c>
      <c r="J76" s="17">
        <v>2020</v>
      </c>
      <c r="K76" s="20" t="s">
        <v>27</v>
      </c>
      <c r="L76" s="4" t="s">
        <v>24</v>
      </c>
      <c r="M76" s="4" t="s">
        <v>21</v>
      </c>
      <c r="N76" s="4"/>
      <c r="O76" s="4" t="s">
        <v>559</v>
      </c>
    </row>
    <row r="77" spans="2:15">
      <c r="B77" s="15"/>
      <c r="C77" s="15"/>
      <c r="D77" s="4" t="s">
        <v>247</v>
      </c>
      <c r="E77" s="38">
        <v>0.3</v>
      </c>
      <c r="F77" s="39"/>
      <c r="G77" s="39"/>
      <c r="H77" s="39">
        <v>0.4</v>
      </c>
      <c r="I77" s="40">
        <v>0.2</v>
      </c>
      <c r="J77" s="17">
        <v>2016</v>
      </c>
      <c r="K77" s="20" t="s">
        <v>27</v>
      </c>
      <c r="L77" s="4" t="s">
        <v>24</v>
      </c>
      <c r="M77" s="4" t="s">
        <v>21</v>
      </c>
      <c r="N77" s="4"/>
      <c r="O77" s="4"/>
    </row>
    <row r="78" spans="2:15">
      <c r="B78" s="15"/>
      <c r="C78" s="15"/>
      <c r="D78" s="4" t="s">
        <v>247</v>
      </c>
      <c r="E78" s="38">
        <v>0.51</v>
      </c>
      <c r="F78" s="39"/>
      <c r="G78" s="39"/>
      <c r="H78" s="39"/>
      <c r="I78" s="40"/>
      <c r="J78" s="17">
        <v>2011</v>
      </c>
      <c r="K78" s="20" t="s">
        <v>27</v>
      </c>
      <c r="L78" s="4" t="s">
        <v>24</v>
      </c>
      <c r="M78" s="4" t="s">
        <v>228</v>
      </c>
      <c r="N78" s="4" t="s">
        <v>520</v>
      </c>
      <c r="O78" s="4" t="s">
        <v>521</v>
      </c>
    </row>
    <row r="79" spans="2:15">
      <c r="B79" s="15"/>
      <c r="C79" s="15"/>
      <c r="D79" s="4" t="s">
        <v>247</v>
      </c>
      <c r="E79" s="38">
        <v>0.44</v>
      </c>
      <c r="F79" s="39"/>
      <c r="G79" s="39"/>
      <c r="H79" s="39"/>
      <c r="I79" s="40"/>
      <c r="J79" s="17">
        <v>2008</v>
      </c>
      <c r="K79" s="20" t="s">
        <v>27</v>
      </c>
      <c r="L79" s="4" t="s">
        <v>38</v>
      </c>
      <c r="M79" s="4" t="s">
        <v>553</v>
      </c>
      <c r="N79" s="4" t="s">
        <v>520</v>
      </c>
      <c r="O79" s="4" t="s">
        <v>521</v>
      </c>
    </row>
    <row r="80" spans="2:15">
      <c r="B80" s="15"/>
      <c r="C80" s="15"/>
      <c r="D80" s="4" t="s">
        <v>248</v>
      </c>
      <c r="E80" s="38">
        <v>0.31</v>
      </c>
      <c r="F80" s="39">
        <v>0.251</v>
      </c>
      <c r="G80" s="39">
        <v>0.40200000000000002</v>
      </c>
      <c r="H80" s="39"/>
      <c r="I80" s="40"/>
      <c r="J80" s="17">
        <v>2015</v>
      </c>
      <c r="K80" s="20" t="s">
        <v>27</v>
      </c>
      <c r="L80" s="4" t="s">
        <v>24</v>
      </c>
      <c r="M80" s="4" t="s">
        <v>228</v>
      </c>
      <c r="N80" s="4"/>
      <c r="O80" s="4" t="s">
        <v>560</v>
      </c>
    </row>
    <row r="81" spans="2:15">
      <c r="B81" s="15"/>
      <c r="C81" s="15"/>
      <c r="D81" s="4" t="s">
        <v>252</v>
      </c>
      <c r="E81" s="38">
        <v>0.5</v>
      </c>
      <c r="F81" s="39"/>
      <c r="G81" s="39"/>
      <c r="H81" s="39"/>
      <c r="I81" s="40"/>
      <c r="J81" s="17">
        <v>2005</v>
      </c>
      <c r="K81" s="20" t="s">
        <v>27</v>
      </c>
      <c r="L81" s="4" t="s">
        <v>24</v>
      </c>
      <c r="M81" s="4"/>
      <c r="N81" s="4" t="s">
        <v>520</v>
      </c>
      <c r="O81" s="4" t="s">
        <v>521</v>
      </c>
    </row>
    <row r="82" spans="2:15">
      <c r="B82" s="15"/>
      <c r="C82" s="15"/>
      <c r="D82" s="4" t="s">
        <v>253</v>
      </c>
      <c r="E82" s="38">
        <v>0.3</v>
      </c>
      <c r="F82" s="39"/>
      <c r="G82" s="39"/>
      <c r="H82" s="39">
        <v>0.2</v>
      </c>
      <c r="I82" s="40">
        <v>0.5</v>
      </c>
      <c r="J82" s="17">
        <v>2019</v>
      </c>
      <c r="K82" s="20" t="s">
        <v>27</v>
      </c>
      <c r="L82" s="4" t="s">
        <v>24</v>
      </c>
      <c r="M82" s="4" t="s">
        <v>21</v>
      </c>
      <c r="N82" s="4" t="s">
        <v>520</v>
      </c>
      <c r="O82" s="4"/>
    </row>
    <row r="83" spans="2:15">
      <c r="B83" s="15"/>
      <c r="C83" s="15"/>
      <c r="D83" s="4" t="s">
        <v>253</v>
      </c>
      <c r="E83" s="38">
        <v>0.2</v>
      </c>
      <c r="F83" s="39"/>
      <c r="G83" s="39"/>
      <c r="H83" s="39">
        <v>0.2</v>
      </c>
      <c r="I83" s="40">
        <v>0.1</v>
      </c>
      <c r="J83" s="17">
        <v>2016</v>
      </c>
      <c r="K83" s="20" t="s">
        <v>27</v>
      </c>
      <c r="L83" s="4" t="s">
        <v>24</v>
      </c>
      <c r="M83" s="4" t="s">
        <v>21</v>
      </c>
      <c r="N83" s="4"/>
      <c r="O83" s="4"/>
    </row>
    <row r="84" spans="2:15">
      <c r="B84" s="15"/>
      <c r="C84" s="15"/>
      <c r="D84" s="4" t="s">
        <v>254</v>
      </c>
      <c r="E84" s="38">
        <v>5.15</v>
      </c>
      <c r="F84" s="39"/>
      <c r="G84" s="39"/>
      <c r="H84" s="39">
        <v>4.1500000000000004</v>
      </c>
      <c r="I84" s="40">
        <v>6.1</v>
      </c>
      <c r="J84" s="17">
        <v>2014</v>
      </c>
      <c r="K84" s="20" t="s">
        <v>144</v>
      </c>
      <c r="L84" s="4" t="s">
        <v>384</v>
      </c>
      <c r="M84" s="4" t="s">
        <v>21</v>
      </c>
      <c r="N84" s="4" t="s">
        <v>520</v>
      </c>
      <c r="O84" s="4" t="s">
        <v>521</v>
      </c>
    </row>
    <row r="85" spans="2:15">
      <c r="B85" s="15"/>
      <c r="C85" s="15" t="s">
        <v>257</v>
      </c>
      <c r="D85" s="4" t="s">
        <v>258</v>
      </c>
      <c r="E85" s="38">
        <v>0.65900000000000003</v>
      </c>
      <c r="F85" s="39">
        <v>0.63400000000000001</v>
      </c>
      <c r="G85" s="39">
        <v>0.68300000000000005</v>
      </c>
      <c r="H85" s="39"/>
      <c r="I85" s="40"/>
      <c r="J85" s="17">
        <v>2021</v>
      </c>
      <c r="K85" s="20" t="s">
        <v>27</v>
      </c>
      <c r="L85" s="4" t="s">
        <v>249</v>
      </c>
      <c r="M85" s="4" t="s">
        <v>228</v>
      </c>
      <c r="N85" s="4"/>
      <c r="O85" s="4" t="s">
        <v>560</v>
      </c>
    </row>
    <row r="86" spans="2:15">
      <c r="B86" s="15"/>
      <c r="C86" s="15"/>
      <c r="D86" s="4" t="s">
        <v>258</v>
      </c>
      <c r="E86" s="38">
        <v>0.53900000000000003</v>
      </c>
      <c r="F86" s="39">
        <v>0.52300000000000002</v>
      </c>
      <c r="G86" s="39">
        <v>0.55400000000000005</v>
      </c>
      <c r="H86" s="39">
        <v>1.1599999999999999</v>
      </c>
      <c r="I86" s="40">
        <v>0.19</v>
      </c>
      <c r="J86" s="17">
        <v>2019</v>
      </c>
      <c r="K86" s="20" t="s">
        <v>27</v>
      </c>
      <c r="L86" s="4" t="s">
        <v>561</v>
      </c>
      <c r="M86" s="4" t="s">
        <v>228</v>
      </c>
      <c r="N86" s="4"/>
      <c r="O86" s="4" t="s">
        <v>560</v>
      </c>
    </row>
    <row r="87" spans="2:15">
      <c r="B87" s="15"/>
      <c r="C87" s="15"/>
      <c r="D87" s="4" t="s">
        <v>258</v>
      </c>
      <c r="E87" s="38">
        <v>0.53</v>
      </c>
      <c r="F87" s="39"/>
      <c r="G87" s="39"/>
      <c r="H87" s="39"/>
      <c r="I87" s="40"/>
      <c r="J87" s="17">
        <v>2015</v>
      </c>
      <c r="K87" s="20" t="s">
        <v>27</v>
      </c>
      <c r="L87" s="4" t="s">
        <v>24</v>
      </c>
      <c r="M87" s="4" t="s">
        <v>228</v>
      </c>
      <c r="N87" s="4"/>
      <c r="O87" s="4" t="s">
        <v>560</v>
      </c>
    </row>
    <row r="88" spans="2:15">
      <c r="B88" s="15"/>
      <c r="C88" s="15"/>
      <c r="D88" s="4" t="s">
        <v>258</v>
      </c>
      <c r="E88" s="38">
        <v>0.5</v>
      </c>
      <c r="F88" s="39">
        <v>0.49</v>
      </c>
      <c r="G88" s="39">
        <v>0.51</v>
      </c>
      <c r="H88" s="39"/>
      <c r="I88" s="40"/>
      <c r="J88" s="17">
        <v>2013</v>
      </c>
      <c r="K88" s="20" t="s">
        <v>27</v>
      </c>
      <c r="L88" s="4" t="s">
        <v>249</v>
      </c>
      <c r="M88" s="4" t="s">
        <v>228</v>
      </c>
      <c r="N88" s="4"/>
      <c r="O88" s="4" t="s">
        <v>560</v>
      </c>
    </row>
    <row r="89" spans="2:15">
      <c r="B89" s="15"/>
      <c r="C89" s="15"/>
      <c r="D89" s="4" t="s">
        <v>258</v>
      </c>
      <c r="E89" s="38">
        <v>0.53</v>
      </c>
      <c r="F89" s="39">
        <v>0.52</v>
      </c>
      <c r="G89" s="39">
        <v>0.55000000000000004</v>
      </c>
      <c r="H89" s="39"/>
      <c r="I89" s="40"/>
      <c r="J89" s="17">
        <v>2011</v>
      </c>
      <c r="K89" s="20" t="s">
        <v>27</v>
      </c>
      <c r="L89" s="4" t="s">
        <v>249</v>
      </c>
      <c r="M89" s="4" t="s">
        <v>228</v>
      </c>
      <c r="N89" s="4"/>
      <c r="O89" s="4" t="s">
        <v>560</v>
      </c>
    </row>
    <row r="90" spans="2:15">
      <c r="B90" s="15"/>
      <c r="C90" s="15"/>
      <c r="D90" s="4" t="s">
        <v>260</v>
      </c>
      <c r="E90" s="38">
        <v>0.7</v>
      </c>
      <c r="F90" s="39">
        <v>0.4</v>
      </c>
      <c r="G90" s="39">
        <v>1</v>
      </c>
      <c r="H90" s="39">
        <v>0.8</v>
      </c>
      <c r="I90" s="40">
        <v>0.7</v>
      </c>
      <c r="J90" s="17">
        <v>2018</v>
      </c>
      <c r="K90" s="20" t="s">
        <v>27</v>
      </c>
      <c r="L90" s="4" t="s">
        <v>109</v>
      </c>
      <c r="M90" s="4" t="s">
        <v>21</v>
      </c>
      <c r="N90" s="4"/>
      <c r="O90" s="4" t="s">
        <v>562</v>
      </c>
    </row>
    <row r="91" spans="2:15">
      <c r="B91" s="15"/>
      <c r="C91" s="15"/>
      <c r="D91" s="4" t="s">
        <v>260</v>
      </c>
      <c r="E91" s="38">
        <v>0.2</v>
      </c>
      <c r="F91" s="39"/>
      <c r="G91" s="39"/>
      <c r="H91" s="39">
        <v>0.3</v>
      </c>
      <c r="I91" s="40">
        <v>0.1</v>
      </c>
      <c r="J91" s="17">
        <v>2013</v>
      </c>
      <c r="K91" s="20" t="s">
        <v>27</v>
      </c>
      <c r="L91" s="4" t="s">
        <v>24</v>
      </c>
      <c r="M91" s="4" t="s">
        <v>21</v>
      </c>
      <c r="N91" s="4"/>
      <c r="O91" s="4" t="s">
        <v>563</v>
      </c>
    </row>
    <row r="92" spans="2:15">
      <c r="B92" s="15"/>
      <c r="C92" s="15"/>
      <c r="D92" s="4" t="s">
        <v>260</v>
      </c>
      <c r="E92" s="38">
        <v>0.2</v>
      </c>
      <c r="F92" s="39"/>
      <c r="G92" s="39"/>
      <c r="H92" s="39">
        <v>0.2</v>
      </c>
      <c r="I92" s="40">
        <v>0.1</v>
      </c>
      <c r="J92" s="17">
        <v>2008</v>
      </c>
      <c r="K92" s="20" t="s">
        <v>27</v>
      </c>
      <c r="L92" s="4" t="s">
        <v>24</v>
      </c>
      <c r="M92" s="4" t="s">
        <v>21</v>
      </c>
      <c r="N92" s="4"/>
      <c r="O92" s="4"/>
    </row>
    <row r="93" spans="2:15">
      <c r="B93" s="15"/>
      <c r="C93" s="15"/>
      <c r="D93" s="4" t="s">
        <v>262</v>
      </c>
      <c r="E93" s="38">
        <v>0.26</v>
      </c>
      <c r="F93" s="39">
        <v>0.18</v>
      </c>
      <c r="G93" s="39">
        <v>0.38</v>
      </c>
      <c r="H93" s="39"/>
      <c r="I93" s="40"/>
      <c r="J93" s="17">
        <v>2022</v>
      </c>
      <c r="K93" s="20" t="s">
        <v>27</v>
      </c>
      <c r="L93" s="4" t="s">
        <v>266</v>
      </c>
      <c r="M93" s="4" t="s">
        <v>553</v>
      </c>
      <c r="N93" s="4"/>
      <c r="O93" s="4" t="s">
        <v>564</v>
      </c>
    </row>
    <row r="94" spans="2:15">
      <c r="B94" s="15"/>
      <c r="C94" s="15"/>
      <c r="D94" s="4" t="s">
        <v>262</v>
      </c>
      <c r="E94" s="38">
        <v>0.20899999999999999</v>
      </c>
      <c r="F94" s="39">
        <v>0.13600000000000001</v>
      </c>
      <c r="G94" s="39">
        <v>0.33500000000000002</v>
      </c>
      <c r="H94" s="39"/>
      <c r="I94" s="40"/>
      <c r="J94" s="17">
        <v>2021</v>
      </c>
      <c r="K94" s="20" t="s">
        <v>27</v>
      </c>
      <c r="L94" s="4" t="s">
        <v>249</v>
      </c>
      <c r="M94" s="4" t="s">
        <v>228</v>
      </c>
      <c r="N94" s="4"/>
      <c r="O94" s="4" t="s">
        <v>565</v>
      </c>
    </row>
    <row r="95" spans="2:15">
      <c r="B95" s="15"/>
      <c r="C95" s="15"/>
      <c r="D95" s="4" t="s">
        <v>262</v>
      </c>
      <c r="E95" s="38">
        <v>0.16200000000000001</v>
      </c>
      <c r="F95" s="39">
        <v>0.11700000000000001</v>
      </c>
      <c r="G95" s="39">
        <v>0.23400000000000001</v>
      </c>
      <c r="H95" s="39"/>
      <c r="I95" s="40"/>
      <c r="J95" s="17">
        <v>2020</v>
      </c>
      <c r="K95" s="20" t="s">
        <v>27</v>
      </c>
      <c r="L95" s="4" t="s">
        <v>249</v>
      </c>
      <c r="M95" s="4" t="s">
        <v>228</v>
      </c>
      <c r="N95" s="4"/>
      <c r="O95" s="4" t="s">
        <v>565</v>
      </c>
    </row>
    <row r="96" spans="2:15">
      <c r="B96" s="15"/>
      <c r="C96" s="15"/>
      <c r="D96" s="4" t="s">
        <v>262</v>
      </c>
      <c r="E96" s="38">
        <v>0.17199999999999999</v>
      </c>
      <c r="F96" s="39">
        <v>0.13100000000000001</v>
      </c>
      <c r="G96" s="39">
        <v>0.23200000000000001</v>
      </c>
      <c r="H96" s="39"/>
      <c r="I96" s="40"/>
      <c r="J96" s="17">
        <v>2019</v>
      </c>
      <c r="K96" s="20" t="s">
        <v>27</v>
      </c>
      <c r="L96" s="4" t="s">
        <v>249</v>
      </c>
      <c r="M96" s="4" t="s">
        <v>228</v>
      </c>
      <c r="N96" s="4"/>
      <c r="O96" s="4" t="s">
        <v>565</v>
      </c>
    </row>
    <row r="97" spans="2:15">
      <c r="B97" s="15"/>
      <c r="C97" s="15"/>
      <c r="D97" s="4" t="s">
        <v>262</v>
      </c>
      <c r="E97" s="38">
        <v>0.20699999999999999</v>
      </c>
      <c r="F97" s="39">
        <v>0.16400000000000001</v>
      </c>
      <c r="G97" s="39">
        <v>0.26900000000000002</v>
      </c>
      <c r="H97" s="39"/>
      <c r="I97" s="40"/>
      <c r="J97" s="17">
        <v>2018</v>
      </c>
      <c r="K97" s="20" t="s">
        <v>27</v>
      </c>
      <c r="L97" s="4" t="s">
        <v>249</v>
      </c>
      <c r="M97" s="4" t="s">
        <v>228</v>
      </c>
      <c r="N97" s="4"/>
      <c r="O97" s="4" t="s">
        <v>565</v>
      </c>
    </row>
    <row r="98" spans="2:15">
      <c r="B98" s="15"/>
      <c r="C98" s="15"/>
      <c r="D98" s="4" t="s">
        <v>262</v>
      </c>
      <c r="E98" s="38">
        <v>0.2</v>
      </c>
      <c r="F98" s="39">
        <v>0.157</v>
      </c>
      <c r="G98" s="39">
        <v>0.26400000000000001</v>
      </c>
      <c r="H98" s="39"/>
      <c r="I98" s="40"/>
      <c r="J98" s="17">
        <v>2017</v>
      </c>
      <c r="K98" s="20" t="s">
        <v>27</v>
      </c>
      <c r="L98" s="4" t="s">
        <v>249</v>
      </c>
      <c r="M98" s="4" t="s">
        <v>228</v>
      </c>
      <c r="N98" s="4"/>
      <c r="O98" s="4" t="s">
        <v>565</v>
      </c>
    </row>
    <row r="99" spans="2:15">
      <c r="B99" s="15"/>
      <c r="C99" s="15"/>
      <c r="D99" s="4" t="s">
        <v>263</v>
      </c>
      <c r="E99" s="38">
        <v>0.14000000000000001</v>
      </c>
      <c r="F99" s="39">
        <v>0.13</v>
      </c>
      <c r="G99" s="39">
        <v>0.14000000000000001</v>
      </c>
      <c r="H99" s="39"/>
      <c r="I99" s="40"/>
      <c r="J99" s="17">
        <v>2022</v>
      </c>
      <c r="K99" s="20" t="s">
        <v>27</v>
      </c>
      <c r="L99" s="4" t="s">
        <v>266</v>
      </c>
      <c r="M99" s="4" t="s">
        <v>228</v>
      </c>
      <c r="N99" s="4"/>
      <c r="O99" s="4" t="s">
        <v>566</v>
      </c>
    </row>
    <row r="100" spans="2:15">
      <c r="B100" s="15"/>
      <c r="C100" s="15"/>
      <c r="D100" s="4" t="s">
        <v>263</v>
      </c>
      <c r="E100" s="38">
        <v>0.153</v>
      </c>
      <c r="F100" s="39">
        <v>0.14899999999999999</v>
      </c>
      <c r="G100" s="39">
        <v>0.158</v>
      </c>
      <c r="H100" s="39"/>
      <c r="I100" s="40"/>
      <c r="J100" s="17">
        <v>2021</v>
      </c>
      <c r="K100" s="20" t="s">
        <v>27</v>
      </c>
      <c r="L100" s="4" t="s">
        <v>249</v>
      </c>
      <c r="M100" s="4" t="s">
        <v>228</v>
      </c>
      <c r="N100" s="4"/>
      <c r="O100" s="4" t="s">
        <v>567</v>
      </c>
    </row>
    <row r="101" spans="2:15">
      <c r="B101" s="15"/>
      <c r="C101" s="15"/>
      <c r="D101" s="4" t="s">
        <v>263</v>
      </c>
      <c r="E101" s="38">
        <v>0.16200000000000001</v>
      </c>
      <c r="F101" s="39">
        <v>0.158</v>
      </c>
      <c r="G101" s="39">
        <v>0.16800000000000001</v>
      </c>
      <c r="H101" s="39"/>
      <c r="I101" s="40"/>
      <c r="J101" s="17">
        <v>2020</v>
      </c>
      <c r="K101" s="20" t="s">
        <v>27</v>
      </c>
      <c r="L101" s="4" t="s">
        <v>249</v>
      </c>
      <c r="M101" s="4" t="s">
        <v>228</v>
      </c>
      <c r="N101" s="4"/>
      <c r="O101" s="4" t="s">
        <v>568</v>
      </c>
    </row>
    <row r="102" spans="2:15">
      <c r="B102" s="15"/>
      <c r="C102" s="15"/>
      <c r="D102" s="4" t="s">
        <v>263</v>
      </c>
      <c r="E102" s="38">
        <v>0.153</v>
      </c>
      <c r="F102" s="39">
        <v>0.14799999999999999</v>
      </c>
      <c r="G102" s="39">
        <v>0.158</v>
      </c>
      <c r="H102" s="39"/>
      <c r="I102" s="40"/>
      <c r="J102" s="17">
        <v>2019</v>
      </c>
      <c r="K102" s="20" t="s">
        <v>27</v>
      </c>
      <c r="L102" s="4" t="s">
        <v>249</v>
      </c>
      <c r="M102" s="4" t="s">
        <v>228</v>
      </c>
      <c r="N102" s="4"/>
      <c r="O102" s="4" t="s">
        <v>569</v>
      </c>
    </row>
    <row r="103" spans="2:15">
      <c r="B103" s="15"/>
      <c r="C103" s="15"/>
      <c r="D103" s="4" t="s">
        <v>263</v>
      </c>
      <c r="E103" s="38">
        <v>0.189</v>
      </c>
      <c r="F103" s="39">
        <v>0.182</v>
      </c>
      <c r="G103" s="39">
        <v>0.19700000000000001</v>
      </c>
      <c r="H103" s="39"/>
      <c r="I103" s="40"/>
      <c r="J103" s="17">
        <v>2017</v>
      </c>
      <c r="K103" s="20" t="s">
        <v>27</v>
      </c>
      <c r="L103" s="4" t="s">
        <v>249</v>
      </c>
      <c r="M103" s="4"/>
      <c r="N103" s="4"/>
      <c r="O103" s="4" t="s">
        <v>569</v>
      </c>
    </row>
    <row r="104" spans="2:15">
      <c r="B104" s="15"/>
      <c r="C104" s="15"/>
      <c r="D104" s="4" t="s">
        <v>263</v>
      </c>
      <c r="E104" s="38">
        <v>0.18</v>
      </c>
      <c r="F104" s="39">
        <v>0.17</v>
      </c>
      <c r="G104" s="39">
        <v>0.186</v>
      </c>
      <c r="H104" s="39"/>
      <c r="I104" s="40"/>
      <c r="J104" s="17">
        <v>2016</v>
      </c>
      <c r="K104" s="20" t="s">
        <v>27</v>
      </c>
      <c r="L104" s="4" t="s">
        <v>24</v>
      </c>
      <c r="M104" s="4" t="s">
        <v>228</v>
      </c>
      <c r="N104" s="4"/>
      <c r="O104" s="4" t="s">
        <v>560</v>
      </c>
    </row>
    <row r="105" spans="2:15">
      <c r="B105" s="15"/>
      <c r="C105" s="15"/>
      <c r="D105" s="4" t="s">
        <v>263</v>
      </c>
      <c r="E105" s="38">
        <v>0.18</v>
      </c>
      <c r="F105" s="39"/>
      <c r="G105" s="39"/>
      <c r="H105" s="39"/>
      <c r="I105" s="40"/>
      <c r="J105" s="17">
        <v>2015</v>
      </c>
      <c r="K105" s="20" t="s">
        <v>27</v>
      </c>
      <c r="L105" s="4" t="s">
        <v>24</v>
      </c>
      <c r="M105" s="4" t="s">
        <v>21</v>
      </c>
      <c r="N105" s="4"/>
      <c r="O105" s="4" t="s">
        <v>560</v>
      </c>
    </row>
    <row r="106" spans="2:15">
      <c r="B106" s="15"/>
      <c r="C106" s="15"/>
      <c r="D106" s="4" t="s">
        <v>263</v>
      </c>
      <c r="E106" s="38">
        <v>0.16</v>
      </c>
      <c r="F106" s="39">
        <v>0.14000000000000001</v>
      </c>
      <c r="G106" s="39">
        <v>0.18</v>
      </c>
      <c r="H106" s="39"/>
      <c r="I106" s="40"/>
      <c r="J106" s="17">
        <v>2014</v>
      </c>
      <c r="K106" s="20" t="s">
        <v>27</v>
      </c>
      <c r="L106" s="4" t="s">
        <v>249</v>
      </c>
      <c r="M106" s="4" t="s">
        <v>228</v>
      </c>
      <c r="N106" s="4"/>
      <c r="O106" s="4" t="s">
        <v>570</v>
      </c>
    </row>
    <row r="107" spans="2:15">
      <c r="B107" s="15"/>
      <c r="C107" s="15"/>
      <c r="D107" s="4" t="s">
        <v>263</v>
      </c>
      <c r="E107" s="38">
        <v>0.15</v>
      </c>
      <c r="F107" s="39"/>
      <c r="G107" s="39"/>
      <c r="H107" s="39"/>
      <c r="I107" s="40"/>
      <c r="J107" s="17">
        <v>2013</v>
      </c>
      <c r="K107" s="20" t="s">
        <v>27</v>
      </c>
      <c r="L107" s="4" t="s">
        <v>249</v>
      </c>
      <c r="M107" s="4" t="s">
        <v>228</v>
      </c>
      <c r="N107" s="4"/>
      <c r="O107" s="4" t="s">
        <v>570</v>
      </c>
    </row>
    <row r="108" spans="2:15">
      <c r="B108" s="15"/>
      <c r="C108" s="15"/>
      <c r="D108" s="4" t="s">
        <v>263</v>
      </c>
      <c r="E108" s="38">
        <v>0.13</v>
      </c>
      <c r="F108" s="39"/>
      <c r="G108" s="39"/>
      <c r="H108" s="39"/>
      <c r="I108" s="40"/>
      <c r="J108" s="17">
        <v>2012</v>
      </c>
      <c r="K108" s="20" t="s">
        <v>27</v>
      </c>
      <c r="L108" s="4" t="s">
        <v>249</v>
      </c>
      <c r="M108" s="4" t="s">
        <v>228</v>
      </c>
      <c r="N108" s="4"/>
      <c r="O108" s="4" t="s">
        <v>560</v>
      </c>
    </row>
    <row r="109" spans="2:15">
      <c r="B109" s="15"/>
      <c r="C109" s="15"/>
      <c r="D109" s="4" t="s">
        <v>264</v>
      </c>
      <c r="E109" s="38">
        <v>0.57699999999999996</v>
      </c>
      <c r="F109" s="39">
        <v>0.39800000000000002</v>
      </c>
      <c r="G109" s="39">
        <v>0.96099999999999997</v>
      </c>
      <c r="H109" s="39"/>
      <c r="I109" s="40"/>
      <c r="J109" s="17">
        <v>2016</v>
      </c>
      <c r="K109" s="20" t="s">
        <v>27</v>
      </c>
      <c r="L109" s="4" t="s">
        <v>249</v>
      </c>
      <c r="M109" s="4" t="s">
        <v>228</v>
      </c>
      <c r="N109" s="4"/>
      <c r="O109" s="4"/>
    </row>
    <row r="110" spans="2:15">
      <c r="B110" s="15"/>
      <c r="C110" s="15"/>
      <c r="D110" s="4" t="s">
        <v>267</v>
      </c>
      <c r="E110" s="38">
        <v>0.17</v>
      </c>
      <c r="F110" s="39"/>
      <c r="G110" s="39"/>
      <c r="H110" s="39">
        <v>0.33</v>
      </c>
      <c r="I110" s="40">
        <v>0.08</v>
      </c>
      <c r="J110" s="17">
        <v>2018</v>
      </c>
      <c r="K110" s="20" t="s">
        <v>265</v>
      </c>
      <c r="L110" s="4" t="s">
        <v>384</v>
      </c>
      <c r="M110" s="4" t="s">
        <v>21</v>
      </c>
      <c r="N110" s="4"/>
      <c r="O110" s="4" t="s">
        <v>571</v>
      </c>
    </row>
    <row r="111" spans="2:15">
      <c r="B111" s="15"/>
      <c r="C111" s="15"/>
      <c r="D111" s="4" t="s">
        <v>267</v>
      </c>
      <c r="E111" s="38">
        <v>1.53</v>
      </c>
      <c r="F111" s="39"/>
      <c r="G111" s="39"/>
      <c r="H111" s="39"/>
      <c r="I111" s="40"/>
      <c r="J111" s="17">
        <v>2008</v>
      </c>
      <c r="K111" s="20" t="s">
        <v>27</v>
      </c>
      <c r="L111" s="4" t="s">
        <v>24</v>
      </c>
      <c r="M111" s="4" t="s">
        <v>228</v>
      </c>
      <c r="N111" s="4" t="s">
        <v>520</v>
      </c>
      <c r="O111" s="4" t="s">
        <v>560</v>
      </c>
    </row>
    <row r="112" spans="2:15">
      <c r="B112" s="15"/>
      <c r="C112" s="15"/>
      <c r="D112" s="4" t="s">
        <v>268</v>
      </c>
      <c r="E112" s="38">
        <v>0.8</v>
      </c>
      <c r="F112" s="39"/>
      <c r="G112" s="39"/>
      <c r="H112" s="39"/>
      <c r="I112" s="40"/>
      <c r="J112" s="17">
        <v>2022</v>
      </c>
      <c r="K112" s="20" t="s">
        <v>27</v>
      </c>
      <c r="L112" s="4" t="s">
        <v>24</v>
      </c>
      <c r="M112" s="4" t="s">
        <v>21</v>
      </c>
      <c r="N112" s="4"/>
      <c r="O112" s="4" t="s">
        <v>572</v>
      </c>
    </row>
    <row r="113" spans="2:15">
      <c r="B113" s="15"/>
      <c r="C113" s="15"/>
      <c r="D113" s="4" t="s">
        <v>268</v>
      </c>
      <c r="E113" s="38">
        <v>0.76500000000000001</v>
      </c>
      <c r="F113" s="39">
        <v>0.68600000000000005</v>
      </c>
      <c r="G113" s="39">
        <v>0.86099999999999999</v>
      </c>
      <c r="H113" s="39"/>
      <c r="I113" s="40"/>
      <c r="J113" s="17">
        <v>2017</v>
      </c>
      <c r="K113" s="20" t="s">
        <v>27</v>
      </c>
      <c r="L113" s="4" t="s">
        <v>249</v>
      </c>
      <c r="M113" s="4" t="s">
        <v>228</v>
      </c>
      <c r="N113" s="4"/>
      <c r="O113" s="4" t="s">
        <v>573</v>
      </c>
    </row>
    <row r="114" spans="2:15">
      <c r="B114" s="15"/>
      <c r="C114" s="15"/>
      <c r="D114" s="4" t="s">
        <v>268</v>
      </c>
      <c r="E114" s="38">
        <v>0.41</v>
      </c>
      <c r="F114" s="39">
        <v>0.38</v>
      </c>
      <c r="G114" s="39">
        <v>0.45</v>
      </c>
      <c r="H114" s="39"/>
      <c r="I114" s="40"/>
      <c r="J114" s="17">
        <v>2012</v>
      </c>
      <c r="K114" s="20" t="s">
        <v>27</v>
      </c>
      <c r="L114" s="4" t="s">
        <v>24</v>
      </c>
      <c r="M114" s="4" t="s">
        <v>228</v>
      </c>
      <c r="N114" s="4"/>
      <c r="O114" s="4" t="s">
        <v>560</v>
      </c>
    </row>
    <row r="115" spans="2:15">
      <c r="B115" s="15"/>
      <c r="C115" s="15"/>
      <c r="D115" s="4" t="s">
        <v>268</v>
      </c>
      <c r="E115" s="38">
        <v>0.6</v>
      </c>
      <c r="F115" s="39"/>
      <c r="G115" s="39"/>
      <c r="H115" s="39">
        <v>0.7</v>
      </c>
      <c r="I115" s="40">
        <v>0.5</v>
      </c>
      <c r="J115" s="17">
        <v>2010</v>
      </c>
      <c r="K115" s="20" t="s">
        <v>27</v>
      </c>
      <c r="L115" s="4" t="s">
        <v>24</v>
      </c>
      <c r="M115" s="4" t="s">
        <v>21</v>
      </c>
      <c r="N115" s="4" t="s">
        <v>520</v>
      </c>
      <c r="O115" s="4" t="s">
        <v>574</v>
      </c>
    </row>
    <row r="116" spans="2:15">
      <c r="B116" s="15"/>
      <c r="C116" s="15"/>
      <c r="D116" s="4" t="s">
        <v>269</v>
      </c>
      <c r="E116" s="38">
        <v>0.56299999999999994</v>
      </c>
      <c r="F116" s="39">
        <v>0.55000000000000004</v>
      </c>
      <c r="G116" s="39">
        <v>0.57599999999999996</v>
      </c>
      <c r="H116" s="39"/>
      <c r="I116" s="40"/>
      <c r="J116" s="17">
        <v>2020</v>
      </c>
      <c r="K116" s="20" t="s">
        <v>27</v>
      </c>
      <c r="L116" s="4" t="s">
        <v>249</v>
      </c>
      <c r="M116" s="4" t="s">
        <v>228</v>
      </c>
      <c r="N116" s="4"/>
      <c r="O116" s="4" t="s">
        <v>575</v>
      </c>
    </row>
    <row r="117" spans="2:15">
      <c r="B117" s="15"/>
      <c r="C117" s="15"/>
      <c r="D117" s="4" t="s">
        <v>269</v>
      </c>
      <c r="E117" s="38">
        <v>0.50600000000000001</v>
      </c>
      <c r="F117" s="39">
        <v>0.49399999999999999</v>
      </c>
      <c r="G117" s="39">
        <v>0.51700000000000002</v>
      </c>
      <c r="H117" s="39"/>
      <c r="I117" s="40"/>
      <c r="J117" s="17">
        <v>2019</v>
      </c>
      <c r="K117" s="20" t="s">
        <v>27</v>
      </c>
      <c r="L117" s="4" t="s">
        <v>249</v>
      </c>
      <c r="M117" s="4" t="s">
        <v>228</v>
      </c>
      <c r="N117" s="4"/>
      <c r="O117" s="4" t="s">
        <v>576</v>
      </c>
    </row>
    <row r="118" spans="2:15">
      <c r="B118" s="15"/>
      <c r="C118" s="15"/>
      <c r="D118" s="4" t="s">
        <v>269</v>
      </c>
      <c r="E118" s="38">
        <v>0.48</v>
      </c>
      <c r="F118" s="39"/>
      <c r="G118" s="39"/>
      <c r="H118" s="39"/>
      <c r="I118" s="40"/>
      <c r="J118" s="17">
        <v>2018</v>
      </c>
      <c r="K118" s="20" t="s">
        <v>27</v>
      </c>
      <c r="L118" s="4" t="s">
        <v>24</v>
      </c>
      <c r="M118" s="4" t="s">
        <v>228</v>
      </c>
      <c r="N118" s="4"/>
      <c r="O118" s="4" t="s">
        <v>577</v>
      </c>
    </row>
    <row r="119" spans="2:15">
      <c r="B119" s="15"/>
      <c r="C119" s="15"/>
      <c r="D119" s="4" t="s">
        <v>269</v>
      </c>
      <c r="E119" s="38">
        <v>0.56999999999999995</v>
      </c>
      <c r="F119" s="39">
        <v>0.44400000000000001</v>
      </c>
      <c r="G119" s="39">
        <v>0.69</v>
      </c>
      <c r="H119" s="39"/>
      <c r="I119" s="40"/>
      <c r="J119" s="17">
        <v>2015</v>
      </c>
      <c r="K119" s="20" t="s">
        <v>27</v>
      </c>
      <c r="L119" s="4" t="s">
        <v>249</v>
      </c>
      <c r="M119" s="4" t="s">
        <v>228</v>
      </c>
      <c r="N119" s="4"/>
      <c r="O119" s="4" t="s">
        <v>560</v>
      </c>
    </row>
    <row r="120" spans="2:15">
      <c r="B120" s="15"/>
      <c r="C120" s="15"/>
      <c r="D120" s="4" t="s">
        <v>269</v>
      </c>
      <c r="E120" s="38">
        <v>0.52</v>
      </c>
      <c r="F120" s="39">
        <v>0.44</v>
      </c>
      <c r="G120" s="39">
        <v>0.74</v>
      </c>
      <c r="H120" s="39"/>
      <c r="I120" s="40"/>
      <c r="J120" s="17">
        <v>2013</v>
      </c>
      <c r="K120" s="20" t="s">
        <v>27</v>
      </c>
      <c r="L120" s="4" t="s">
        <v>249</v>
      </c>
      <c r="M120" s="4" t="s">
        <v>228</v>
      </c>
      <c r="N120" s="4" t="s">
        <v>520</v>
      </c>
      <c r="O120" s="4" t="s">
        <v>578</v>
      </c>
    </row>
    <row r="121" spans="2:15">
      <c r="B121" s="15"/>
      <c r="C121" s="15"/>
      <c r="D121" s="4" t="s">
        <v>270</v>
      </c>
      <c r="E121" s="38">
        <v>0.5</v>
      </c>
      <c r="F121" s="39"/>
      <c r="G121" s="39"/>
      <c r="H121" s="39">
        <v>0.6</v>
      </c>
      <c r="I121" s="40">
        <v>0.5</v>
      </c>
      <c r="J121" s="17">
        <v>2021</v>
      </c>
      <c r="K121" s="20" t="s">
        <v>144</v>
      </c>
      <c r="L121" s="4" t="s">
        <v>24</v>
      </c>
      <c r="M121" s="4" t="s">
        <v>21</v>
      </c>
      <c r="N121" s="4"/>
      <c r="O121" s="4"/>
    </row>
    <row r="122" spans="2:15">
      <c r="B122" s="15"/>
      <c r="C122" s="15"/>
      <c r="D122" s="4" t="s">
        <v>270</v>
      </c>
      <c r="E122" s="38">
        <v>0.44</v>
      </c>
      <c r="F122" s="39"/>
      <c r="G122" s="39"/>
      <c r="H122" s="39">
        <v>0.48</v>
      </c>
      <c r="I122" s="40">
        <v>0.39</v>
      </c>
      <c r="J122" s="17">
        <v>2018</v>
      </c>
      <c r="K122" s="20" t="s">
        <v>144</v>
      </c>
      <c r="L122" s="4" t="s">
        <v>24</v>
      </c>
      <c r="M122" s="4" t="s">
        <v>21</v>
      </c>
      <c r="N122" s="4"/>
      <c r="O122" s="4"/>
    </row>
    <row r="123" spans="2:15">
      <c r="B123" s="15"/>
      <c r="C123" s="15"/>
      <c r="D123" s="4" t="s">
        <v>270</v>
      </c>
      <c r="E123" s="38">
        <v>0.31</v>
      </c>
      <c r="F123" s="39"/>
      <c r="G123" s="39"/>
      <c r="H123" s="39"/>
      <c r="I123" s="40"/>
      <c r="J123" s="17">
        <v>2016</v>
      </c>
      <c r="K123" s="20" t="s">
        <v>27</v>
      </c>
      <c r="L123" s="4" t="s">
        <v>579</v>
      </c>
      <c r="M123" s="4" t="s">
        <v>228</v>
      </c>
      <c r="N123" s="4"/>
      <c r="O123" s="4" t="s">
        <v>580</v>
      </c>
    </row>
    <row r="124" spans="2:15">
      <c r="B124" s="15"/>
      <c r="C124" s="15"/>
      <c r="D124" s="4" t="s">
        <v>270</v>
      </c>
      <c r="E124" s="38">
        <v>0.3</v>
      </c>
      <c r="F124" s="39"/>
      <c r="G124" s="39"/>
      <c r="H124" s="39">
        <v>0.3</v>
      </c>
      <c r="I124" s="40">
        <v>0.3</v>
      </c>
      <c r="J124" s="17">
        <v>2015</v>
      </c>
      <c r="K124" s="20" t="s">
        <v>144</v>
      </c>
      <c r="L124" s="4" t="s">
        <v>24</v>
      </c>
      <c r="M124" s="4" t="s">
        <v>21</v>
      </c>
      <c r="N124" s="4"/>
      <c r="O124" s="4"/>
    </row>
    <row r="125" spans="2:15">
      <c r="B125" s="15"/>
      <c r="C125" s="15"/>
      <c r="D125" s="4" t="s">
        <v>270</v>
      </c>
      <c r="E125" s="38">
        <v>0.4</v>
      </c>
      <c r="F125" s="39"/>
      <c r="G125" s="39"/>
      <c r="H125" s="39">
        <v>0.4</v>
      </c>
      <c r="I125" s="40">
        <v>0.3</v>
      </c>
      <c r="J125" s="17">
        <v>2012</v>
      </c>
      <c r="K125" s="20" t="s">
        <v>144</v>
      </c>
      <c r="L125" s="4" t="s">
        <v>24</v>
      </c>
      <c r="M125" s="4" t="s">
        <v>21</v>
      </c>
      <c r="N125" s="4" t="s">
        <v>520</v>
      </c>
      <c r="O125" s="4" t="s">
        <v>581</v>
      </c>
    </row>
    <row r="126" spans="2:15">
      <c r="B126" s="15"/>
      <c r="C126" s="15"/>
      <c r="D126" s="4" t="s">
        <v>270</v>
      </c>
      <c r="E126" s="38">
        <v>0.2</v>
      </c>
      <c r="F126" s="39"/>
      <c r="G126" s="39"/>
      <c r="H126" s="39">
        <v>0.3</v>
      </c>
      <c r="I126" s="40">
        <v>0.1</v>
      </c>
      <c r="J126" s="17">
        <v>2009</v>
      </c>
      <c r="K126" s="20" t="s">
        <v>144</v>
      </c>
      <c r="L126" s="4" t="s">
        <v>24</v>
      </c>
      <c r="M126" s="4" t="s">
        <v>21</v>
      </c>
      <c r="N126" s="4" t="s">
        <v>520</v>
      </c>
      <c r="O126" s="4" t="s">
        <v>581</v>
      </c>
    </row>
    <row r="127" spans="2:15">
      <c r="B127" s="15"/>
      <c r="C127" s="15"/>
      <c r="D127" s="4" t="s">
        <v>276</v>
      </c>
      <c r="E127" s="38">
        <v>0.66800000000000004</v>
      </c>
      <c r="F127" s="39">
        <v>0.65700000000000003</v>
      </c>
      <c r="G127" s="39">
        <v>0.72699999999999998</v>
      </c>
      <c r="H127" s="39"/>
      <c r="I127" s="40"/>
      <c r="J127" s="17">
        <v>2019</v>
      </c>
      <c r="K127" s="20" t="s">
        <v>27</v>
      </c>
      <c r="L127" s="4" t="s">
        <v>249</v>
      </c>
      <c r="M127" s="4" t="s">
        <v>228</v>
      </c>
      <c r="N127" s="4"/>
      <c r="O127" s="4" t="s">
        <v>560</v>
      </c>
    </row>
    <row r="128" spans="2:15">
      <c r="B128" s="15"/>
      <c r="C128" s="15"/>
      <c r="D128" s="4" t="s">
        <v>278</v>
      </c>
      <c r="E128" s="38">
        <v>1.4</v>
      </c>
      <c r="F128" s="39"/>
      <c r="G128" s="39"/>
      <c r="H128" s="39">
        <v>1.3</v>
      </c>
      <c r="I128" s="40">
        <v>1.5</v>
      </c>
      <c r="J128" s="17">
        <v>2022</v>
      </c>
      <c r="K128" s="20" t="s">
        <v>144</v>
      </c>
      <c r="L128" s="4" t="s">
        <v>24</v>
      </c>
      <c r="M128" s="4" t="s">
        <v>21</v>
      </c>
      <c r="N128" s="4"/>
      <c r="O128" s="4"/>
    </row>
    <row r="129" spans="2:15">
      <c r="B129" s="15"/>
      <c r="C129" s="15"/>
      <c r="D129" s="4" t="s">
        <v>278</v>
      </c>
      <c r="E129" s="38">
        <v>0.79</v>
      </c>
      <c r="F129" s="39">
        <v>0.56999999999999995</v>
      </c>
      <c r="G129" s="39">
        <v>1.02</v>
      </c>
      <c r="H129" s="39"/>
      <c r="I129" s="40"/>
      <c r="J129" s="17">
        <v>2017</v>
      </c>
      <c r="K129" s="20" t="s">
        <v>27</v>
      </c>
      <c r="L129" s="4" t="s">
        <v>61</v>
      </c>
      <c r="M129" s="4" t="s">
        <v>70</v>
      </c>
      <c r="N129" s="4"/>
      <c r="O129" s="4" t="s">
        <v>582</v>
      </c>
    </row>
    <row r="130" spans="2:15">
      <c r="B130" s="15"/>
      <c r="C130" s="15"/>
      <c r="D130" s="4" t="s">
        <v>278</v>
      </c>
      <c r="E130" s="38">
        <v>0.8</v>
      </c>
      <c r="F130" s="39"/>
      <c r="G130" s="39"/>
      <c r="H130" s="39">
        <v>1.1000000000000001</v>
      </c>
      <c r="I130" s="40">
        <v>0.6</v>
      </c>
      <c r="J130" s="17">
        <v>2013</v>
      </c>
      <c r="K130" s="20" t="s">
        <v>27</v>
      </c>
      <c r="L130" s="4" t="s">
        <v>24</v>
      </c>
      <c r="M130" s="4" t="s">
        <v>21</v>
      </c>
      <c r="N130" s="4"/>
      <c r="O130" s="4" t="s">
        <v>583</v>
      </c>
    </row>
    <row r="131" spans="2:15">
      <c r="B131" s="15"/>
      <c r="C131" s="15"/>
      <c r="D131" s="4" t="s">
        <v>280</v>
      </c>
      <c r="E131" s="38">
        <v>0.56799999999999995</v>
      </c>
      <c r="F131" s="39">
        <v>0.46500000000000002</v>
      </c>
      <c r="G131" s="39">
        <v>0.70199999999999996</v>
      </c>
      <c r="H131" s="39"/>
      <c r="I131" s="40"/>
      <c r="J131" s="17">
        <v>2017</v>
      </c>
      <c r="K131" s="20" t="s">
        <v>27</v>
      </c>
      <c r="L131" s="4" t="s">
        <v>249</v>
      </c>
      <c r="M131" s="4" t="s">
        <v>228</v>
      </c>
      <c r="N131" s="4"/>
      <c r="O131" s="4" t="s">
        <v>560</v>
      </c>
    </row>
    <row r="132" spans="2:15">
      <c r="B132" s="15"/>
      <c r="C132" s="15"/>
      <c r="D132" s="4" t="s">
        <v>280</v>
      </c>
      <c r="E132" s="38">
        <v>0.5</v>
      </c>
      <c r="F132" s="39"/>
      <c r="G132" s="39"/>
      <c r="H132" s="39">
        <v>0.9</v>
      </c>
      <c r="I132" s="40">
        <v>0.2</v>
      </c>
      <c r="J132" s="17">
        <v>2015</v>
      </c>
      <c r="K132" s="20" t="s">
        <v>27</v>
      </c>
      <c r="L132" s="4" t="s">
        <v>24</v>
      </c>
      <c r="M132" s="4" t="s">
        <v>21</v>
      </c>
      <c r="N132" s="4" t="s">
        <v>520</v>
      </c>
      <c r="O132" s="4"/>
    </row>
    <row r="133" spans="2:15">
      <c r="B133" s="15"/>
      <c r="C133" s="15"/>
      <c r="D133" s="4" t="s">
        <v>281</v>
      </c>
      <c r="E133" s="38">
        <f>8500/1832436*100</f>
        <v>0.46386340368776868</v>
      </c>
      <c r="F133" s="39"/>
      <c r="G133" s="39"/>
      <c r="H133" s="39"/>
      <c r="I133" s="40"/>
      <c r="J133" s="17">
        <v>2018</v>
      </c>
      <c r="K133" s="20" t="s">
        <v>27</v>
      </c>
      <c r="L133" s="4" t="s">
        <v>24</v>
      </c>
      <c r="M133" s="4" t="s">
        <v>228</v>
      </c>
      <c r="N133" s="4"/>
      <c r="O133" s="4" t="s">
        <v>584</v>
      </c>
    </row>
    <row r="134" spans="2:15">
      <c r="B134" s="15"/>
      <c r="C134" s="15"/>
      <c r="D134" s="4" t="s">
        <v>281</v>
      </c>
      <c r="E134" s="38">
        <v>0.39200000000000002</v>
      </c>
      <c r="F134" s="39">
        <v>0.26700000000000002</v>
      </c>
      <c r="G134" s="39">
        <v>0.64900000000000002</v>
      </c>
      <c r="H134" s="39"/>
      <c r="I134" s="40"/>
      <c r="J134" s="17">
        <v>2016</v>
      </c>
      <c r="K134" s="20" t="s">
        <v>27</v>
      </c>
      <c r="L134" s="4" t="s">
        <v>249</v>
      </c>
      <c r="M134" s="4" t="s">
        <v>228</v>
      </c>
      <c r="N134" s="4"/>
      <c r="O134" s="4" t="s">
        <v>560</v>
      </c>
    </row>
    <row r="135" spans="2:15">
      <c r="B135" s="15"/>
      <c r="C135" s="15"/>
      <c r="D135" s="4" t="s">
        <v>282</v>
      </c>
      <c r="E135" s="38">
        <v>0.33400000000000002</v>
      </c>
      <c r="F135" s="39"/>
      <c r="G135" s="39"/>
      <c r="H135" s="39"/>
      <c r="I135" s="40"/>
      <c r="J135" s="17">
        <v>2019</v>
      </c>
      <c r="K135" s="20" t="s">
        <v>27</v>
      </c>
      <c r="L135" s="4" t="s">
        <v>249</v>
      </c>
      <c r="M135" s="4" t="s">
        <v>228</v>
      </c>
      <c r="N135" s="4"/>
      <c r="O135" s="4" t="s">
        <v>585</v>
      </c>
    </row>
    <row r="136" spans="2:15">
      <c r="B136" s="15"/>
      <c r="C136" s="15"/>
      <c r="D136" s="4" t="s">
        <v>282</v>
      </c>
      <c r="E136" s="38">
        <v>0.35099999999999998</v>
      </c>
      <c r="F136" s="39"/>
      <c r="G136" s="39"/>
      <c r="H136" s="39"/>
      <c r="I136" s="40"/>
      <c r="J136" s="17">
        <v>2018</v>
      </c>
      <c r="K136" s="20" t="s">
        <v>27</v>
      </c>
      <c r="L136" s="4" t="s">
        <v>249</v>
      </c>
      <c r="M136" s="4" t="s">
        <v>228</v>
      </c>
      <c r="N136" s="4"/>
      <c r="O136" s="4" t="s">
        <v>586</v>
      </c>
    </row>
    <row r="137" spans="2:15">
      <c r="B137" s="15"/>
      <c r="C137" s="15"/>
      <c r="D137" s="4" t="s">
        <v>282</v>
      </c>
      <c r="E137" s="38">
        <v>0.44600000000000001</v>
      </c>
      <c r="F137" s="39"/>
      <c r="G137" s="39"/>
      <c r="H137" s="39"/>
      <c r="I137" s="40"/>
      <c r="J137" s="17">
        <v>2015</v>
      </c>
      <c r="K137" s="20" t="s">
        <v>27</v>
      </c>
      <c r="L137" s="4" t="s">
        <v>249</v>
      </c>
      <c r="M137" s="4" t="s">
        <v>228</v>
      </c>
      <c r="N137" s="4"/>
      <c r="O137" s="4" t="s">
        <v>585</v>
      </c>
    </row>
    <row r="138" spans="2:15">
      <c r="B138" s="15"/>
      <c r="C138" s="15"/>
      <c r="D138" s="4" t="s">
        <v>284</v>
      </c>
      <c r="E138" s="38">
        <v>0.37</v>
      </c>
      <c r="F138" s="39">
        <v>0.36</v>
      </c>
      <c r="G138" s="39">
        <v>0.37</v>
      </c>
      <c r="H138" s="39"/>
      <c r="I138" s="40"/>
      <c r="J138" s="17">
        <v>2022</v>
      </c>
      <c r="K138" s="20" t="s">
        <v>27</v>
      </c>
      <c r="L138" s="4" t="s">
        <v>266</v>
      </c>
      <c r="M138" s="4" t="s">
        <v>228</v>
      </c>
      <c r="N138" s="4"/>
      <c r="O138" s="4" t="s">
        <v>587</v>
      </c>
    </row>
    <row r="139" spans="2:15">
      <c r="B139" s="15"/>
      <c r="C139" s="15"/>
      <c r="D139" s="4" t="s">
        <v>284</v>
      </c>
      <c r="E139" s="38">
        <v>0.26</v>
      </c>
      <c r="F139" s="39">
        <v>0.24199999999999999</v>
      </c>
      <c r="G139" s="39">
        <v>0.3</v>
      </c>
      <c r="H139" s="39"/>
      <c r="I139" s="40"/>
      <c r="J139" s="17">
        <v>2020</v>
      </c>
      <c r="K139" s="20" t="s">
        <v>27</v>
      </c>
      <c r="L139" s="4" t="s">
        <v>249</v>
      </c>
      <c r="M139" s="4" t="s">
        <v>228</v>
      </c>
      <c r="N139" s="4"/>
      <c r="O139" s="4" t="s">
        <v>588</v>
      </c>
    </row>
    <row r="140" spans="2:15">
      <c r="B140" s="15"/>
      <c r="C140" s="15"/>
      <c r="D140" s="4" t="s">
        <v>284</v>
      </c>
      <c r="E140" s="38">
        <v>0.318</v>
      </c>
      <c r="F140" s="39">
        <v>0.29699999999999999</v>
      </c>
      <c r="G140" s="39">
        <v>0.34799999999999998</v>
      </c>
      <c r="H140" s="39"/>
      <c r="I140" s="40"/>
      <c r="J140" s="17">
        <v>2019</v>
      </c>
      <c r="K140" s="20" t="s">
        <v>27</v>
      </c>
      <c r="L140" s="4" t="s">
        <v>249</v>
      </c>
      <c r="M140" s="4" t="s">
        <v>228</v>
      </c>
      <c r="N140" s="4"/>
      <c r="O140" s="4" t="s">
        <v>588</v>
      </c>
    </row>
    <row r="141" spans="2:15">
      <c r="B141" s="15"/>
      <c r="C141" s="15"/>
      <c r="D141" s="4" t="s">
        <v>284</v>
      </c>
      <c r="E141" s="38">
        <v>0.45100000000000001</v>
      </c>
      <c r="F141" s="39">
        <v>0.42199999999999999</v>
      </c>
      <c r="G141" s="39">
        <v>0.48899999999999999</v>
      </c>
      <c r="H141" s="39"/>
      <c r="I141" s="40"/>
      <c r="J141" s="17">
        <v>2017</v>
      </c>
      <c r="K141" s="20" t="s">
        <v>27</v>
      </c>
      <c r="L141" s="4" t="s">
        <v>249</v>
      </c>
      <c r="M141" s="4" t="s">
        <v>228</v>
      </c>
      <c r="N141" s="4"/>
      <c r="O141" s="4" t="s">
        <v>588</v>
      </c>
    </row>
    <row r="142" spans="2:15">
      <c r="B142" s="15"/>
      <c r="C142" s="15"/>
      <c r="D142" s="4" t="s">
        <v>589</v>
      </c>
      <c r="E142" s="38">
        <v>0.7</v>
      </c>
      <c r="F142" s="39"/>
      <c r="G142" s="39"/>
      <c r="H142" s="39"/>
      <c r="I142" s="40"/>
      <c r="J142" s="17">
        <v>2022</v>
      </c>
      <c r="K142" s="20" t="s">
        <v>27</v>
      </c>
      <c r="L142" s="4" t="s">
        <v>36</v>
      </c>
      <c r="M142" s="4" t="s">
        <v>51</v>
      </c>
      <c r="N142" s="4"/>
      <c r="O142" s="4" t="s">
        <v>590</v>
      </c>
    </row>
    <row r="143" spans="2:15">
      <c r="B143" s="15"/>
      <c r="C143" s="15"/>
      <c r="D143" s="4" t="s">
        <v>296</v>
      </c>
      <c r="E143" s="38">
        <v>0.2</v>
      </c>
      <c r="F143" s="39"/>
      <c r="G143" s="39"/>
      <c r="H143" s="39">
        <v>0.3</v>
      </c>
      <c r="I143" s="40">
        <v>0.2</v>
      </c>
      <c r="J143" s="17">
        <v>2023</v>
      </c>
      <c r="K143" s="20" t="s">
        <v>27</v>
      </c>
      <c r="L143" s="4" t="s">
        <v>24</v>
      </c>
      <c r="M143" s="4" t="s">
        <v>21</v>
      </c>
      <c r="N143" s="4"/>
      <c r="O143" s="4"/>
    </row>
    <row r="144" spans="2:15">
      <c r="B144" s="15"/>
      <c r="C144" s="15"/>
      <c r="D144" s="4" t="s">
        <v>296</v>
      </c>
      <c r="E144" s="38">
        <v>0.121</v>
      </c>
      <c r="F144" s="39">
        <v>9.4E-2</v>
      </c>
      <c r="G144" s="39">
        <v>0.16900000000000001</v>
      </c>
      <c r="H144" s="39"/>
      <c r="I144" s="40"/>
      <c r="J144" s="17">
        <v>2020</v>
      </c>
      <c r="K144" s="20" t="s">
        <v>27</v>
      </c>
      <c r="L144" s="4" t="s">
        <v>249</v>
      </c>
      <c r="M144" s="4" t="s">
        <v>228</v>
      </c>
      <c r="N144" s="4"/>
      <c r="O144" s="4"/>
    </row>
    <row r="145" spans="2:15">
      <c r="B145" s="15"/>
      <c r="C145" s="15"/>
      <c r="D145" s="4" t="s">
        <v>296</v>
      </c>
      <c r="E145" s="38">
        <v>0.13037154026525</v>
      </c>
      <c r="F145" s="39"/>
      <c r="G145" s="39"/>
      <c r="H145" s="39"/>
      <c r="I145" s="40"/>
      <c r="J145" s="17">
        <v>2018</v>
      </c>
      <c r="K145" s="20" t="s">
        <v>27</v>
      </c>
      <c r="L145" s="4" t="s">
        <v>24</v>
      </c>
      <c r="M145" s="4" t="s">
        <v>228</v>
      </c>
      <c r="N145" s="4"/>
      <c r="O145" s="4" t="s">
        <v>591</v>
      </c>
    </row>
    <row r="146" spans="2:15">
      <c r="B146" s="15"/>
      <c r="C146" s="15"/>
      <c r="D146" s="4" t="s">
        <v>296</v>
      </c>
      <c r="E146" s="38">
        <v>0.3</v>
      </c>
      <c r="F146" s="39"/>
      <c r="G146" s="39"/>
      <c r="H146" s="39">
        <v>0.5</v>
      </c>
      <c r="I146" s="40">
        <v>0</v>
      </c>
      <c r="J146" s="17">
        <v>2015</v>
      </c>
      <c r="K146" s="20" t="s">
        <v>27</v>
      </c>
      <c r="L146" s="4" t="s">
        <v>24</v>
      </c>
      <c r="M146" s="4" t="s">
        <v>21</v>
      </c>
      <c r="N146" s="4"/>
      <c r="O146" s="4"/>
    </row>
    <row r="147" spans="2:15">
      <c r="B147" s="15"/>
      <c r="C147" s="15"/>
      <c r="D147" s="4" t="s">
        <v>296</v>
      </c>
      <c r="E147" s="38">
        <v>0.3</v>
      </c>
      <c r="F147" s="39"/>
      <c r="G147" s="39"/>
      <c r="H147" s="39"/>
      <c r="I147" s="40"/>
      <c r="J147" s="17">
        <v>2006</v>
      </c>
      <c r="K147" s="20" t="s">
        <v>27</v>
      </c>
      <c r="L147" s="4" t="s">
        <v>38</v>
      </c>
      <c r="M147" s="4" t="s">
        <v>51</v>
      </c>
      <c r="N147" s="4"/>
      <c r="O147" s="4"/>
    </row>
    <row r="148" spans="2:15">
      <c r="B148" s="15"/>
      <c r="C148" s="15"/>
      <c r="D148" s="4" t="s">
        <v>297</v>
      </c>
      <c r="E148" s="38">
        <v>0.32</v>
      </c>
      <c r="F148" s="39">
        <v>0.3</v>
      </c>
      <c r="G148" s="39">
        <v>0.35</v>
      </c>
      <c r="H148" s="39"/>
      <c r="I148" s="40"/>
      <c r="J148" s="17">
        <v>2022</v>
      </c>
      <c r="K148" s="20" t="s">
        <v>27</v>
      </c>
      <c r="L148" s="4" t="s">
        <v>266</v>
      </c>
      <c r="M148" s="4" t="s">
        <v>228</v>
      </c>
      <c r="N148" s="4"/>
      <c r="O148" s="4" t="s">
        <v>592</v>
      </c>
    </row>
    <row r="149" spans="2:15">
      <c r="B149" s="15"/>
      <c r="C149" s="15"/>
      <c r="D149" s="4" t="s">
        <v>297</v>
      </c>
      <c r="E149" s="38">
        <v>0.30399999999999999</v>
      </c>
      <c r="F149" s="39">
        <v>0.28399999999999997</v>
      </c>
      <c r="G149" s="39">
        <v>0.32800000000000001</v>
      </c>
      <c r="H149" s="39"/>
      <c r="I149" s="40"/>
      <c r="J149" s="17">
        <v>2021</v>
      </c>
      <c r="K149" s="20" t="s">
        <v>27</v>
      </c>
      <c r="L149" s="4" t="s">
        <v>249</v>
      </c>
      <c r="M149" s="4" t="s">
        <v>228</v>
      </c>
      <c r="N149" s="4"/>
      <c r="O149" s="4" t="s">
        <v>593</v>
      </c>
    </row>
    <row r="150" spans="2:15">
      <c r="B150" s="15"/>
      <c r="C150" s="15"/>
      <c r="D150" s="4" t="s">
        <v>297</v>
      </c>
      <c r="E150" s="38">
        <v>0.32800000000000001</v>
      </c>
      <c r="F150" s="39">
        <v>0.30599999999999999</v>
      </c>
      <c r="G150" s="39">
        <v>0.35599999999999998</v>
      </c>
      <c r="H150" s="39"/>
      <c r="I150" s="40"/>
      <c r="J150" s="17">
        <v>2020</v>
      </c>
      <c r="K150" s="20" t="s">
        <v>27</v>
      </c>
      <c r="L150" s="4" t="s">
        <v>249</v>
      </c>
      <c r="M150" s="4" t="s">
        <v>228</v>
      </c>
      <c r="N150" s="4"/>
      <c r="O150" s="4" t="s">
        <v>593</v>
      </c>
    </row>
    <row r="151" spans="2:15">
      <c r="B151" s="15"/>
      <c r="C151" s="15"/>
      <c r="D151" s="4" t="s">
        <v>297</v>
      </c>
      <c r="E151" s="38">
        <v>0.219</v>
      </c>
      <c r="F151" s="39">
        <v>0.20300000000000001</v>
      </c>
      <c r="G151" s="39">
        <v>0.23699999999999999</v>
      </c>
      <c r="H151" s="39"/>
      <c r="I151" s="40"/>
      <c r="J151" s="17">
        <v>2019</v>
      </c>
      <c r="K151" s="20" t="s">
        <v>27</v>
      </c>
      <c r="L151" s="4" t="s">
        <v>249</v>
      </c>
      <c r="M151" s="4" t="s">
        <v>228</v>
      </c>
      <c r="N151" s="4"/>
      <c r="O151" s="4" t="s">
        <v>593</v>
      </c>
    </row>
    <row r="152" spans="2:15">
      <c r="B152" s="15"/>
      <c r="C152" s="15"/>
      <c r="D152" s="4" t="s">
        <v>297</v>
      </c>
      <c r="E152" s="38">
        <v>0.33800000000000002</v>
      </c>
      <c r="F152" s="39"/>
      <c r="G152" s="39"/>
      <c r="H152" s="39"/>
      <c r="I152" s="40"/>
      <c r="J152" s="17">
        <v>2018</v>
      </c>
      <c r="K152" s="20" t="s">
        <v>27</v>
      </c>
      <c r="L152" s="4" t="s">
        <v>24</v>
      </c>
      <c r="M152" s="4" t="s">
        <v>228</v>
      </c>
      <c r="N152" s="4"/>
      <c r="O152" s="4" t="s">
        <v>594</v>
      </c>
    </row>
    <row r="153" spans="2:15">
      <c r="B153" s="15"/>
      <c r="C153" s="15"/>
      <c r="D153" s="4" t="s">
        <v>297</v>
      </c>
      <c r="E153" s="38">
        <v>0.35399999999999998</v>
      </c>
      <c r="F153" s="39"/>
      <c r="G153" s="39"/>
      <c r="H153" s="39"/>
      <c r="I153" s="40"/>
      <c r="J153" s="17">
        <v>2016</v>
      </c>
      <c r="K153" s="20" t="s">
        <v>27</v>
      </c>
      <c r="L153" s="4" t="s">
        <v>24</v>
      </c>
      <c r="M153" s="4" t="s">
        <v>228</v>
      </c>
      <c r="N153" s="4"/>
      <c r="O153" s="4" t="s">
        <v>560</v>
      </c>
    </row>
    <row r="154" spans="2:15">
      <c r="B154" s="15"/>
      <c r="C154" s="15"/>
      <c r="D154" s="4" t="s">
        <v>297</v>
      </c>
      <c r="E154" s="38">
        <v>0.37</v>
      </c>
      <c r="F154" s="39"/>
      <c r="G154" s="39"/>
      <c r="H154" s="39"/>
      <c r="I154" s="40"/>
      <c r="J154" s="17">
        <v>2015</v>
      </c>
      <c r="K154" s="20" t="s">
        <v>27</v>
      </c>
      <c r="L154" s="4" t="s">
        <v>24</v>
      </c>
      <c r="M154" s="4" t="s">
        <v>228</v>
      </c>
      <c r="N154" s="4"/>
      <c r="O154" s="4" t="s">
        <v>560</v>
      </c>
    </row>
    <row r="155" spans="2:15">
      <c r="B155" s="15"/>
      <c r="C155" s="15"/>
      <c r="D155" s="4" t="s">
        <v>297</v>
      </c>
      <c r="E155" s="38">
        <v>0.37</v>
      </c>
      <c r="F155" s="39">
        <v>0.34</v>
      </c>
      <c r="G155" s="39">
        <v>0.41</v>
      </c>
      <c r="H155" s="39"/>
      <c r="I155" s="40"/>
      <c r="J155" s="17">
        <v>2013</v>
      </c>
      <c r="K155" s="20" t="s">
        <v>27</v>
      </c>
      <c r="L155" s="4" t="s">
        <v>249</v>
      </c>
      <c r="M155" s="4" t="s">
        <v>228</v>
      </c>
      <c r="N155" s="4"/>
      <c r="O155" s="4" t="s">
        <v>560</v>
      </c>
    </row>
    <row r="156" spans="2:15">
      <c r="B156" s="15"/>
      <c r="C156" s="15"/>
      <c r="D156" s="4" t="s">
        <v>299</v>
      </c>
      <c r="E156" s="38">
        <v>0.6</v>
      </c>
      <c r="F156" s="39"/>
      <c r="G156" s="39"/>
      <c r="H156" s="39">
        <v>0.8</v>
      </c>
      <c r="I156" s="40">
        <v>0.5</v>
      </c>
      <c r="J156" s="17">
        <v>2022</v>
      </c>
      <c r="K156" s="20" t="s">
        <v>27</v>
      </c>
      <c r="L156" s="4" t="s">
        <v>24</v>
      </c>
      <c r="M156" s="4" t="s">
        <v>21</v>
      </c>
      <c r="N156" s="4"/>
      <c r="O156" s="4"/>
    </row>
    <row r="157" spans="2:15">
      <c r="B157" s="15"/>
      <c r="C157" s="15"/>
      <c r="D157" s="4" t="s">
        <v>299</v>
      </c>
      <c r="E157" s="38">
        <v>0.1</v>
      </c>
      <c r="F157" s="39"/>
      <c r="G157" s="39"/>
      <c r="H157" s="39">
        <v>0.1</v>
      </c>
      <c r="I157" s="40">
        <v>0</v>
      </c>
      <c r="J157" s="17">
        <v>2017</v>
      </c>
      <c r="K157" s="20" t="s">
        <v>27</v>
      </c>
      <c r="L157" s="4" t="s">
        <v>109</v>
      </c>
      <c r="M157" s="4" t="s">
        <v>21</v>
      </c>
      <c r="N157" s="4"/>
      <c r="O157" s="4"/>
    </row>
    <row r="158" spans="2:15">
      <c r="B158" s="15"/>
      <c r="C158" s="15"/>
      <c r="D158" s="4" t="s">
        <v>299</v>
      </c>
      <c r="E158" s="38">
        <v>0.1</v>
      </c>
      <c r="F158" s="39"/>
      <c r="G158" s="39"/>
      <c r="H158" s="39">
        <v>0.2</v>
      </c>
      <c r="I158" s="40">
        <v>0</v>
      </c>
      <c r="J158" s="17">
        <v>2015</v>
      </c>
      <c r="K158" s="20" t="s">
        <v>27</v>
      </c>
      <c r="L158" s="4" t="s">
        <v>24</v>
      </c>
      <c r="M158" s="4" t="s">
        <v>21</v>
      </c>
      <c r="N158" s="4"/>
      <c r="O158" s="4"/>
    </row>
    <row r="159" spans="2:15">
      <c r="B159" s="15"/>
      <c r="C159" s="15"/>
      <c r="D159" s="4" t="s">
        <v>302</v>
      </c>
      <c r="E159" s="38">
        <v>2.8</v>
      </c>
      <c r="F159" s="39">
        <v>2.7</v>
      </c>
      <c r="G159" s="39">
        <v>2.9</v>
      </c>
      <c r="H159" s="39"/>
      <c r="I159" s="40"/>
      <c r="J159" s="17">
        <v>2021</v>
      </c>
      <c r="K159" s="20" t="s">
        <v>265</v>
      </c>
      <c r="L159" s="4" t="s">
        <v>425</v>
      </c>
      <c r="M159" s="4" t="s">
        <v>21</v>
      </c>
      <c r="N159" s="4"/>
      <c r="O159" s="4" t="s">
        <v>595</v>
      </c>
    </row>
    <row r="160" spans="2:15">
      <c r="B160" s="15"/>
      <c r="C160" s="15"/>
      <c r="D160" s="4" t="s">
        <v>302</v>
      </c>
      <c r="E160" s="38">
        <v>0.2</v>
      </c>
      <c r="F160" s="39"/>
      <c r="G160" s="39"/>
      <c r="H160" s="39"/>
      <c r="I160" s="40"/>
      <c r="J160" s="17">
        <v>2017</v>
      </c>
      <c r="K160" s="20" t="s">
        <v>303</v>
      </c>
      <c r="L160" s="4" t="s">
        <v>24</v>
      </c>
      <c r="M160" s="4" t="s">
        <v>21</v>
      </c>
      <c r="N160" s="4"/>
      <c r="O160" s="4" t="s">
        <v>534</v>
      </c>
    </row>
    <row r="161" spans="2:15">
      <c r="B161" s="15"/>
      <c r="C161" s="15"/>
      <c r="D161" s="4" t="s">
        <v>302</v>
      </c>
      <c r="E161" s="38">
        <v>0.53</v>
      </c>
      <c r="F161" s="39"/>
      <c r="G161" s="39"/>
      <c r="H161" s="39">
        <v>0.59</v>
      </c>
      <c r="I161" s="40">
        <v>0.46</v>
      </c>
      <c r="J161" s="17">
        <v>2013</v>
      </c>
      <c r="K161" s="20" t="s">
        <v>303</v>
      </c>
      <c r="L161" s="4" t="s">
        <v>24</v>
      </c>
      <c r="M161" s="4" t="s">
        <v>21</v>
      </c>
      <c r="N161" s="4"/>
      <c r="O161" s="4" t="s">
        <v>534</v>
      </c>
    </row>
    <row r="162" spans="2:15">
      <c r="B162" s="15"/>
      <c r="C162" s="15"/>
      <c r="D162" s="4" t="s">
        <v>302</v>
      </c>
      <c r="E162" s="38">
        <v>0.23</v>
      </c>
      <c r="F162" s="39">
        <v>0.19</v>
      </c>
      <c r="G162" s="39">
        <v>0.28000000000000003</v>
      </c>
      <c r="H162" s="39"/>
      <c r="I162" s="40"/>
      <c r="J162" s="17">
        <v>2007</v>
      </c>
      <c r="K162" s="20" t="s">
        <v>27</v>
      </c>
      <c r="L162" s="4" t="s">
        <v>24</v>
      </c>
      <c r="M162" s="4" t="s">
        <v>228</v>
      </c>
      <c r="N162" s="4"/>
      <c r="O162" s="4" t="s">
        <v>534</v>
      </c>
    </row>
    <row r="163" spans="2:15">
      <c r="B163" s="15" t="s">
        <v>327</v>
      </c>
      <c r="C163" s="15" t="s">
        <v>328</v>
      </c>
      <c r="D163" s="4" t="s">
        <v>329</v>
      </c>
      <c r="E163" s="38">
        <v>2.2999999999999998</v>
      </c>
      <c r="F163" s="39">
        <f>E163-0.3</f>
        <v>1.9999999999999998</v>
      </c>
      <c r="G163" s="39">
        <f>E163+0.3</f>
        <v>2.5999999999999996</v>
      </c>
      <c r="H163" s="39">
        <v>2.2000000000000002</v>
      </c>
      <c r="I163" s="40">
        <v>2.2999999999999998</v>
      </c>
      <c r="J163" s="17" t="s">
        <v>330</v>
      </c>
      <c r="K163" s="20" t="s">
        <v>226</v>
      </c>
      <c r="L163" s="4" t="s">
        <v>36</v>
      </c>
      <c r="M163" s="4" t="s">
        <v>21</v>
      </c>
      <c r="N163" s="4"/>
      <c r="O163" s="4" t="s">
        <v>596</v>
      </c>
    </row>
    <row r="164" spans="2:15">
      <c r="B164" s="15"/>
      <c r="C164" s="15"/>
      <c r="D164" s="4" t="s">
        <v>329</v>
      </c>
      <c r="E164" s="38">
        <v>2.8</v>
      </c>
      <c r="F164" s="39">
        <f>E164-0.3</f>
        <v>2.5</v>
      </c>
      <c r="G164" s="39">
        <f>E164+0.3</f>
        <v>3.0999999999999996</v>
      </c>
      <c r="H164" s="39">
        <v>3.1</v>
      </c>
      <c r="I164" s="40">
        <v>2.5</v>
      </c>
      <c r="J164" s="17">
        <v>2019</v>
      </c>
      <c r="K164" s="20" t="s">
        <v>226</v>
      </c>
      <c r="L164" s="4" t="s">
        <v>36</v>
      </c>
      <c r="M164" s="4" t="s">
        <v>21</v>
      </c>
      <c r="N164" s="4"/>
      <c r="O164" s="4" t="s">
        <v>596</v>
      </c>
    </row>
    <row r="165" spans="2:15">
      <c r="B165" s="15"/>
      <c r="C165" s="15"/>
      <c r="D165" s="4" t="s">
        <v>329</v>
      </c>
      <c r="E165" s="38">
        <v>3.7</v>
      </c>
      <c r="F165" s="39">
        <v>3.4</v>
      </c>
      <c r="G165" s="39">
        <v>4</v>
      </c>
      <c r="H165" s="39">
        <v>3.8</v>
      </c>
      <c r="I165" s="40">
        <v>3.6</v>
      </c>
      <c r="J165" s="17">
        <v>2016</v>
      </c>
      <c r="K165" s="20" t="s">
        <v>226</v>
      </c>
      <c r="L165" s="4" t="s">
        <v>36</v>
      </c>
      <c r="M165" s="4" t="s">
        <v>21</v>
      </c>
      <c r="N165" s="4"/>
      <c r="O165" s="4" t="s">
        <v>597</v>
      </c>
    </row>
    <row r="166" spans="2:15">
      <c r="B166" s="15"/>
      <c r="C166" s="15"/>
      <c r="D166" s="4" t="s">
        <v>329</v>
      </c>
      <c r="E166" s="38">
        <v>3.3</v>
      </c>
      <c r="F166" s="39"/>
      <c r="G166" s="39"/>
      <c r="H166" s="39">
        <v>3.3</v>
      </c>
      <c r="I166" s="40">
        <v>3.2</v>
      </c>
      <c r="J166" s="17">
        <v>2013</v>
      </c>
      <c r="K166" s="20" t="s">
        <v>226</v>
      </c>
      <c r="L166" s="4" t="s">
        <v>61</v>
      </c>
      <c r="M166" s="4" t="s">
        <v>21</v>
      </c>
      <c r="N166" s="4" t="s">
        <v>520</v>
      </c>
      <c r="O166" s="4" t="s">
        <v>598</v>
      </c>
    </row>
    <row r="167" spans="2:15">
      <c r="B167" s="15"/>
      <c r="C167" s="15"/>
      <c r="D167" s="4" t="s">
        <v>329</v>
      </c>
      <c r="E167" s="38">
        <v>3.4</v>
      </c>
      <c r="F167" s="39">
        <v>3.1</v>
      </c>
      <c r="G167" s="39">
        <v>3.7</v>
      </c>
      <c r="H167" s="39"/>
      <c r="I167" s="40"/>
      <c r="J167" s="17">
        <v>2010</v>
      </c>
      <c r="K167" s="20" t="s">
        <v>27</v>
      </c>
      <c r="L167" s="4" t="s">
        <v>36</v>
      </c>
      <c r="M167" s="4" t="s">
        <v>21</v>
      </c>
      <c r="N167" s="4" t="s">
        <v>518</v>
      </c>
      <c r="O167" s="4"/>
    </row>
    <row r="168" spans="2:15">
      <c r="B168" s="15"/>
      <c r="C168" s="15"/>
      <c r="D168" s="4" t="s">
        <v>331</v>
      </c>
      <c r="E168" s="38">
        <v>1.2</v>
      </c>
      <c r="F168" s="39">
        <v>0.9</v>
      </c>
      <c r="G168" s="39">
        <v>1.5</v>
      </c>
      <c r="H168" s="39">
        <v>1.5</v>
      </c>
      <c r="I168" s="40">
        <v>0.8</v>
      </c>
      <c r="J168" s="17" t="s">
        <v>332</v>
      </c>
      <c r="K168" s="20" t="s">
        <v>50</v>
      </c>
      <c r="L168" s="4" t="s">
        <v>36</v>
      </c>
      <c r="M168" s="4" t="s">
        <v>21</v>
      </c>
      <c r="N168" s="4"/>
      <c r="O168" s="4"/>
    </row>
    <row r="169" spans="2:15">
      <c r="B169" s="15"/>
      <c r="C169" s="15"/>
      <c r="D169" s="4" t="s">
        <v>331</v>
      </c>
      <c r="E169" s="38">
        <v>0.4</v>
      </c>
      <c r="F169" s="39"/>
      <c r="G169" s="39"/>
      <c r="H169" s="39">
        <v>0.4</v>
      </c>
      <c r="I169" s="40">
        <v>0.5</v>
      </c>
      <c r="J169" s="17" t="s">
        <v>330</v>
      </c>
      <c r="K169" s="20" t="s">
        <v>50</v>
      </c>
      <c r="L169" s="4" t="s">
        <v>38</v>
      </c>
      <c r="M169" s="4" t="s">
        <v>21</v>
      </c>
      <c r="N169" s="4"/>
      <c r="O169" s="4"/>
    </row>
    <row r="170" spans="2:15">
      <c r="B170" s="15"/>
      <c r="C170" s="15"/>
      <c r="D170" s="4" t="s">
        <v>331</v>
      </c>
      <c r="E170" s="38">
        <v>1.2</v>
      </c>
      <c r="F170" s="39"/>
      <c r="G170" s="39"/>
      <c r="H170" s="39"/>
      <c r="I170" s="40"/>
      <c r="J170" s="17">
        <v>2022</v>
      </c>
      <c r="K170" s="20" t="s">
        <v>27</v>
      </c>
      <c r="L170" s="4" t="s">
        <v>24</v>
      </c>
      <c r="M170" s="4" t="s">
        <v>21</v>
      </c>
      <c r="N170" s="4"/>
      <c r="O170" s="4" t="s">
        <v>333</v>
      </c>
    </row>
    <row r="171" spans="2:15">
      <c r="B171" s="15"/>
      <c r="C171" s="15"/>
      <c r="D171" s="4" t="s">
        <v>331</v>
      </c>
      <c r="E171" s="38">
        <v>1.1000000000000001</v>
      </c>
      <c r="F171" s="39">
        <v>0.8</v>
      </c>
      <c r="G171" s="39">
        <v>1.4</v>
      </c>
      <c r="H171" s="39">
        <v>1.5</v>
      </c>
      <c r="I171" s="40">
        <v>1</v>
      </c>
      <c r="J171" s="17">
        <v>2008</v>
      </c>
      <c r="K171" s="20" t="s">
        <v>265</v>
      </c>
      <c r="L171" s="4" t="s">
        <v>36</v>
      </c>
      <c r="M171" s="4" t="s">
        <v>21</v>
      </c>
      <c r="N171" s="4" t="s">
        <v>520</v>
      </c>
      <c r="O171" s="4" t="s">
        <v>599</v>
      </c>
    </row>
    <row r="172" spans="2:15">
      <c r="B172" s="15"/>
      <c r="C172" s="15"/>
      <c r="D172" s="4" t="s">
        <v>331</v>
      </c>
      <c r="E172" s="38">
        <v>0.42</v>
      </c>
      <c r="F172" s="39"/>
      <c r="G172" s="39"/>
      <c r="H172" s="39"/>
      <c r="I172" s="40"/>
      <c r="J172" s="17">
        <v>2006</v>
      </c>
      <c r="K172" s="20" t="s">
        <v>600</v>
      </c>
      <c r="L172" s="4" t="s">
        <v>38</v>
      </c>
      <c r="M172" s="4"/>
      <c r="N172" s="4"/>
      <c r="O172" s="4"/>
    </row>
    <row r="173" spans="2:15" ht="224.25" customHeight="1">
      <c r="B173" s="81" t="s">
        <v>601</v>
      </c>
      <c r="C173" s="81"/>
      <c r="D173" s="81"/>
      <c r="E173" s="81"/>
      <c r="F173" s="81"/>
      <c r="G173" s="81"/>
      <c r="H173" s="81"/>
      <c r="I173" s="81"/>
      <c r="J173" s="81"/>
      <c r="K173" s="81"/>
      <c r="L173" s="81"/>
      <c r="M173" s="81"/>
      <c r="N173" s="81"/>
      <c r="O173" s="81"/>
    </row>
  </sheetData>
  <mergeCells count="3">
    <mergeCell ref="B173:O173"/>
    <mergeCell ref="B1:O1"/>
    <mergeCell ref="B2:O2"/>
  </mergeCells>
  <conditionalFormatting sqref="D4:D172">
    <cfRule type="expression" dxfId="11" priority="17">
      <formula>#REF!=-1</formula>
    </cfRule>
  </conditionalFormatting>
  <pageMargins left="0.70866141732283472" right="0.70866141732283472" top="0.74803149606299213" bottom="0.74803149606299213" header="0.31496062992125984" footer="0.31496062992125984"/>
  <pageSetup paperSize="9" scale="15" fitToHeight="5"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B1:O304"/>
  <sheetViews>
    <sheetView zoomScale="90" zoomScaleNormal="90" zoomScaleSheetLayoutView="55" workbookViewId="0">
      <pane ySplit="3" topLeftCell="A4" activePane="bottomLeft" state="frozen"/>
      <selection activeCell="H40" sqref="H40"/>
      <selection pane="bottomLeft"/>
    </sheetView>
  </sheetViews>
  <sheetFormatPr defaultColWidth="9" defaultRowHeight="15.75"/>
  <cols>
    <col min="1" max="1" width="9" style="44"/>
    <col min="2" max="2" width="16.125" style="44" customWidth="1"/>
    <col min="3" max="3" width="40.125" style="44" customWidth="1"/>
    <col min="4" max="4" width="38.875" style="44" customWidth="1"/>
    <col min="5" max="9" width="11.625" style="44" customWidth="1"/>
    <col min="10" max="11" width="11.625" style="49" customWidth="1"/>
    <col min="12" max="12" width="49.375" style="44" customWidth="1"/>
    <col min="13" max="13" width="12.125" style="44" customWidth="1"/>
    <col min="14" max="14" width="17.125" style="44" bestFit="1" customWidth="1"/>
    <col min="15" max="15" width="88" style="44" customWidth="1"/>
    <col min="16" max="16384" width="9" style="44"/>
  </cols>
  <sheetData>
    <row r="1" spans="2:15" ht="45" customHeight="1">
      <c r="B1" s="92" t="s">
        <v>602</v>
      </c>
      <c r="C1" s="93"/>
      <c r="D1" s="93"/>
      <c r="E1" s="93"/>
      <c r="F1" s="93"/>
      <c r="G1" s="93"/>
      <c r="H1" s="93"/>
      <c r="I1" s="93"/>
      <c r="J1" s="93"/>
      <c r="K1" s="93"/>
      <c r="L1" s="93"/>
      <c r="M1" s="93"/>
      <c r="N1" s="93"/>
      <c r="O1" s="93"/>
    </row>
    <row r="2" spans="2:15" ht="24" customHeight="1">
      <c r="B2" s="94" t="s">
        <v>1</v>
      </c>
      <c r="C2" s="95"/>
      <c r="D2" s="95"/>
      <c r="E2" s="95"/>
      <c r="F2" s="95"/>
      <c r="G2" s="95"/>
      <c r="H2" s="95"/>
      <c r="I2" s="95"/>
      <c r="J2" s="95"/>
      <c r="K2" s="95"/>
      <c r="L2" s="95"/>
      <c r="M2" s="95"/>
      <c r="N2" s="95"/>
      <c r="O2" s="95"/>
    </row>
    <row r="3" spans="2:15" ht="46.35" customHeight="1">
      <c r="B3" s="45" t="s">
        <v>2</v>
      </c>
      <c r="C3" s="45" t="s">
        <v>3</v>
      </c>
      <c r="D3" s="45" t="s">
        <v>4</v>
      </c>
      <c r="E3" s="46" t="s">
        <v>5</v>
      </c>
      <c r="F3" s="46" t="s">
        <v>6</v>
      </c>
      <c r="G3" s="46" t="s">
        <v>7</v>
      </c>
      <c r="H3" s="50" t="s">
        <v>8</v>
      </c>
      <c r="I3" s="51" t="s">
        <v>9</v>
      </c>
      <c r="J3" s="45" t="s">
        <v>10</v>
      </c>
      <c r="K3" s="45" t="s">
        <v>11</v>
      </c>
      <c r="L3" s="45" t="s">
        <v>12</v>
      </c>
      <c r="M3" s="52" t="s">
        <v>13</v>
      </c>
      <c r="N3" s="46" t="s">
        <v>14</v>
      </c>
      <c r="O3" s="45" t="s">
        <v>15</v>
      </c>
    </row>
    <row r="4" spans="2:15">
      <c r="B4" s="47" t="s">
        <v>16</v>
      </c>
      <c r="C4" s="47" t="s">
        <v>17</v>
      </c>
      <c r="D4" s="37" t="s">
        <v>18</v>
      </c>
      <c r="E4" s="41">
        <v>0.22</v>
      </c>
      <c r="F4" s="42"/>
      <c r="G4" s="42"/>
      <c r="H4" s="42"/>
      <c r="I4" s="43"/>
      <c r="J4" s="35">
        <v>2012</v>
      </c>
      <c r="K4" s="36" t="s">
        <v>27</v>
      </c>
      <c r="L4" s="37" t="s">
        <v>603</v>
      </c>
      <c r="M4" s="37" t="s">
        <v>228</v>
      </c>
      <c r="N4" s="37"/>
      <c r="O4" s="37" t="s">
        <v>604</v>
      </c>
    </row>
    <row r="5" spans="2:15">
      <c r="B5" s="47"/>
      <c r="C5" s="47"/>
      <c r="D5" s="37" t="s">
        <v>18</v>
      </c>
      <c r="E5" s="41">
        <v>0.73</v>
      </c>
      <c r="F5" s="42"/>
      <c r="G5" s="42"/>
      <c r="H5" s="42"/>
      <c r="I5" s="43"/>
      <c r="J5" s="35">
        <v>2004</v>
      </c>
      <c r="K5" s="36" t="s">
        <v>27</v>
      </c>
      <c r="L5" s="37" t="s">
        <v>605</v>
      </c>
      <c r="M5" s="37" t="s">
        <v>553</v>
      </c>
      <c r="N5" s="37" t="s">
        <v>606</v>
      </c>
      <c r="O5" s="37"/>
    </row>
    <row r="6" spans="2:15">
      <c r="B6" s="47"/>
      <c r="C6" s="47"/>
      <c r="D6" s="37" t="s">
        <v>34</v>
      </c>
      <c r="E6" s="41">
        <v>0.77857451903559083</v>
      </c>
      <c r="F6" s="42"/>
      <c r="G6" s="42"/>
      <c r="H6" s="42"/>
      <c r="I6" s="43"/>
      <c r="J6" s="35">
        <v>2017</v>
      </c>
      <c r="K6" s="36" t="s">
        <v>27</v>
      </c>
      <c r="L6" s="37" t="s">
        <v>425</v>
      </c>
      <c r="M6" s="37" t="s">
        <v>228</v>
      </c>
      <c r="N6" s="37"/>
      <c r="O6" s="37" t="s">
        <v>607</v>
      </c>
    </row>
    <row r="7" spans="2:15">
      <c r="B7" s="47"/>
      <c r="C7" s="47"/>
      <c r="D7" s="37" t="s">
        <v>34</v>
      </c>
      <c r="E7" s="41">
        <v>0.91</v>
      </c>
      <c r="F7" s="42"/>
      <c r="G7" s="42"/>
      <c r="H7" s="42"/>
      <c r="I7" s="43"/>
      <c r="J7" s="35">
        <v>2007</v>
      </c>
      <c r="K7" s="36" t="s">
        <v>35</v>
      </c>
      <c r="L7" s="37" t="s">
        <v>38</v>
      </c>
      <c r="M7" s="37" t="s">
        <v>553</v>
      </c>
      <c r="N7" s="37"/>
      <c r="O7" s="37"/>
    </row>
    <row r="8" spans="2:15">
      <c r="B8" s="47"/>
      <c r="C8" s="47"/>
      <c r="D8" s="37" t="s">
        <v>608</v>
      </c>
      <c r="E8" s="41">
        <v>0.14000000000000001</v>
      </c>
      <c r="F8" s="42"/>
      <c r="G8" s="42"/>
      <c r="H8" s="42"/>
      <c r="I8" s="43"/>
      <c r="J8" s="35">
        <v>2004</v>
      </c>
      <c r="K8" s="36" t="s">
        <v>27</v>
      </c>
      <c r="L8" s="37" t="s">
        <v>523</v>
      </c>
      <c r="M8" s="37"/>
      <c r="N8" s="37"/>
      <c r="O8" s="37" t="s">
        <v>527</v>
      </c>
    </row>
    <row r="9" spans="2:15">
      <c r="B9" s="47"/>
      <c r="C9" s="47"/>
      <c r="D9" s="37" t="s">
        <v>609</v>
      </c>
      <c r="E9" s="41">
        <v>2.2999999999999998</v>
      </c>
      <c r="F9" s="42"/>
      <c r="G9" s="42"/>
      <c r="H9" s="42"/>
      <c r="I9" s="43"/>
      <c r="J9" s="35">
        <v>2011</v>
      </c>
      <c r="K9" s="36" t="s">
        <v>27</v>
      </c>
      <c r="L9" s="37" t="s">
        <v>36</v>
      </c>
      <c r="M9" s="37"/>
      <c r="N9" s="37"/>
      <c r="O9" s="37" t="s">
        <v>527</v>
      </c>
    </row>
    <row r="10" spans="2:15">
      <c r="B10" s="47"/>
      <c r="C10" s="47"/>
      <c r="D10" s="37" t="s">
        <v>610</v>
      </c>
      <c r="E10" s="41">
        <v>0.16</v>
      </c>
      <c r="F10" s="42"/>
      <c r="G10" s="42"/>
      <c r="H10" s="42"/>
      <c r="I10" s="43"/>
      <c r="J10" s="35">
        <v>2004</v>
      </c>
      <c r="K10" s="36" t="s">
        <v>27</v>
      </c>
      <c r="L10" s="37" t="s">
        <v>523</v>
      </c>
      <c r="M10" s="37"/>
      <c r="N10" s="37"/>
      <c r="O10" s="37" t="s">
        <v>527</v>
      </c>
    </row>
    <row r="11" spans="2:15">
      <c r="B11" s="47"/>
      <c r="C11" s="47"/>
      <c r="D11" s="37" t="s">
        <v>611</v>
      </c>
      <c r="E11" s="41">
        <v>0.05</v>
      </c>
      <c r="F11" s="42"/>
      <c r="G11" s="42"/>
      <c r="H11" s="42"/>
      <c r="I11" s="43"/>
      <c r="J11" s="35">
        <v>2004</v>
      </c>
      <c r="K11" s="36" t="s">
        <v>27</v>
      </c>
      <c r="L11" s="37" t="s">
        <v>523</v>
      </c>
      <c r="M11" s="37"/>
      <c r="N11" s="37"/>
      <c r="O11" s="37" t="s">
        <v>527</v>
      </c>
    </row>
    <row r="12" spans="2:15">
      <c r="B12" s="47"/>
      <c r="C12" s="47" t="s">
        <v>39</v>
      </c>
      <c r="D12" s="37" t="s">
        <v>40</v>
      </c>
      <c r="E12" s="41">
        <v>0.06</v>
      </c>
      <c r="F12" s="42">
        <v>0.05</v>
      </c>
      <c r="G12" s="42">
        <v>0.06</v>
      </c>
      <c r="H12" s="42">
        <v>0.11</v>
      </c>
      <c r="I12" s="43">
        <v>0.01</v>
      </c>
      <c r="J12" s="35">
        <v>2010</v>
      </c>
      <c r="K12" s="36" t="s">
        <v>41</v>
      </c>
      <c r="L12" s="37" t="s">
        <v>24</v>
      </c>
      <c r="M12" s="37" t="s">
        <v>21</v>
      </c>
      <c r="N12" s="37"/>
      <c r="O12" s="37" t="s">
        <v>612</v>
      </c>
    </row>
    <row r="13" spans="2:15">
      <c r="B13" s="47"/>
      <c r="C13" s="47"/>
      <c r="D13" s="37" t="s">
        <v>40</v>
      </c>
      <c r="E13" s="41">
        <v>0.12</v>
      </c>
      <c r="F13" s="42"/>
      <c r="G13" s="42"/>
      <c r="H13" s="42"/>
      <c r="I13" s="43"/>
      <c r="J13" s="35">
        <v>2004</v>
      </c>
      <c r="K13" s="36" t="s">
        <v>613</v>
      </c>
      <c r="L13" s="37" t="s">
        <v>58</v>
      </c>
      <c r="M13" s="37"/>
      <c r="N13" s="37"/>
      <c r="O13" s="37" t="s">
        <v>527</v>
      </c>
    </row>
    <row r="14" spans="2:15">
      <c r="B14" s="47"/>
      <c r="C14" s="47"/>
      <c r="D14" s="37" t="s">
        <v>42</v>
      </c>
      <c r="E14" s="41">
        <v>0.3</v>
      </c>
      <c r="F14" s="42"/>
      <c r="G14" s="42"/>
      <c r="H14" s="42"/>
      <c r="I14" s="43"/>
      <c r="J14" s="35">
        <v>2019</v>
      </c>
      <c r="K14" s="36" t="s">
        <v>27</v>
      </c>
      <c r="L14" s="37" t="s">
        <v>24</v>
      </c>
      <c r="M14" s="37" t="s">
        <v>21</v>
      </c>
      <c r="N14" s="37"/>
      <c r="O14" s="37" t="s">
        <v>614</v>
      </c>
    </row>
    <row r="15" spans="2:15">
      <c r="B15" s="47"/>
      <c r="C15" s="47"/>
      <c r="D15" s="37" t="s">
        <v>42</v>
      </c>
      <c r="E15" s="41">
        <v>1.76</v>
      </c>
      <c r="F15" s="42">
        <v>1.39</v>
      </c>
      <c r="G15" s="42">
        <v>2.14</v>
      </c>
      <c r="H15" s="42"/>
      <c r="I15" s="43"/>
      <c r="J15" s="35">
        <v>2016</v>
      </c>
      <c r="K15" s="36" t="s">
        <v>27</v>
      </c>
      <c r="L15" s="37" t="s">
        <v>349</v>
      </c>
      <c r="M15" s="37" t="s">
        <v>44</v>
      </c>
      <c r="N15" s="37" t="s">
        <v>45</v>
      </c>
      <c r="O15" s="37" t="s">
        <v>612</v>
      </c>
    </row>
    <row r="16" spans="2:15">
      <c r="B16" s="47"/>
      <c r="C16" s="47"/>
      <c r="D16" s="37" t="s">
        <v>42</v>
      </c>
      <c r="E16" s="41">
        <v>0.44</v>
      </c>
      <c r="F16" s="42">
        <v>0.14000000000000001</v>
      </c>
      <c r="G16" s="42">
        <v>0.73</v>
      </c>
      <c r="H16" s="42"/>
      <c r="I16" s="43"/>
      <c r="J16" s="35">
        <v>2006</v>
      </c>
      <c r="K16" s="36" t="s">
        <v>27</v>
      </c>
      <c r="L16" s="37" t="s">
        <v>46</v>
      </c>
      <c r="M16" s="37" t="s">
        <v>47</v>
      </c>
      <c r="N16" s="37" t="s">
        <v>48</v>
      </c>
      <c r="O16" s="37" t="s">
        <v>527</v>
      </c>
    </row>
    <row r="17" spans="2:15">
      <c r="B17" s="47"/>
      <c r="C17" s="47"/>
      <c r="D17" s="37" t="s">
        <v>615</v>
      </c>
      <c r="E17" s="41">
        <v>0.14000000000000001</v>
      </c>
      <c r="F17" s="42"/>
      <c r="G17" s="42"/>
      <c r="H17" s="42"/>
      <c r="I17" s="43"/>
      <c r="J17" s="35">
        <v>2004</v>
      </c>
      <c r="K17" s="36" t="s">
        <v>27</v>
      </c>
      <c r="L17" s="37" t="s">
        <v>61</v>
      </c>
      <c r="M17" s="37"/>
      <c r="N17" s="37"/>
      <c r="O17" s="37" t="s">
        <v>527</v>
      </c>
    </row>
    <row r="18" spans="2:15">
      <c r="B18" s="47"/>
      <c r="C18" s="47"/>
      <c r="D18" s="37" t="s">
        <v>49</v>
      </c>
      <c r="E18" s="41">
        <v>0.71</v>
      </c>
      <c r="F18" s="42"/>
      <c r="G18" s="42"/>
      <c r="H18" s="42"/>
      <c r="I18" s="43"/>
      <c r="J18" s="35">
        <v>2017</v>
      </c>
      <c r="K18" s="36" t="s">
        <v>27</v>
      </c>
      <c r="L18" s="37" t="s">
        <v>349</v>
      </c>
      <c r="M18" s="37" t="s">
        <v>44</v>
      </c>
      <c r="N18" s="37"/>
      <c r="O18" s="37" t="s">
        <v>616</v>
      </c>
    </row>
    <row r="19" spans="2:15">
      <c r="B19" s="47"/>
      <c r="C19" s="47"/>
      <c r="D19" s="37" t="s">
        <v>49</v>
      </c>
      <c r="E19" s="41">
        <v>0.01</v>
      </c>
      <c r="F19" s="42"/>
      <c r="G19" s="42"/>
      <c r="H19" s="42"/>
      <c r="I19" s="43"/>
      <c r="J19" s="35">
        <v>2014</v>
      </c>
      <c r="K19" s="36" t="s">
        <v>27</v>
      </c>
      <c r="L19" s="37" t="s">
        <v>617</v>
      </c>
      <c r="M19" s="37" t="s">
        <v>228</v>
      </c>
      <c r="N19" s="37"/>
      <c r="O19" s="37" t="s">
        <v>618</v>
      </c>
    </row>
    <row r="20" spans="2:15">
      <c r="B20" s="47"/>
      <c r="C20" s="47"/>
      <c r="D20" s="37" t="s">
        <v>49</v>
      </c>
      <c r="E20" s="41">
        <v>0.08</v>
      </c>
      <c r="F20" s="42"/>
      <c r="G20" s="42"/>
      <c r="H20" s="42"/>
      <c r="I20" s="43"/>
      <c r="J20" s="35">
        <v>2011</v>
      </c>
      <c r="K20" s="36" t="s">
        <v>27</v>
      </c>
      <c r="L20" s="37" t="s">
        <v>603</v>
      </c>
      <c r="M20" s="37" t="s">
        <v>228</v>
      </c>
      <c r="N20" s="37"/>
      <c r="O20" s="37" t="s">
        <v>618</v>
      </c>
    </row>
    <row r="21" spans="2:15">
      <c r="B21" s="47"/>
      <c r="C21" s="47"/>
      <c r="D21" s="37" t="s">
        <v>49</v>
      </c>
      <c r="E21" s="41">
        <v>0.02</v>
      </c>
      <c r="F21" s="42"/>
      <c r="G21" s="42"/>
      <c r="H21" s="42"/>
      <c r="I21" s="43"/>
      <c r="J21" s="35">
        <v>2004</v>
      </c>
      <c r="K21" s="36" t="s">
        <v>27</v>
      </c>
      <c r="L21" s="37" t="s">
        <v>38</v>
      </c>
      <c r="M21" s="37"/>
      <c r="N21" s="37"/>
      <c r="O21" s="37" t="s">
        <v>527</v>
      </c>
    </row>
    <row r="22" spans="2:15">
      <c r="B22" s="47"/>
      <c r="C22" s="47"/>
      <c r="D22" s="37" t="s">
        <v>52</v>
      </c>
      <c r="E22" s="41">
        <v>0.12</v>
      </c>
      <c r="F22" s="42"/>
      <c r="G22" s="42"/>
      <c r="H22" s="42"/>
      <c r="I22" s="43"/>
      <c r="J22" s="35">
        <v>2011</v>
      </c>
      <c r="K22" s="36" t="s">
        <v>27</v>
      </c>
      <c r="L22" s="37" t="s">
        <v>603</v>
      </c>
      <c r="M22" s="37" t="s">
        <v>228</v>
      </c>
      <c r="N22" s="37"/>
      <c r="O22" s="37" t="s">
        <v>604</v>
      </c>
    </row>
    <row r="23" spans="2:15">
      <c r="B23" s="47"/>
      <c r="C23" s="47" t="s">
        <v>53</v>
      </c>
      <c r="D23" s="37" t="s">
        <v>619</v>
      </c>
      <c r="E23" s="41">
        <v>0.17</v>
      </c>
      <c r="F23" s="42"/>
      <c r="G23" s="42"/>
      <c r="H23" s="42"/>
      <c r="I23" s="43"/>
      <c r="J23" s="35">
        <v>2004</v>
      </c>
      <c r="K23" s="36" t="s">
        <v>27</v>
      </c>
      <c r="L23" s="37" t="s">
        <v>523</v>
      </c>
      <c r="M23" s="37"/>
      <c r="N23" s="37"/>
      <c r="O23" s="37" t="s">
        <v>527</v>
      </c>
    </row>
    <row r="24" spans="2:15">
      <c r="B24" s="47"/>
      <c r="C24" s="47"/>
      <c r="D24" s="37" t="s">
        <v>54</v>
      </c>
      <c r="E24" s="41">
        <v>0.41</v>
      </c>
      <c r="F24" s="42"/>
      <c r="G24" s="42"/>
      <c r="H24" s="42"/>
      <c r="I24" s="43"/>
      <c r="J24" s="35">
        <v>2008</v>
      </c>
      <c r="K24" s="36" t="s">
        <v>27</v>
      </c>
      <c r="L24" s="37" t="s">
        <v>24</v>
      </c>
      <c r="M24" s="37" t="s">
        <v>21</v>
      </c>
      <c r="N24" s="37"/>
      <c r="O24" s="37" t="s">
        <v>527</v>
      </c>
    </row>
    <row r="25" spans="2:15">
      <c r="B25" s="47"/>
      <c r="C25" s="47"/>
      <c r="D25" s="37" t="s">
        <v>57</v>
      </c>
      <c r="E25" s="41">
        <v>0.37</v>
      </c>
      <c r="F25" s="42"/>
      <c r="G25" s="42"/>
      <c r="H25" s="42"/>
      <c r="I25" s="43"/>
      <c r="J25" s="35">
        <v>2003</v>
      </c>
      <c r="K25" s="36" t="s">
        <v>27</v>
      </c>
      <c r="L25" s="37" t="s">
        <v>61</v>
      </c>
      <c r="M25" s="37"/>
      <c r="N25" s="37"/>
      <c r="O25" s="37" t="s">
        <v>527</v>
      </c>
    </row>
    <row r="26" spans="2:15">
      <c r="B26" s="47"/>
      <c r="C26" s="47"/>
      <c r="D26" s="37" t="s">
        <v>620</v>
      </c>
      <c r="E26" s="41">
        <v>0.04</v>
      </c>
      <c r="F26" s="42"/>
      <c r="G26" s="42"/>
      <c r="H26" s="42"/>
      <c r="I26" s="43"/>
      <c r="J26" s="35">
        <v>2004</v>
      </c>
      <c r="K26" s="36" t="s">
        <v>27</v>
      </c>
      <c r="L26" s="37" t="s">
        <v>523</v>
      </c>
      <c r="M26" s="37"/>
      <c r="N26" s="37"/>
      <c r="O26" s="37" t="s">
        <v>527</v>
      </c>
    </row>
    <row r="27" spans="2:15">
      <c r="B27" s="47"/>
      <c r="C27" s="47" t="s">
        <v>59</v>
      </c>
      <c r="D27" s="37" t="s">
        <v>62</v>
      </c>
      <c r="E27" s="41">
        <v>0.18</v>
      </c>
      <c r="F27" s="42"/>
      <c r="G27" s="42"/>
      <c r="H27" s="42"/>
      <c r="I27" s="43"/>
      <c r="J27" s="35">
        <v>2004</v>
      </c>
      <c r="K27" s="36" t="s">
        <v>27</v>
      </c>
      <c r="L27" s="37" t="s">
        <v>61</v>
      </c>
      <c r="M27" s="37"/>
      <c r="N27" s="37"/>
      <c r="O27" s="37" t="s">
        <v>527</v>
      </c>
    </row>
    <row r="28" spans="2:15">
      <c r="B28" s="47"/>
      <c r="C28" s="47"/>
      <c r="D28" s="37" t="s">
        <v>621</v>
      </c>
      <c r="E28" s="41">
        <v>0.05</v>
      </c>
      <c r="F28" s="42"/>
      <c r="G28" s="42"/>
      <c r="H28" s="42"/>
      <c r="I28" s="43"/>
      <c r="J28" s="35">
        <v>2004</v>
      </c>
      <c r="K28" s="36" t="s">
        <v>27</v>
      </c>
      <c r="L28" s="37" t="s">
        <v>523</v>
      </c>
      <c r="M28" s="37"/>
      <c r="N28" s="37"/>
      <c r="O28" s="37" t="s">
        <v>527</v>
      </c>
    </row>
    <row r="29" spans="2:15">
      <c r="B29" s="47"/>
      <c r="C29" s="47"/>
      <c r="D29" s="37" t="s">
        <v>622</v>
      </c>
      <c r="E29" s="41">
        <v>0.22</v>
      </c>
      <c r="F29" s="42"/>
      <c r="G29" s="42"/>
      <c r="H29" s="42"/>
      <c r="I29" s="43"/>
      <c r="J29" s="35">
        <v>2004</v>
      </c>
      <c r="K29" s="36" t="s">
        <v>27</v>
      </c>
      <c r="L29" s="37" t="s">
        <v>523</v>
      </c>
      <c r="M29" s="37"/>
      <c r="N29" s="37"/>
      <c r="O29" s="37" t="s">
        <v>527</v>
      </c>
    </row>
    <row r="30" spans="2:15">
      <c r="B30" s="47"/>
      <c r="C30" s="47"/>
      <c r="D30" s="37" t="s">
        <v>64</v>
      </c>
      <c r="E30" s="41">
        <v>0.9</v>
      </c>
      <c r="F30" s="42">
        <v>0.86</v>
      </c>
      <c r="G30" s="42">
        <v>0.94</v>
      </c>
      <c r="H30" s="42"/>
      <c r="I30" s="43"/>
      <c r="J30" s="35">
        <v>2017</v>
      </c>
      <c r="K30" s="36" t="s">
        <v>27</v>
      </c>
      <c r="L30" s="37" t="s">
        <v>97</v>
      </c>
      <c r="M30" s="37" t="s">
        <v>44</v>
      </c>
      <c r="N30" s="37" t="s">
        <v>45</v>
      </c>
      <c r="O30" s="37" t="s">
        <v>623</v>
      </c>
    </row>
    <row r="31" spans="2:15">
      <c r="B31" s="47"/>
      <c r="C31" s="47"/>
      <c r="D31" s="37" t="s">
        <v>624</v>
      </c>
      <c r="E31" s="41">
        <v>0.13</v>
      </c>
      <c r="F31" s="42"/>
      <c r="G31" s="42"/>
      <c r="H31" s="42"/>
      <c r="I31" s="43"/>
      <c r="J31" s="35">
        <v>2004</v>
      </c>
      <c r="K31" s="36" t="s">
        <v>27</v>
      </c>
      <c r="L31" s="37" t="s">
        <v>523</v>
      </c>
      <c r="M31" s="37"/>
      <c r="N31" s="37"/>
      <c r="O31" s="37" t="s">
        <v>527</v>
      </c>
    </row>
    <row r="32" spans="2:15">
      <c r="B32" s="47"/>
      <c r="C32" s="47"/>
      <c r="D32" s="37" t="s">
        <v>522</v>
      </c>
      <c r="E32" s="41">
        <v>0.13</v>
      </c>
      <c r="F32" s="42"/>
      <c r="G32" s="42"/>
      <c r="H32" s="42"/>
      <c r="I32" s="43"/>
      <c r="J32" s="35">
        <v>2004</v>
      </c>
      <c r="K32" s="36" t="s">
        <v>27</v>
      </c>
      <c r="L32" s="37" t="s">
        <v>523</v>
      </c>
      <c r="M32" s="37"/>
      <c r="N32" s="37"/>
      <c r="O32" s="37" t="s">
        <v>527</v>
      </c>
    </row>
    <row r="33" spans="2:15">
      <c r="B33" s="47"/>
      <c r="C33" s="47"/>
      <c r="D33" s="37" t="s">
        <v>625</v>
      </c>
      <c r="E33" s="41">
        <v>0.14000000000000001</v>
      </c>
      <c r="F33" s="42"/>
      <c r="G33" s="42"/>
      <c r="H33" s="42"/>
      <c r="I33" s="43"/>
      <c r="J33" s="35">
        <v>2004</v>
      </c>
      <c r="K33" s="36" t="s">
        <v>19</v>
      </c>
      <c r="L33" s="37" t="s">
        <v>523</v>
      </c>
      <c r="M33" s="37"/>
      <c r="N33" s="37"/>
      <c r="O33" s="37" t="s">
        <v>527</v>
      </c>
    </row>
    <row r="34" spans="2:15">
      <c r="B34" s="47"/>
      <c r="C34" s="47"/>
      <c r="D34" s="37" t="s">
        <v>65</v>
      </c>
      <c r="E34" s="41">
        <v>0.17</v>
      </c>
      <c r="F34" s="42"/>
      <c r="G34" s="42"/>
      <c r="H34" s="42"/>
      <c r="I34" s="43"/>
      <c r="J34" s="35">
        <v>2004</v>
      </c>
      <c r="K34" s="36" t="s">
        <v>27</v>
      </c>
      <c r="L34" s="37" t="s">
        <v>523</v>
      </c>
      <c r="M34" s="37"/>
      <c r="N34" s="37"/>
      <c r="O34" s="37" t="s">
        <v>527</v>
      </c>
    </row>
    <row r="35" spans="2:15">
      <c r="B35" s="47"/>
      <c r="C35" s="47"/>
      <c r="D35" s="37" t="s">
        <v>626</v>
      </c>
      <c r="E35" s="41">
        <v>0.2</v>
      </c>
      <c r="F35" s="42"/>
      <c r="G35" s="42"/>
      <c r="H35" s="42"/>
      <c r="I35" s="43"/>
      <c r="J35" s="35">
        <v>2004</v>
      </c>
      <c r="K35" s="36" t="s">
        <v>27</v>
      </c>
      <c r="L35" s="37" t="s">
        <v>547</v>
      </c>
      <c r="M35" s="37" t="s">
        <v>228</v>
      </c>
      <c r="N35" s="37"/>
      <c r="O35" s="37" t="s">
        <v>604</v>
      </c>
    </row>
    <row r="36" spans="2:15">
      <c r="B36" s="47"/>
      <c r="C36" s="47"/>
      <c r="D36" s="37" t="s">
        <v>71</v>
      </c>
      <c r="E36" s="41">
        <v>0.09</v>
      </c>
      <c r="F36" s="42">
        <v>0</v>
      </c>
      <c r="G36" s="42">
        <v>0.21</v>
      </c>
      <c r="H36" s="42"/>
      <c r="I36" s="43"/>
      <c r="J36" s="35">
        <v>2017</v>
      </c>
      <c r="K36" s="36" t="s">
        <v>27</v>
      </c>
      <c r="L36" s="37" t="s">
        <v>69</v>
      </c>
      <c r="M36" s="37" t="s">
        <v>70</v>
      </c>
      <c r="N36" s="37"/>
      <c r="O36" s="37" t="s">
        <v>616</v>
      </c>
    </row>
    <row r="37" spans="2:15">
      <c r="B37" s="47"/>
      <c r="C37" s="47"/>
      <c r="D37" s="37" t="s">
        <v>71</v>
      </c>
      <c r="E37" s="41">
        <v>0.7</v>
      </c>
      <c r="F37" s="42">
        <v>0.3</v>
      </c>
      <c r="G37" s="42">
        <v>1</v>
      </c>
      <c r="H37" s="42"/>
      <c r="I37" s="43"/>
      <c r="J37" s="35">
        <v>2008</v>
      </c>
      <c r="K37" s="36" t="s">
        <v>27</v>
      </c>
      <c r="L37" s="37" t="s">
        <v>61</v>
      </c>
      <c r="M37" s="37"/>
      <c r="N37" s="37"/>
      <c r="O37" s="37" t="s">
        <v>527</v>
      </c>
    </row>
    <row r="38" spans="2:15">
      <c r="B38" s="47"/>
      <c r="C38" s="47"/>
      <c r="D38" s="37" t="s">
        <v>627</v>
      </c>
      <c r="E38" s="41">
        <v>0.08</v>
      </c>
      <c r="F38" s="42"/>
      <c r="G38" s="42"/>
      <c r="H38" s="42"/>
      <c r="I38" s="43"/>
      <c r="J38" s="35">
        <v>2006</v>
      </c>
      <c r="K38" s="36" t="s">
        <v>27</v>
      </c>
      <c r="L38" s="37" t="s">
        <v>61</v>
      </c>
      <c r="M38" s="37" t="s">
        <v>44</v>
      </c>
      <c r="N38" s="37" t="s">
        <v>148</v>
      </c>
      <c r="O38" s="37" t="s">
        <v>527</v>
      </c>
    </row>
    <row r="39" spans="2:15">
      <c r="B39" s="47"/>
      <c r="C39" s="47"/>
      <c r="D39" s="37" t="s">
        <v>72</v>
      </c>
      <c r="E39" s="41">
        <v>0.17</v>
      </c>
      <c r="F39" s="42"/>
      <c r="G39" s="42"/>
      <c r="H39" s="42"/>
      <c r="I39" s="43"/>
      <c r="J39" s="35">
        <v>2004</v>
      </c>
      <c r="K39" s="36" t="s">
        <v>27</v>
      </c>
      <c r="L39" s="37" t="s">
        <v>523</v>
      </c>
      <c r="M39" s="37"/>
      <c r="N39" s="37"/>
      <c r="O39" s="37" t="s">
        <v>527</v>
      </c>
    </row>
    <row r="40" spans="2:15">
      <c r="B40" s="47" t="s">
        <v>76</v>
      </c>
      <c r="C40" s="47" t="s">
        <v>77</v>
      </c>
      <c r="D40" s="37" t="s">
        <v>78</v>
      </c>
      <c r="E40" s="41">
        <v>0.22</v>
      </c>
      <c r="F40" s="42"/>
      <c r="G40" s="42"/>
      <c r="H40" s="42"/>
      <c r="I40" s="43"/>
      <c r="J40" s="35">
        <v>2003</v>
      </c>
      <c r="K40" s="36" t="s">
        <v>27</v>
      </c>
      <c r="L40" s="37" t="s">
        <v>61</v>
      </c>
      <c r="M40" s="37"/>
      <c r="N40" s="37"/>
      <c r="O40" s="37"/>
    </row>
    <row r="41" spans="2:15">
      <c r="B41" s="47"/>
      <c r="C41" s="47"/>
      <c r="D41" s="37" t="s">
        <v>80</v>
      </c>
      <c r="E41" s="41">
        <v>0.11</v>
      </c>
      <c r="F41" s="42">
        <v>0.1</v>
      </c>
      <c r="G41" s="42">
        <v>0.13</v>
      </c>
      <c r="H41" s="42"/>
      <c r="I41" s="43"/>
      <c r="J41" s="35">
        <v>2006</v>
      </c>
      <c r="K41" s="36" t="s">
        <v>27</v>
      </c>
      <c r="L41" s="37" t="s">
        <v>61</v>
      </c>
      <c r="M41" s="37"/>
      <c r="N41" s="37"/>
      <c r="O41" s="37" t="s">
        <v>527</v>
      </c>
    </row>
    <row r="42" spans="2:15">
      <c r="B42" s="47"/>
      <c r="C42" s="47"/>
      <c r="D42" s="37" t="s">
        <v>82</v>
      </c>
      <c r="E42" s="41">
        <v>7.0000000000000007E-2</v>
      </c>
      <c r="F42" s="42">
        <v>0.05</v>
      </c>
      <c r="G42" s="42">
        <v>0.09</v>
      </c>
      <c r="H42" s="42"/>
      <c r="I42" s="43"/>
      <c r="J42" s="35">
        <v>2008</v>
      </c>
      <c r="K42" s="36" t="s">
        <v>27</v>
      </c>
      <c r="L42" s="37" t="s">
        <v>61</v>
      </c>
      <c r="M42" s="37" t="s">
        <v>44</v>
      </c>
      <c r="N42" s="37" t="s">
        <v>45</v>
      </c>
      <c r="O42" s="37"/>
    </row>
    <row r="43" spans="2:15">
      <c r="B43" s="47"/>
      <c r="C43" s="47"/>
      <c r="D43" s="37" t="s">
        <v>82</v>
      </c>
      <c r="E43" s="41">
        <v>0.11</v>
      </c>
      <c r="F43" s="42"/>
      <c r="G43" s="42"/>
      <c r="H43" s="42"/>
      <c r="I43" s="43"/>
      <c r="J43" s="35">
        <v>2001</v>
      </c>
      <c r="K43" s="36" t="s">
        <v>27</v>
      </c>
      <c r="L43" s="37" t="s">
        <v>58</v>
      </c>
      <c r="M43" s="37"/>
      <c r="N43" s="37"/>
      <c r="O43" s="37"/>
    </row>
    <row r="44" spans="2:15">
      <c r="B44" s="47"/>
      <c r="C44" s="47"/>
      <c r="D44" s="37" t="s">
        <v>83</v>
      </c>
      <c r="E44" s="41">
        <v>7.0000000000000007E-2</v>
      </c>
      <c r="F44" s="42"/>
      <c r="G44" s="42"/>
      <c r="H44" s="42"/>
      <c r="I44" s="43"/>
      <c r="J44" s="35">
        <v>2006</v>
      </c>
      <c r="K44" s="36" t="s">
        <v>27</v>
      </c>
      <c r="L44" s="37" t="s">
        <v>24</v>
      </c>
      <c r="M44" s="37" t="s">
        <v>44</v>
      </c>
      <c r="N44" s="37" t="s">
        <v>255</v>
      </c>
      <c r="O44" s="37"/>
    </row>
    <row r="45" spans="2:15">
      <c r="B45" s="47"/>
      <c r="C45" s="47"/>
      <c r="D45" s="37" t="s">
        <v>84</v>
      </c>
      <c r="E45" s="41">
        <v>0.7</v>
      </c>
      <c r="F45" s="42">
        <v>0.3</v>
      </c>
      <c r="G45" s="42">
        <v>1.1000000000000001</v>
      </c>
      <c r="H45" s="42"/>
      <c r="I45" s="43"/>
      <c r="J45" s="35">
        <v>2006</v>
      </c>
      <c r="K45" s="36" t="s">
        <v>27</v>
      </c>
      <c r="L45" s="37" t="s">
        <v>61</v>
      </c>
      <c r="M45" s="37" t="s">
        <v>44</v>
      </c>
      <c r="N45" s="37" t="s">
        <v>628</v>
      </c>
      <c r="O45" s="37" t="s">
        <v>527</v>
      </c>
    </row>
    <row r="46" spans="2:15">
      <c r="B46" s="47"/>
      <c r="C46" s="47"/>
      <c r="D46" s="37" t="s">
        <v>84</v>
      </c>
      <c r="E46" s="41">
        <v>0.1</v>
      </c>
      <c r="F46" s="42"/>
      <c r="G46" s="42"/>
      <c r="H46" s="42"/>
      <c r="I46" s="43"/>
      <c r="J46" s="35">
        <v>2001</v>
      </c>
      <c r="K46" s="36" t="s">
        <v>27</v>
      </c>
      <c r="L46" s="37" t="s">
        <v>58</v>
      </c>
      <c r="M46" s="37"/>
      <c r="N46" s="37"/>
      <c r="O46" s="37"/>
    </row>
    <row r="47" spans="2:15">
      <c r="B47" s="47"/>
      <c r="C47" s="47" t="s">
        <v>91</v>
      </c>
      <c r="D47" s="37" t="s">
        <v>92</v>
      </c>
      <c r="E47" s="41">
        <v>0.3</v>
      </c>
      <c r="F47" s="42"/>
      <c r="G47" s="42"/>
      <c r="H47" s="42"/>
      <c r="I47" s="43"/>
      <c r="J47" s="35">
        <v>2005</v>
      </c>
      <c r="K47" s="36" t="s">
        <v>79</v>
      </c>
      <c r="L47" s="37" t="s">
        <v>526</v>
      </c>
      <c r="M47" s="37" t="s">
        <v>21</v>
      </c>
      <c r="N47" s="37"/>
      <c r="O47" s="37" t="s">
        <v>527</v>
      </c>
    </row>
    <row r="48" spans="2:15">
      <c r="B48" s="47"/>
      <c r="C48" s="47"/>
      <c r="D48" s="37" t="s">
        <v>93</v>
      </c>
      <c r="E48" s="41">
        <v>0.03</v>
      </c>
      <c r="F48" s="42"/>
      <c r="G48" s="42"/>
      <c r="H48" s="42">
        <v>0.06</v>
      </c>
      <c r="I48" s="43">
        <v>0.01</v>
      </c>
      <c r="J48" s="35">
        <v>2015</v>
      </c>
      <c r="K48" s="36" t="s">
        <v>94</v>
      </c>
      <c r="L48" s="37" t="s">
        <v>24</v>
      </c>
      <c r="M48" s="37" t="s">
        <v>21</v>
      </c>
      <c r="N48" s="37"/>
      <c r="O48" s="37" t="s">
        <v>616</v>
      </c>
    </row>
    <row r="49" spans="2:15">
      <c r="B49" s="47"/>
      <c r="C49" s="47"/>
      <c r="D49" s="37" t="s">
        <v>93</v>
      </c>
      <c r="E49" s="41">
        <v>0.04</v>
      </c>
      <c r="F49" s="42"/>
      <c r="G49" s="42"/>
      <c r="H49" s="42">
        <v>0.06</v>
      </c>
      <c r="I49" s="43">
        <v>0.01</v>
      </c>
      <c r="J49" s="35">
        <v>2015</v>
      </c>
      <c r="K49" s="36" t="s">
        <v>27</v>
      </c>
      <c r="L49" s="37" t="s">
        <v>24</v>
      </c>
      <c r="M49" s="37" t="s">
        <v>21</v>
      </c>
      <c r="N49" s="37"/>
      <c r="O49" s="37" t="s">
        <v>616</v>
      </c>
    </row>
    <row r="50" spans="2:15">
      <c r="B50" s="47"/>
      <c r="C50" s="47"/>
      <c r="D50" s="37" t="s">
        <v>93</v>
      </c>
      <c r="E50" s="41">
        <v>0</v>
      </c>
      <c r="F50" s="42"/>
      <c r="G50" s="42"/>
      <c r="H50" s="42">
        <v>0</v>
      </c>
      <c r="I50" s="43">
        <v>0</v>
      </c>
      <c r="J50" s="35">
        <v>2010</v>
      </c>
      <c r="K50" s="36" t="s">
        <v>94</v>
      </c>
      <c r="L50" s="37" t="s">
        <v>24</v>
      </c>
      <c r="M50" s="37" t="s">
        <v>21</v>
      </c>
      <c r="N50" s="37"/>
      <c r="O50" s="37" t="s">
        <v>616</v>
      </c>
    </row>
    <row r="51" spans="2:15">
      <c r="B51" s="47"/>
      <c r="C51" s="47"/>
      <c r="D51" s="37" t="s">
        <v>93</v>
      </c>
      <c r="E51" s="41">
        <v>0.09</v>
      </c>
      <c r="F51" s="42"/>
      <c r="G51" s="42"/>
      <c r="H51" s="42">
        <v>0</v>
      </c>
      <c r="I51" s="43">
        <v>0.19</v>
      </c>
      <c r="J51" s="35">
        <v>2006</v>
      </c>
      <c r="K51" s="36" t="s">
        <v>94</v>
      </c>
      <c r="L51" s="37" t="s">
        <v>38</v>
      </c>
      <c r="M51" s="37" t="s">
        <v>51</v>
      </c>
      <c r="N51" s="37"/>
      <c r="O51" s="37" t="s">
        <v>616</v>
      </c>
    </row>
    <row r="52" spans="2:15">
      <c r="B52" s="47"/>
      <c r="C52" s="47"/>
      <c r="D52" s="37" t="s">
        <v>95</v>
      </c>
      <c r="E52" s="41">
        <v>0.11</v>
      </c>
      <c r="F52" s="42"/>
      <c r="G52" s="42"/>
      <c r="H52" s="42"/>
      <c r="I52" s="43"/>
      <c r="J52" s="35">
        <v>2005</v>
      </c>
      <c r="K52" s="36" t="s">
        <v>27</v>
      </c>
      <c r="L52" s="37" t="s">
        <v>61</v>
      </c>
      <c r="M52" s="37" t="s">
        <v>21</v>
      </c>
      <c r="N52" s="37" t="s">
        <v>22</v>
      </c>
      <c r="O52" s="37"/>
    </row>
    <row r="53" spans="2:15">
      <c r="B53" s="47"/>
      <c r="C53" s="47"/>
      <c r="D53" s="37" t="s">
        <v>96</v>
      </c>
      <c r="E53" s="41">
        <v>0.04</v>
      </c>
      <c r="F53" s="42"/>
      <c r="G53" s="42"/>
      <c r="H53" s="42"/>
      <c r="I53" s="43"/>
      <c r="J53" s="35">
        <v>2005</v>
      </c>
      <c r="K53" s="36" t="s">
        <v>19</v>
      </c>
      <c r="L53" s="37" t="s">
        <v>24</v>
      </c>
      <c r="M53" s="37"/>
      <c r="N53" s="37"/>
      <c r="O53" s="37" t="s">
        <v>527</v>
      </c>
    </row>
    <row r="54" spans="2:15">
      <c r="B54" s="47"/>
      <c r="C54" s="47"/>
      <c r="D54" s="37" t="s">
        <v>99</v>
      </c>
      <c r="E54" s="41">
        <v>0.15</v>
      </c>
      <c r="F54" s="42"/>
      <c r="G54" s="42"/>
      <c r="H54" s="42"/>
      <c r="I54" s="43"/>
      <c r="J54" s="35">
        <v>2005</v>
      </c>
      <c r="K54" s="36" t="s">
        <v>27</v>
      </c>
      <c r="L54" s="37" t="s">
        <v>61</v>
      </c>
      <c r="M54" s="37" t="s">
        <v>21</v>
      </c>
      <c r="N54" s="37" t="s">
        <v>22</v>
      </c>
      <c r="O54" s="37" t="s">
        <v>527</v>
      </c>
    </row>
    <row r="55" spans="2:15">
      <c r="B55" s="47"/>
      <c r="C55" s="47"/>
      <c r="D55" s="37" t="s">
        <v>100</v>
      </c>
      <c r="E55" s="41">
        <v>0.02</v>
      </c>
      <c r="F55" s="42"/>
      <c r="G55" s="42"/>
      <c r="H55" s="42"/>
      <c r="I55" s="43"/>
      <c r="J55" s="35">
        <v>2006</v>
      </c>
      <c r="K55" s="36" t="s">
        <v>79</v>
      </c>
      <c r="L55" s="37" t="s">
        <v>526</v>
      </c>
      <c r="M55" s="37" t="s">
        <v>21</v>
      </c>
      <c r="N55" s="37"/>
      <c r="O55" s="37" t="s">
        <v>527</v>
      </c>
    </row>
    <row r="56" spans="2:15">
      <c r="B56" s="47"/>
      <c r="C56" s="47" t="s">
        <v>104</v>
      </c>
      <c r="D56" s="37" t="s">
        <v>105</v>
      </c>
      <c r="E56" s="41">
        <v>0.15</v>
      </c>
      <c r="F56" s="42">
        <v>0.1</v>
      </c>
      <c r="G56" s="42">
        <v>0.2</v>
      </c>
      <c r="H56" s="42"/>
      <c r="I56" s="43"/>
      <c r="J56" s="35">
        <v>2009</v>
      </c>
      <c r="K56" s="36" t="s">
        <v>106</v>
      </c>
      <c r="L56" s="37" t="s">
        <v>36</v>
      </c>
      <c r="M56" s="37" t="s">
        <v>21</v>
      </c>
      <c r="N56" s="37"/>
      <c r="O56" s="37"/>
    </row>
    <row r="57" spans="2:15">
      <c r="B57" s="47"/>
      <c r="C57" s="47"/>
      <c r="D57" s="37" t="s">
        <v>107</v>
      </c>
      <c r="E57" s="41">
        <v>8.2594500000000001E-2</v>
      </c>
      <c r="F57" s="42">
        <v>4.9592312999999999E-2</v>
      </c>
      <c r="G57" s="42">
        <v>0.13752842600000001</v>
      </c>
      <c r="H57" s="42">
        <v>0.102459947</v>
      </c>
      <c r="I57" s="43">
        <v>6.3222177000000004E-2</v>
      </c>
      <c r="J57" s="35">
        <v>2023</v>
      </c>
      <c r="K57" s="36" t="s">
        <v>50</v>
      </c>
      <c r="L57" s="37" t="s">
        <v>36</v>
      </c>
      <c r="M57" s="37" t="s">
        <v>21</v>
      </c>
      <c r="N57" s="37"/>
      <c r="O57" s="37" t="s">
        <v>616</v>
      </c>
    </row>
    <row r="58" spans="2:15">
      <c r="B58" s="47" t="s">
        <v>629</v>
      </c>
      <c r="C58" s="47"/>
      <c r="D58" s="37" t="s">
        <v>110</v>
      </c>
      <c r="E58" s="41">
        <v>0.1</v>
      </c>
      <c r="F58" s="42"/>
      <c r="G58" s="42"/>
      <c r="H58" s="42">
        <v>0.1</v>
      </c>
      <c r="I58" s="43"/>
      <c r="J58" s="35">
        <v>2016</v>
      </c>
      <c r="K58" s="36" t="s">
        <v>79</v>
      </c>
      <c r="L58" s="37" t="s">
        <v>36</v>
      </c>
      <c r="M58" s="37" t="s">
        <v>21</v>
      </c>
      <c r="N58" s="37"/>
      <c r="O58" s="37" t="s">
        <v>630</v>
      </c>
    </row>
    <row r="59" spans="2:15">
      <c r="B59" s="47"/>
      <c r="C59" s="47"/>
      <c r="D59" s="37" t="s">
        <v>110</v>
      </c>
      <c r="E59" s="41">
        <v>0.18</v>
      </c>
      <c r="F59" s="42">
        <v>0.1</v>
      </c>
      <c r="G59" s="42">
        <v>0.26</v>
      </c>
      <c r="H59" s="42"/>
      <c r="I59" s="43"/>
      <c r="J59" s="35">
        <v>2011</v>
      </c>
      <c r="K59" s="36" t="s">
        <v>79</v>
      </c>
      <c r="L59" s="37" t="s">
        <v>36</v>
      </c>
      <c r="M59" s="37" t="s">
        <v>21</v>
      </c>
      <c r="N59" s="37"/>
      <c r="O59" s="37"/>
    </row>
    <row r="60" spans="2:15">
      <c r="B60" s="47"/>
      <c r="C60" s="47"/>
      <c r="D60" s="37" t="s">
        <v>110</v>
      </c>
      <c r="E60" s="41">
        <v>0.04</v>
      </c>
      <c r="F60" s="42"/>
      <c r="G60" s="42"/>
      <c r="H60" s="42"/>
      <c r="I60" s="43"/>
      <c r="J60" s="35">
        <v>2008</v>
      </c>
      <c r="K60" s="36" t="s">
        <v>79</v>
      </c>
      <c r="L60" s="37" t="s">
        <v>38</v>
      </c>
      <c r="M60" s="37" t="s">
        <v>21</v>
      </c>
      <c r="N60" s="37"/>
      <c r="O60" s="37"/>
    </row>
    <row r="61" spans="2:15">
      <c r="B61" s="47"/>
      <c r="C61" s="47"/>
      <c r="D61" s="37" t="s">
        <v>533</v>
      </c>
      <c r="E61" s="41">
        <v>0.93700000000000006</v>
      </c>
      <c r="F61" s="42">
        <v>0.75700000000000001</v>
      </c>
      <c r="G61" s="42">
        <v>1.117</v>
      </c>
      <c r="H61" s="42"/>
      <c r="I61" s="43"/>
      <c r="J61" s="35">
        <v>2020</v>
      </c>
      <c r="K61" s="36" t="s">
        <v>27</v>
      </c>
      <c r="L61" s="37" t="s">
        <v>61</v>
      </c>
      <c r="M61" s="37" t="s">
        <v>70</v>
      </c>
      <c r="N61" s="37"/>
      <c r="O61" s="37" t="s">
        <v>631</v>
      </c>
    </row>
    <row r="62" spans="2:15">
      <c r="B62" s="47"/>
      <c r="C62" s="47"/>
      <c r="D62" s="37" t="s">
        <v>113</v>
      </c>
      <c r="E62" s="41">
        <v>0.91</v>
      </c>
      <c r="F62" s="42">
        <v>0.74</v>
      </c>
      <c r="G62" s="42">
        <v>1.08</v>
      </c>
      <c r="H62" s="42"/>
      <c r="I62" s="43"/>
      <c r="J62" s="35">
        <v>2018</v>
      </c>
      <c r="K62" s="36" t="s">
        <v>27</v>
      </c>
      <c r="L62" s="37" t="s">
        <v>61</v>
      </c>
      <c r="M62" s="37" t="s">
        <v>70</v>
      </c>
      <c r="N62" s="37"/>
      <c r="O62" s="37" t="s">
        <v>631</v>
      </c>
    </row>
    <row r="63" spans="2:15">
      <c r="B63" s="47"/>
      <c r="C63" s="47"/>
      <c r="D63" s="37" t="s">
        <v>113</v>
      </c>
      <c r="E63" s="41">
        <v>0.97399999999999998</v>
      </c>
      <c r="F63" s="42">
        <v>0.78700000000000003</v>
      </c>
      <c r="G63" s="42">
        <v>1.161</v>
      </c>
      <c r="H63" s="42"/>
      <c r="I63" s="43"/>
      <c r="J63" s="35">
        <v>2017</v>
      </c>
      <c r="K63" s="36" t="s">
        <v>27</v>
      </c>
      <c r="L63" s="37" t="s">
        <v>61</v>
      </c>
      <c r="M63" s="37" t="s">
        <v>70</v>
      </c>
      <c r="N63" s="37"/>
      <c r="O63" s="37" t="s">
        <v>631</v>
      </c>
    </row>
    <row r="64" spans="2:15">
      <c r="B64" s="47"/>
      <c r="C64" s="47"/>
      <c r="D64" s="37" t="s">
        <v>113</v>
      </c>
      <c r="E64" s="41">
        <v>1.04</v>
      </c>
      <c r="F64" s="42">
        <v>0.84099999999999997</v>
      </c>
      <c r="G64" s="42">
        <v>1.24</v>
      </c>
      <c r="H64" s="42"/>
      <c r="I64" s="43"/>
      <c r="J64" s="35">
        <v>2016</v>
      </c>
      <c r="K64" s="36" t="s">
        <v>27</v>
      </c>
      <c r="L64" s="37" t="s">
        <v>61</v>
      </c>
      <c r="M64" s="37" t="s">
        <v>70</v>
      </c>
      <c r="N64" s="37"/>
      <c r="O64" s="37" t="s">
        <v>631</v>
      </c>
    </row>
    <row r="65" spans="2:15">
      <c r="B65" s="47"/>
      <c r="C65" s="47"/>
      <c r="D65" s="37" t="s">
        <v>113</v>
      </c>
      <c r="E65" s="41">
        <v>0.93100000000000005</v>
      </c>
      <c r="F65" s="42">
        <v>0.753</v>
      </c>
      <c r="G65" s="42">
        <v>1.1100000000000001</v>
      </c>
      <c r="H65" s="42"/>
      <c r="I65" s="43"/>
      <c r="J65" s="35">
        <v>2015</v>
      </c>
      <c r="K65" s="36" t="s">
        <v>27</v>
      </c>
      <c r="L65" s="37" t="s">
        <v>61</v>
      </c>
      <c r="M65" s="37" t="s">
        <v>70</v>
      </c>
      <c r="N65" s="37"/>
      <c r="O65" s="37" t="s">
        <v>631</v>
      </c>
    </row>
    <row r="66" spans="2:15">
      <c r="B66" s="47"/>
      <c r="C66" s="47"/>
      <c r="D66" s="37" t="s">
        <v>113</v>
      </c>
      <c r="E66" s="41">
        <v>0.75600000000000001</v>
      </c>
      <c r="F66" s="42">
        <v>0.60599999999999998</v>
      </c>
      <c r="G66" s="42">
        <v>0.90500000000000003</v>
      </c>
      <c r="H66" s="42"/>
      <c r="I66" s="43"/>
      <c r="J66" s="35">
        <v>2013</v>
      </c>
      <c r="K66" s="36" t="s">
        <v>27</v>
      </c>
      <c r="L66" s="37" t="s">
        <v>61</v>
      </c>
      <c r="M66" s="37" t="s">
        <v>70</v>
      </c>
      <c r="N66" s="37"/>
      <c r="O66" s="37" t="s">
        <v>631</v>
      </c>
    </row>
    <row r="67" spans="2:15">
      <c r="B67" s="47"/>
      <c r="C67" s="47"/>
      <c r="D67" s="37" t="s">
        <v>113</v>
      </c>
      <c r="E67" s="41">
        <v>0.73</v>
      </c>
      <c r="F67" s="42">
        <v>0.58799999999999997</v>
      </c>
      <c r="G67" s="42">
        <v>0.872</v>
      </c>
      <c r="H67" s="42"/>
      <c r="I67" s="43"/>
      <c r="J67" s="35">
        <v>2010</v>
      </c>
      <c r="K67" s="36" t="s">
        <v>27</v>
      </c>
      <c r="L67" s="37" t="s">
        <v>61</v>
      </c>
      <c r="M67" s="37" t="s">
        <v>70</v>
      </c>
      <c r="N67" s="37"/>
      <c r="O67" s="37" t="s">
        <v>631</v>
      </c>
    </row>
    <row r="68" spans="2:15">
      <c r="B68" s="47"/>
      <c r="C68" s="47" t="s">
        <v>117</v>
      </c>
      <c r="D68" s="37" t="s">
        <v>118</v>
      </c>
      <c r="E68" s="41">
        <v>7.0000000000000007E-2</v>
      </c>
      <c r="F68" s="42">
        <v>0.05</v>
      </c>
      <c r="G68" s="42">
        <v>0.09</v>
      </c>
      <c r="H68" s="42"/>
      <c r="I68" s="43"/>
      <c r="J68" s="35">
        <v>2010</v>
      </c>
      <c r="K68" s="36" t="s">
        <v>27</v>
      </c>
      <c r="L68" s="37" t="s">
        <v>61</v>
      </c>
      <c r="M68" s="37"/>
      <c r="N68" s="37" t="s">
        <v>22</v>
      </c>
      <c r="O68" s="37"/>
    </row>
    <row r="69" spans="2:15">
      <c r="B69" s="47"/>
      <c r="C69" s="47"/>
      <c r="D69" s="37" t="s">
        <v>118</v>
      </c>
      <c r="E69" s="41">
        <v>0.13</v>
      </c>
      <c r="F69" s="42">
        <v>0.09</v>
      </c>
      <c r="G69" s="42">
        <v>0.17</v>
      </c>
      <c r="H69" s="42"/>
      <c r="I69" s="43"/>
      <c r="J69" s="35">
        <v>2007</v>
      </c>
      <c r="K69" s="36" t="s">
        <v>27</v>
      </c>
      <c r="L69" s="37" t="s">
        <v>58</v>
      </c>
      <c r="M69" s="37"/>
      <c r="N69" s="37" t="s">
        <v>87</v>
      </c>
      <c r="O69" s="37"/>
    </row>
    <row r="70" spans="2:15">
      <c r="B70" s="47"/>
      <c r="C70" s="47"/>
      <c r="D70" s="37" t="s">
        <v>120</v>
      </c>
      <c r="E70" s="41">
        <v>7.0000000000000007E-2</v>
      </c>
      <c r="F70" s="42"/>
      <c r="G70" s="42"/>
      <c r="H70" s="42"/>
      <c r="I70" s="43"/>
      <c r="J70" s="35">
        <v>2004</v>
      </c>
      <c r="K70" s="36" t="s">
        <v>27</v>
      </c>
      <c r="L70" s="37" t="s">
        <v>61</v>
      </c>
      <c r="M70" s="37"/>
      <c r="N70" s="37"/>
      <c r="O70" s="37"/>
    </row>
    <row r="71" spans="2:15">
      <c r="B71" s="47"/>
      <c r="C71" s="47"/>
      <c r="D71" s="37" t="s">
        <v>124</v>
      </c>
      <c r="E71" s="41">
        <v>0.2</v>
      </c>
      <c r="F71" s="42"/>
      <c r="G71" s="42"/>
      <c r="H71" s="42">
        <v>0.1</v>
      </c>
      <c r="I71" s="43">
        <v>0.3</v>
      </c>
      <c r="J71" s="35">
        <v>2012</v>
      </c>
      <c r="K71" s="36" t="s">
        <v>27</v>
      </c>
      <c r="L71" s="37" t="s">
        <v>36</v>
      </c>
      <c r="M71" s="37" t="s">
        <v>21</v>
      </c>
      <c r="N71" s="37"/>
      <c r="O71" s="37" t="s">
        <v>616</v>
      </c>
    </row>
    <row r="72" spans="2:15">
      <c r="B72" s="47"/>
      <c r="C72" s="47"/>
      <c r="D72" s="37" t="s">
        <v>126</v>
      </c>
      <c r="E72" s="41">
        <v>0</v>
      </c>
      <c r="F72" s="42"/>
      <c r="G72" s="42"/>
      <c r="H72" s="42">
        <v>0</v>
      </c>
      <c r="I72" s="43">
        <v>0</v>
      </c>
      <c r="J72" s="35">
        <v>2018</v>
      </c>
      <c r="K72" s="36" t="s">
        <v>27</v>
      </c>
      <c r="L72" s="37" t="s">
        <v>24</v>
      </c>
      <c r="M72" s="37" t="s">
        <v>21</v>
      </c>
      <c r="N72" s="37"/>
      <c r="O72" s="37" t="s">
        <v>616</v>
      </c>
    </row>
    <row r="73" spans="2:15">
      <c r="B73" s="47"/>
      <c r="C73" s="47"/>
      <c r="D73" s="37" t="s">
        <v>126</v>
      </c>
      <c r="E73" s="41">
        <v>0</v>
      </c>
      <c r="F73" s="42"/>
      <c r="G73" s="42"/>
      <c r="H73" s="42">
        <v>0</v>
      </c>
      <c r="I73" s="43">
        <v>0</v>
      </c>
      <c r="J73" s="35">
        <v>2016</v>
      </c>
      <c r="K73" s="36" t="s">
        <v>27</v>
      </c>
      <c r="L73" s="37" t="s">
        <v>24</v>
      </c>
      <c r="M73" s="37" t="s">
        <v>21</v>
      </c>
      <c r="N73" s="37"/>
      <c r="O73" s="37"/>
    </row>
    <row r="74" spans="2:15">
      <c r="B74" s="47"/>
      <c r="C74" s="47"/>
      <c r="D74" s="37" t="s">
        <v>126</v>
      </c>
      <c r="E74" s="41">
        <v>0.02</v>
      </c>
      <c r="F74" s="42"/>
      <c r="G74" s="42"/>
      <c r="H74" s="42">
        <v>0.05</v>
      </c>
      <c r="I74" s="43">
        <v>0</v>
      </c>
      <c r="J74" s="35">
        <v>2014</v>
      </c>
      <c r="K74" s="36" t="s">
        <v>27</v>
      </c>
      <c r="L74" s="37" t="s">
        <v>24</v>
      </c>
      <c r="M74" s="37" t="s">
        <v>21</v>
      </c>
      <c r="N74" s="37"/>
      <c r="O74" s="37"/>
    </row>
    <row r="75" spans="2:15">
      <c r="B75" s="47"/>
      <c r="C75" s="47"/>
      <c r="D75" s="37" t="s">
        <v>126</v>
      </c>
      <c r="E75" s="41">
        <v>0.02</v>
      </c>
      <c r="F75" s="42"/>
      <c r="G75" s="42"/>
      <c r="H75" s="42"/>
      <c r="I75" s="43"/>
      <c r="J75" s="35">
        <v>2010</v>
      </c>
      <c r="K75" s="36" t="s">
        <v>27</v>
      </c>
      <c r="L75" s="37" t="s">
        <v>24</v>
      </c>
      <c r="M75" s="37" t="s">
        <v>21</v>
      </c>
      <c r="N75" s="37"/>
      <c r="O75" s="37"/>
    </row>
    <row r="76" spans="2:15">
      <c r="B76" s="47"/>
      <c r="C76" s="47"/>
      <c r="D76" s="37" t="s">
        <v>126</v>
      </c>
      <c r="E76" s="41">
        <v>0.1</v>
      </c>
      <c r="F76" s="42"/>
      <c r="G76" s="42"/>
      <c r="H76" s="42"/>
      <c r="I76" s="43"/>
      <c r="J76" s="35">
        <v>2008</v>
      </c>
      <c r="K76" s="36" t="s">
        <v>27</v>
      </c>
      <c r="L76" s="37" t="s">
        <v>51</v>
      </c>
      <c r="M76" s="37" t="s">
        <v>51</v>
      </c>
      <c r="N76" s="37"/>
      <c r="O76" s="37"/>
    </row>
    <row r="77" spans="2:15">
      <c r="B77" s="47"/>
      <c r="C77" s="47"/>
      <c r="D77" s="37" t="s">
        <v>129</v>
      </c>
      <c r="E77" s="41">
        <v>0.02</v>
      </c>
      <c r="F77" s="42">
        <v>0.01</v>
      </c>
      <c r="G77" s="42">
        <v>0.03</v>
      </c>
      <c r="H77" s="42">
        <v>0.02</v>
      </c>
      <c r="I77" s="43">
        <v>0.01</v>
      </c>
      <c r="J77" s="35">
        <v>2019</v>
      </c>
      <c r="K77" s="36" t="s">
        <v>79</v>
      </c>
      <c r="L77" s="37" t="s">
        <v>36</v>
      </c>
      <c r="M77" s="37" t="s">
        <v>21</v>
      </c>
      <c r="N77" s="37"/>
      <c r="O77" s="37" t="s">
        <v>616</v>
      </c>
    </row>
    <row r="78" spans="2:15">
      <c r="B78" s="47"/>
      <c r="C78" s="47"/>
      <c r="D78" s="37" t="s">
        <v>129</v>
      </c>
      <c r="E78" s="41">
        <v>0.03</v>
      </c>
      <c r="F78" s="42"/>
      <c r="G78" s="42"/>
      <c r="H78" s="42"/>
      <c r="I78" s="43"/>
      <c r="J78" s="35">
        <v>2013</v>
      </c>
      <c r="K78" s="36" t="s">
        <v>79</v>
      </c>
      <c r="L78" s="37" t="s">
        <v>36</v>
      </c>
      <c r="M78" s="37" t="s">
        <v>21</v>
      </c>
      <c r="N78" s="37"/>
      <c r="O78" s="37" t="s">
        <v>527</v>
      </c>
    </row>
    <row r="79" spans="2:15">
      <c r="B79" s="47"/>
      <c r="C79" s="47"/>
      <c r="D79" s="37" t="s">
        <v>129</v>
      </c>
      <c r="E79" s="41">
        <v>0.02</v>
      </c>
      <c r="F79" s="42"/>
      <c r="G79" s="42"/>
      <c r="H79" s="42"/>
      <c r="I79" s="43"/>
      <c r="J79" s="35">
        <v>2008</v>
      </c>
      <c r="K79" s="36" t="s">
        <v>159</v>
      </c>
      <c r="L79" s="37" t="s">
        <v>24</v>
      </c>
      <c r="M79" s="37" t="s">
        <v>21</v>
      </c>
      <c r="N79" s="37"/>
      <c r="O79" s="37"/>
    </row>
    <row r="80" spans="2:15">
      <c r="B80" s="47"/>
      <c r="C80" s="47"/>
      <c r="D80" s="37" t="s">
        <v>129</v>
      </c>
      <c r="E80" s="41">
        <v>0.02</v>
      </c>
      <c r="F80" s="42"/>
      <c r="G80" s="42"/>
      <c r="H80" s="42"/>
      <c r="I80" s="43"/>
      <c r="J80" s="35">
        <v>2004</v>
      </c>
      <c r="K80" s="36" t="s">
        <v>27</v>
      </c>
      <c r="L80" s="37" t="s">
        <v>58</v>
      </c>
      <c r="M80" s="37"/>
      <c r="N80" s="37"/>
      <c r="O80" s="37"/>
    </row>
    <row r="81" spans="2:15">
      <c r="B81" s="47"/>
      <c r="C81" s="47"/>
      <c r="D81" s="37" t="s">
        <v>131</v>
      </c>
      <c r="E81" s="41">
        <v>0.01</v>
      </c>
      <c r="F81" s="42"/>
      <c r="G81" s="42"/>
      <c r="H81" s="42"/>
      <c r="I81" s="43"/>
      <c r="J81" s="35">
        <v>2013</v>
      </c>
      <c r="K81" s="36" t="s">
        <v>79</v>
      </c>
      <c r="L81" s="37" t="s">
        <v>24</v>
      </c>
      <c r="M81" s="37" t="s">
        <v>21</v>
      </c>
      <c r="N81" s="37"/>
      <c r="O81" s="37" t="s">
        <v>616</v>
      </c>
    </row>
    <row r="82" spans="2:15">
      <c r="B82" s="47"/>
      <c r="C82" s="47"/>
      <c r="D82" s="37" t="s">
        <v>131</v>
      </c>
      <c r="E82" s="41">
        <v>0.03</v>
      </c>
      <c r="F82" s="42"/>
      <c r="G82" s="42"/>
      <c r="H82" s="42">
        <v>0.01</v>
      </c>
      <c r="I82" s="43"/>
      <c r="J82" s="35">
        <v>2013</v>
      </c>
      <c r="K82" s="36" t="s">
        <v>79</v>
      </c>
      <c r="L82" s="37" t="s">
        <v>24</v>
      </c>
      <c r="M82" s="37" t="s">
        <v>21</v>
      </c>
      <c r="N82" s="37"/>
      <c r="O82" s="37" t="s">
        <v>614</v>
      </c>
    </row>
    <row r="83" spans="2:15">
      <c r="B83" s="47"/>
      <c r="C83" s="47"/>
      <c r="D83" s="37" t="s">
        <v>131</v>
      </c>
      <c r="E83" s="41">
        <v>7.0000000000000007E-2</v>
      </c>
      <c r="F83" s="42">
        <v>0.06</v>
      </c>
      <c r="G83" s="42">
        <v>0.08</v>
      </c>
      <c r="H83" s="42"/>
      <c r="I83" s="43"/>
      <c r="J83" s="35">
        <v>2007</v>
      </c>
      <c r="K83" s="36" t="s">
        <v>79</v>
      </c>
      <c r="L83" s="37" t="s">
        <v>24</v>
      </c>
      <c r="M83" s="37" t="s">
        <v>21</v>
      </c>
      <c r="N83" s="37"/>
      <c r="O83" s="37"/>
    </row>
    <row r="84" spans="2:15">
      <c r="B84" s="47"/>
      <c r="C84" s="47"/>
      <c r="D84" s="37" t="s">
        <v>131</v>
      </c>
      <c r="E84" s="41">
        <v>0.12</v>
      </c>
      <c r="F84" s="42"/>
      <c r="G84" s="42"/>
      <c r="H84" s="42"/>
      <c r="I84" s="43"/>
      <c r="J84" s="35">
        <v>2005</v>
      </c>
      <c r="K84" s="36" t="s">
        <v>27</v>
      </c>
      <c r="L84" s="37" t="s">
        <v>58</v>
      </c>
      <c r="M84" s="37"/>
      <c r="N84" s="37" t="s">
        <v>87</v>
      </c>
      <c r="O84" s="37"/>
    </row>
    <row r="85" spans="2:15">
      <c r="B85" s="47"/>
      <c r="C85" s="47"/>
      <c r="D85" s="37" t="s">
        <v>133</v>
      </c>
      <c r="E85" s="41">
        <v>0.03</v>
      </c>
      <c r="F85" s="42"/>
      <c r="G85" s="42"/>
      <c r="H85" s="42"/>
      <c r="I85" s="43"/>
      <c r="J85" s="35">
        <v>2003</v>
      </c>
      <c r="K85" s="36" t="s">
        <v>79</v>
      </c>
      <c r="L85" s="37" t="s">
        <v>24</v>
      </c>
      <c r="M85" s="37" t="s">
        <v>21</v>
      </c>
      <c r="N85" s="37" t="s">
        <v>22</v>
      </c>
      <c r="O85" s="37" t="s">
        <v>527</v>
      </c>
    </row>
    <row r="86" spans="2:15">
      <c r="B86" s="47"/>
      <c r="C86" s="47"/>
      <c r="D86" s="37" t="s">
        <v>134</v>
      </c>
      <c r="E86" s="41">
        <v>0.18</v>
      </c>
      <c r="F86" s="42"/>
      <c r="G86" s="42"/>
      <c r="H86" s="42"/>
      <c r="I86" s="43"/>
      <c r="J86" s="35">
        <v>2005</v>
      </c>
      <c r="K86" s="36" t="s">
        <v>159</v>
      </c>
      <c r="L86" s="37" t="s">
        <v>61</v>
      </c>
      <c r="M86" s="37"/>
      <c r="N86" s="37"/>
      <c r="O86" s="37" t="s">
        <v>527</v>
      </c>
    </row>
    <row r="87" spans="2:15">
      <c r="B87" s="47"/>
      <c r="C87" s="47"/>
      <c r="D87" s="37" t="s">
        <v>137</v>
      </c>
      <c r="E87" s="41">
        <v>0.4</v>
      </c>
      <c r="F87" s="42"/>
      <c r="G87" s="42"/>
      <c r="H87" s="42"/>
      <c r="I87" s="43"/>
      <c r="J87" s="35">
        <v>2018</v>
      </c>
      <c r="K87" s="36" t="s">
        <v>202</v>
      </c>
      <c r="L87" s="37" t="s">
        <v>632</v>
      </c>
      <c r="M87" s="37" t="s">
        <v>228</v>
      </c>
      <c r="N87" s="37"/>
      <c r="O87" s="37" t="s">
        <v>633</v>
      </c>
    </row>
    <row r="88" spans="2:15">
      <c r="B88" s="47"/>
      <c r="C88" s="47"/>
      <c r="D88" s="37" t="s">
        <v>137</v>
      </c>
      <c r="E88" s="41">
        <v>0.06</v>
      </c>
      <c r="F88" s="42">
        <v>0.02</v>
      </c>
      <c r="G88" s="42">
        <v>0.1</v>
      </c>
      <c r="H88" s="42"/>
      <c r="I88" s="43"/>
      <c r="J88" s="35">
        <v>2011</v>
      </c>
      <c r="K88" s="36" t="s">
        <v>27</v>
      </c>
      <c r="L88" s="37" t="s">
        <v>61</v>
      </c>
      <c r="M88" s="37" t="s">
        <v>21</v>
      </c>
      <c r="N88" s="37" t="s">
        <v>22</v>
      </c>
      <c r="O88" s="37"/>
    </row>
    <row r="89" spans="2:15">
      <c r="B89" s="47"/>
      <c r="C89" s="47"/>
      <c r="D89" s="37" t="s">
        <v>137</v>
      </c>
      <c r="E89" s="41">
        <v>0.1</v>
      </c>
      <c r="F89" s="42"/>
      <c r="G89" s="42"/>
      <c r="H89" s="42"/>
      <c r="I89" s="43"/>
      <c r="J89" s="35">
        <v>2006</v>
      </c>
      <c r="K89" s="36" t="s">
        <v>27</v>
      </c>
      <c r="L89" s="37" t="s">
        <v>61</v>
      </c>
      <c r="M89" s="37" t="s">
        <v>51</v>
      </c>
      <c r="N89" s="37" t="s">
        <v>87</v>
      </c>
      <c r="O89" s="37"/>
    </row>
    <row r="90" spans="2:15">
      <c r="B90" s="47"/>
      <c r="C90" s="47"/>
      <c r="D90" s="37" t="s">
        <v>138</v>
      </c>
      <c r="E90" s="41">
        <v>0.46</v>
      </c>
      <c r="F90" s="42"/>
      <c r="G90" s="42"/>
      <c r="H90" s="42">
        <v>0.73</v>
      </c>
      <c r="I90" s="43">
        <v>0.2</v>
      </c>
      <c r="J90" s="35">
        <v>2022</v>
      </c>
      <c r="K90" s="36" t="s">
        <v>79</v>
      </c>
      <c r="L90" s="37" t="s">
        <v>24</v>
      </c>
      <c r="M90" s="37" t="s">
        <v>21</v>
      </c>
      <c r="N90" s="37"/>
      <c r="O90" s="37" t="s">
        <v>616</v>
      </c>
    </row>
    <row r="91" spans="2:15">
      <c r="B91" s="47"/>
      <c r="C91" s="47"/>
      <c r="D91" s="37" t="s">
        <v>138</v>
      </c>
      <c r="E91" s="41">
        <v>0.03</v>
      </c>
      <c r="F91" s="42"/>
      <c r="G91" s="42"/>
      <c r="H91" s="42"/>
      <c r="I91" s="43"/>
      <c r="J91" s="35">
        <v>2011</v>
      </c>
      <c r="K91" s="36" t="s">
        <v>79</v>
      </c>
      <c r="L91" s="37" t="s">
        <v>24</v>
      </c>
      <c r="M91" s="37" t="s">
        <v>21</v>
      </c>
      <c r="N91" s="37"/>
      <c r="O91" s="37" t="s">
        <v>527</v>
      </c>
    </row>
    <row r="92" spans="2:15">
      <c r="B92" s="47"/>
      <c r="C92" s="47"/>
      <c r="D92" s="37" t="s">
        <v>138</v>
      </c>
      <c r="E92" s="41">
        <v>0.1</v>
      </c>
      <c r="F92" s="42"/>
      <c r="G92" s="42"/>
      <c r="H92" s="42"/>
      <c r="I92" s="43"/>
      <c r="J92" s="35">
        <v>2003</v>
      </c>
      <c r="K92" s="36" t="s">
        <v>27</v>
      </c>
      <c r="L92" s="37" t="s">
        <v>38</v>
      </c>
      <c r="M92" s="37" t="s">
        <v>74</v>
      </c>
      <c r="N92" s="37" t="s">
        <v>148</v>
      </c>
      <c r="O92" s="37"/>
    </row>
    <row r="93" spans="2:15">
      <c r="B93" s="47" t="s">
        <v>139</v>
      </c>
      <c r="C93" s="47" t="s">
        <v>140</v>
      </c>
      <c r="D93" s="37" t="s">
        <v>141</v>
      </c>
      <c r="E93" s="41">
        <v>0.2</v>
      </c>
      <c r="F93" s="42">
        <v>0.17</v>
      </c>
      <c r="G93" s="42">
        <v>0.24</v>
      </c>
      <c r="H93" s="42"/>
      <c r="I93" s="43"/>
      <c r="J93" s="35">
        <v>2007</v>
      </c>
      <c r="K93" s="36" t="s">
        <v>27</v>
      </c>
      <c r="L93" s="37" t="s">
        <v>36</v>
      </c>
      <c r="M93" s="37"/>
      <c r="N93" s="37"/>
      <c r="O93" s="37"/>
    </row>
    <row r="94" spans="2:15">
      <c r="B94" s="47"/>
      <c r="C94" s="47"/>
      <c r="D94" s="37" t="s">
        <v>142</v>
      </c>
      <c r="E94" s="41">
        <v>1.5</v>
      </c>
      <c r="F94" s="42">
        <v>1.28</v>
      </c>
      <c r="G94" s="42">
        <v>1.72</v>
      </c>
      <c r="H94" s="42"/>
      <c r="I94" s="43"/>
      <c r="J94" s="35">
        <v>2010</v>
      </c>
      <c r="K94" s="36" t="s">
        <v>27</v>
      </c>
      <c r="L94" s="37" t="s">
        <v>603</v>
      </c>
      <c r="M94" s="37" t="s">
        <v>228</v>
      </c>
      <c r="N94" s="37"/>
      <c r="O94" s="37" t="s">
        <v>604</v>
      </c>
    </row>
    <row r="95" spans="2:15">
      <c r="B95" s="47"/>
      <c r="C95" s="47"/>
      <c r="D95" s="37" t="s">
        <v>142</v>
      </c>
      <c r="E95" s="41">
        <v>0.2</v>
      </c>
      <c r="F95" s="42"/>
      <c r="G95" s="42"/>
      <c r="H95" s="42"/>
      <c r="I95" s="43"/>
      <c r="J95" s="35">
        <v>2008</v>
      </c>
      <c r="K95" s="36" t="s">
        <v>27</v>
      </c>
      <c r="L95" s="37" t="s">
        <v>38</v>
      </c>
      <c r="M95" s="37" t="s">
        <v>553</v>
      </c>
      <c r="N95" s="37"/>
      <c r="O95" s="37"/>
    </row>
    <row r="96" spans="2:15">
      <c r="B96" s="47"/>
      <c r="C96" s="47"/>
      <c r="D96" s="37" t="s">
        <v>143</v>
      </c>
      <c r="E96" s="41">
        <v>0.1</v>
      </c>
      <c r="F96" s="42">
        <v>0</v>
      </c>
      <c r="G96" s="42">
        <v>0.2</v>
      </c>
      <c r="H96" s="42">
        <v>0.2</v>
      </c>
      <c r="I96" s="43">
        <v>0</v>
      </c>
      <c r="J96" s="35">
        <v>2022</v>
      </c>
      <c r="K96" s="36" t="s">
        <v>144</v>
      </c>
      <c r="L96" s="37" t="s">
        <v>36</v>
      </c>
      <c r="M96" s="37" t="s">
        <v>21</v>
      </c>
      <c r="N96" s="37"/>
      <c r="O96" s="37" t="s">
        <v>616</v>
      </c>
    </row>
    <row r="97" spans="2:15">
      <c r="B97" s="47"/>
      <c r="C97" s="47"/>
      <c r="D97" s="37" t="s">
        <v>143</v>
      </c>
      <c r="E97" s="41">
        <v>0.72</v>
      </c>
      <c r="F97" s="42">
        <v>0.71</v>
      </c>
      <c r="G97" s="42">
        <v>0.74</v>
      </c>
      <c r="H97" s="42"/>
      <c r="I97" s="43"/>
      <c r="J97" s="35">
        <v>2010</v>
      </c>
      <c r="K97" s="36" t="s">
        <v>27</v>
      </c>
      <c r="L97" s="37" t="s">
        <v>634</v>
      </c>
      <c r="M97" s="37" t="s">
        <v>228</v>
      </c>
      <c r="N97" s="37"/>
      <c r="O97" s="37"/>
    </row>
    <row r="98" spans="2:15">
      <c r="B98" s="47"/>
      <c r="C98" s="47"/>
      <c r="D98" s="37" t="s">
        <v>143</v>
      </c>
      <c r="E98" s="41">
        <v>0.31</v>
      </c>
      <c r="F98" s="42"/>
      <c r="G98" s="42"/>
      <c r="H98" s="42"/>
      <c r="I98" s="43"/>
      <c r="J98" s="35">
        <v>2006</v>
      </c>
      <c r="K98" s="36" t="s">
        <v>27</v>
      </c>
      <c r="L98" s="37" t="s">
        <v>58</v>
      </c>
      <c r="M98" s="37" t="s">
        <v>228</v>
      </c>
      <c r="N98" s="37"/>
      <c r="O98" s="37"/>
    </row>
    <row r="99" spans="2:15">
      <c r="B99" s="47"/>
      <c r="C99" s="47"/>
      <c r="D99" s="37" t="s">
        <v>149</v>
      </c>
      <c r="E99" s="41">
        <v>1.03</v>
      </c>
      <c r="F99" s="42">
        <v>0.97</v>
      </c>
      <c r="G99" s="42">
        <v>1.08</v>
      </c>
      <c r="H99" s="42"/>
      <c r="I99" s="43"/>
      <c r="J99" s="35">
        <v>2015</v>
      </c>
      <c r="K99" s="36" t="s">
        <v>27</v>
      </c>
      <c r="L99" s="37" t="s">
        <v>61</v>
      </c>
      <c r="M99" s="37" t="s">
        <v>228</v>
      </c>
      <c r="N99" s="37" t="s">
        <v>635</v>
      </c>
      <c r="O99" s="37" t="s">
        <v>636</v>
      </c>
    </row>
    <row r="100" spans="2:15">
      <c r="B100" s="47"/>
      <c r="C100" s="47"/>
      <c r="D100" s="37" t="s">
        <v>149</v>
      </c>
      <c r="E100" s="41">
        <v>0.89</v>
      </c>
      <c r="F100" s="42"/>
      <c r="G100" s="42"/>
      <c r="H100" s="42"/>
      <c r="I100" s="43"/>
      <c r="J100" s="35">
        <v>2006</v>
      </c>
      <c r="K100" s="36" t="s">
        <v>27</v>
      </c>
      <c r="L100" s="37" t="s">
        <v>543</v>
      </c>
      <c r="M100" s="37" t="s">
        <v>228</v>
      </c>
      <c r="N100" s="37"/>
      <c r="O100" s="37"/>
    </row>
    <row r="101" spans="2:15">
      <c r="B101" s="47"/>
      <c r="C101" s="47"/>
      <c r="D101" s="37" t="s">
        <v>544</v>
      </c>
      <c r="E101" s="41">
        <v>0.89</v>
      </c>
      <c r="F101" s="42">
        <v>0.82</v>
      </c>
      <c r="G101" s="42">
        <v>0.96</v>
      </c>
      <c r="H101" s="42"/>
      <c r="I101" s="43"/>
      <c r="J101" s="35">
        <v>2015</v>
      </c>
      <c r="K101" s="36" t="s">
        <v>27</v>
      </c>
      <c r="L101" s="37" t="s">
        <v>61</v>
      </c>
      <c r="M101" s="37" t="s">
        <v>228</v>
      </c>
      <c r="N101" s="37" t="s">
        <v>635</v>
      </c>
      <c r="O101" s="37" t="s">
        <v>636</v>
      </c>
    </row>
    <row r="102" spans="2:15">
      <c r="B102" s="47"/>
      <c r="C102" s="47"/>
      <c r="D102" s="37" t="s">
        <v>544</v>
      </c>
      <c r="E102" s="41">
        <v>0.74</v>
      </c>
      <c r="F102" s="42"/>
      <c r="G102" s="42"/>
      <c r="H102" s="42"/>
      <c r="I102" s="43"/>
      <c r="J102" s="35">
        <v>2006</v>
      </c>
      <c r="K102" s="36" t="s">
        <v>27</v>
      </c>
      <c r="L102" s="37" t="s">
        <v>543</v>
      </c>
      <c r="M102" s="37" t="s">
        <v>228</v>
      </c>
      <c r="N102" s="37"/>
      <c r="O102" s="37"/>
    </row>
    <row r="103" spans="2:15">
      <c r="B103" s="47"/>
      <c r="C103" s="47"/>
      <c r="D103" s="37" t="s">
        <v>545</v>
      </c>
      <c r="E103" s="41">
        <v>0.52</v>
      </c>
      <c r="F103" s="42">
        <v>0.51</v>
      </c>
      <c r="G103" s="42">
        <v>0.52</v>
      </c>
      <c r="H103" s="42"/>
      <c r="I103" s="43"/>
      <c r="J103" s="35">
        <v>2015</v>
      </c>
      <c r="K103" s="36" t="s">
        <v>27</v>
      </c>
      <c r="L103" s="37" t="s">
        <v>61</v>
      </c>
      <c r="M103" s="37" t="s">
        <v>228</v>
      </c>
      <c r="N103" s="37" t="s">
        <v>635</v>
      </c>
      <c r="O103" s="37" t="s">
        <v>636</v>
      </c>
    </row>
    <row r="104" spans="2:15">
      <c r="B104" s="47"/>
      <c r="C104" s="47"/>
      <c r="D104" s="37" t="s">
        <v>545</v>
      </c>
      <c r="E104" s="41">
        <v>0.54</v>
      </c>
      <c r="F104" s="42"/>
      <c r="G104" s="42"/>
      <c r="H104" s="42"/>
      <c r="I104" s="43"/>
      <c r="J104" s="35">
        <v>2006</v>
      </c>
      <c r="K104" s="36" t="s">
        <v>27</v>
      </c>
      <c r="L104" s="37" t="s">
        <v>543</v>
      </c>
      <c r="M104" s="37" t="s">
        <v>228</v>
      </c>
      <c r="N104" s="37"/>
      <c r="O104" s="37"/>
    </row>
    <row r="105" spans="2:15">
      <c r="B105" s="47"/>
      <c r="C105" s="47"/>
      <c r="D105" s="37" t="s">
        <v>546</v>
      </c>
      <c r="E105" s="41">
        <v>0.32</v>
      </c>
      <c r="F105" s="42"/>
      <c r="G105" s="42"/>
      <c r="H105" s="42"/>
      <c r="I105" s="43"/>
      <c r="J105" s="35">
        <v>2007</v>
      </c>
      <c r="K105" s="36" t="s">
        <v>27</v>
      </c>
      <c r="L105" s="37" t="s">
        <v>24</v>
      </c>
      <c r="M105" s="37"/>
      <c r="N105" s="37"/>
      <c r="O105" s="37"/>
    </row>
    <row r="106" spans="2:15">
      <c r="B106" s="47"/>
      <c r="C106" s="47"/>
      <c r="D106" s="37" t="s">
        <v>151</v>
      </c>
      <c r="E106" s="41">
        <v>0.93</v>
      </c>
      <c r="F106" s="42">
        <v>0.78</v>
      </c>
      <c r="G106" s="42">
        <v>1.08</v>
      </c>
      <c r="H106" s="42"/>
      <c r="I106" s="43"/>
      <c r="J106" s="35">
        <v>2015</v>
      </c>
      <c r="K106" s="36" t="s">
        <v>27</v>
      </c>
      <c r="L106" s="37" t="s">
        <v>61</v>
      </c>
      <c r="M106" s="37" t="s">
        <v>228</v>
      </c>
      <c r="N106" s="37" t="s">
        <v>635</v>
      </c>
      <c r="O106" s="37" t="s">
        <v>636</v>
      </c>
    </row>
    <row r="107" spans="2:15">
      <c r="B107" s="47"/>
      <c r="C107" s="47"/>
      <c r="D107" s="37" t="s">
        <v>151</v>
      </c>
      <c r="E107" s="41">
        <v>0.78</v>
      </c>
      <c r="F107" s="42"/>
      <c r="G107" s="42"/>
      <c r="H107" s="42"/>
      <c r="I107" s="43"/>
      <c r="J107" s="35">
        <v>2006</v>
      </c>
      <c r="K107" s="36" t="s">
        <v>27</v>
      </c>
      <c r="L107" s="37" t="s">
        <v>543</v>
      </c>
      <c r="M107" s="37" t="s">
        <v>228</v>
      </c>
      <c r="N107" s="37"/>
      <c r="O107" s="37"/>
    </row>
    <row r="108" spans="2:15">
      <c r="B108" s="47"/>
      <c r="C108" s="47" t="s">
        <v>152</v>
      </c>
      <c r="D108" s="37" t="s">
        <v>153</v>
      </c>
      <c r="E108" s="41">
        <v>0.04</v>
      </c>
      <c r="F108" s="42"/>
      <c r="G108" s="42"/>
      <c r="H108" s="42"/>
      <c r="I108" s="43"/>
      <c r="J108" s="35">
        <v>2007</v>
      </c>
      <c r="K108" s="36" t="s">
        <v>27</v>
      </c>
      <c r="L108" s="37" t="s">
        <v>36</v>
      </c>
      <c r="M108" s="37" t="s">
        <v>228</v>
      </c>
      <c r="N108" s="37"/>
      <c r="O108" s="37" t="s">
        <v>604</v>
      </c>
    </row>
    <row r="109" spans="2:15">
      <c r="B109" s="47"/>
      <c r="C109" s="47"/>
      <c r="D109" s="37" t="s">
        <v>153</v>
      </c>
      <c r="E109" s="41">
        <v>0.03</v>
      </c>
      <c r="F109" s="42"/>
      <c r="G109" s="42"/>
      <c r="H109" s="42"/>
      <c r="I109" s="43"/>
      <c r="J109" s="35">
        <v>2004</v>
      </c>
      <c r="K109" s="36" t="s">
        <v>27</v>
      </c>
      <c r="L109" s="37" t="s">
        <v>637</v>
      </c>
      <c r="M109" s="37" t="s">
        <v>553</v>
      </c>
      <c r="N109" s="37"/>
      <c r="O109" s="37"/>
    </row>
    <row r="110" spans="2:15">
      <c r="B110" s="47"/>
      <c r="C110" s="47"/>
      <c r="D110" s="37" t="s">
        <v>433</v>
      </c>
      <c r="E110" s="41">
        <v>0.19</v>
      </c>
      <c r="F110" s="42">
        <v>0.13</v>
      </c>
      <c r="G110" s="42">
        <v>0.25</v>
      </c>
      <c r="H110" s="42"/>
      <c r="I110" s="43"/>
      <c r="J110" s="35">
        <v>2012</v>
      </c>
      <c r="K110" s="36" t="s">
        <v>27</v>
      </c>
      <c r="L110" s="37" t="s">
        <v>638</v>
      </c>
      <c r="M110" s="37" t="s">
        <v>228</v>
      </c>
      <c r="N110" s="37"/>
      <c r="O110" s="37" t="s">
        <v>604</v>
      </c>
    </row>
    <row r="111" spans="2:15">
      <c r="B111" s="47"/>
      <c r="C111" s="47"/>
      <c r="D111" s="37" t="s">
        <v>433</v>
      </c>
      <c r="E111" s="41">
        <v>0.25</v>
      </c>
      <c r="F111" s="42">
        <v>0.19</v>
      </c>
      <c r="G111" s="42">
        <v>0.31</v>
      </c>
      <c r="H111" s="42"/>
      <c r="I111" s="43"/>
      <c r="J111" s="35">
        <v>2005</v>
      </c>
      <c r="K111" s="36" t="s">
        <v>27</v>
      </c>
      <c r="L111" s="37" t="s">
        <v>639</v>
      </c>
      <c r="M111" s="37" t="s">
        <v>228</v>
      </c>
      <c r="N111" s="37"/>
      <c r="O111" s="37" t="s">
        <v>604</v>
      </c>
    </row>
    <row r="112" spans="2:15">
      <c r="B112" s="47"/>
      <c r="C112" s="47"/>
      <c r="D112" s="37" t="s">
        <v>158</v>
      </c>
      <c r="E112" s="41">
        <v>0.2</v>
      </c>
      <c r="F112" s="42"/>
      <c r="G112" s="42"/>
      <c r="H112" s="42"/>
      <c r="I112" s="43"/>
      <c r="J112" s="35">
        <v>2005</v>
      </c>
      <c r="K112" s="36" t="s">
        <v>159</v>
      </c>
      <c r="L112" s="37" t="s">
        <v>36</v>
      </c>
      <c r="M112" s="37"/>
      <c r="N112" s="37"/>
      <c r="O112" s="37" t="s">
        <v>527</v>
      </c>
    </row>
    <row r="113" spans="2:15">
      <c r="B113" s="47"/>
      <c r="C113" s="47"/>
      <c r="D113" s="37" t="s">
        <v>161</v>
      </c>
      <c r="E113" s="41">
        <v>7.0000000000000007E-2</v>
      </c>
      <c r="F113" s="42">
        <v>7.0000000000000007E-2</v>
      </c>
      <c r="G113" s="42">
        <v>7.0000000000000007E-2</v>
      </c>
      <c r="H113" s="42"/>
      <c r="I113" s="43"/>
      <c r="J113" s="35">
        <v>2019</v>
      </c>
      <c r="K113" s="36" t="s">
        <v>27</v>
      </c>
      <c r="L113" s="37" t="s">
        <v>122</v>
      </c>
      <c r="M113" s="37" t="s">
        <v>21</v>
      </c>
      <c r="N113" s="37"/>
      <c r="O113" s="37" t="s">
        <v>640</v>
      </c>
    </row>
    <row r="114" spans="2:15">
      <c r="B114" s="47"/>
      <c r="C114" s="47"/>
      <c r="D114" s="37" t="s">
        <v>161</v>
      </c>
      <c r="E114" s="41">
        <v>0.01</v>
      </c>
      <c r="F114" s="42"/>
      <c r="G114" s="42"/>
      <c r="H114" s="42"/>
      <c r="I114" s="43"/>
      <c r="J114" s="35">
        <v>2014</v>
      </c>
      <c r="K114" s="36" t="s">
        <v>27</v>
      </c>
      <c r="L114" s="37" t="s">
        <v>24</v>
      </c>
      <c r="M114" s="37" t="s">
        <v>228</v>
      </c>
      <c r="N114" s="37"/>
      <c r="O114" s="37" t="s">
        <v>604</v>
      </c>
    </row>
    <row r="115" spans="2:15">
      <c r="B115" s="47"/>
      <c r="C115" s="47"/>
      <c r="D115" s="37" t="s">
        <v>161</v>
      </c>
      <c r="E115" s="41">
        <v>0.11</v>
      </c>
      <c r="F115" s="42"/>
      <c r="G115" s="42"/>
      <c r="H115" s="42"/>
      <c r="I115" s="43"/>
      <c r="J115" s="35">
        <v>2010</v>
      </c>
      <c r="K115" s="36" t="s">
        <v>27</v>
      </c>
      <c r="L115" s="37" t="s">
        <v>24</v>
      </c>
      <c r="M115" s="37" t="s">
        <v>228</v>
      </c>
      <c r="N115" s="37"/>
      <c r="O115" s="37" t="s">
        <v>604</v>
      </c>
    </row>
    <row r="116" spans="2:15">
      <c r="B116" s="47"/>
      <c r="C116" s="47"/>
      <c r="D116" s="37" t="s">
        <v>161</v>
      </c>
      <c r="E116" s="41">
        <v>0.16</v>
      </c>
      <c r="F116" s="42"/>
      <c r="G116" s="42"/>
      <c r="H116" s="42"/>
      <c r="I116" s="43"/>
      <c r="J116" s="35">
        <v>2005</v>
      </c>
      <c r="K116" s="36" t="s">
        <v>27</v>
      </c>
      <c r="L116" s="37" t="s">
        <v>38</v>
      </c>
      <c r="M116" s="37"/>
      <c r="N116" s="37"/>
      <c r="O116" s="37" t="s">
        <v>604</v>
      </c>
    </row>
    <row r="117" spans="2:15">
      <c r="B117" s="47"/>
      <c r="C117" s="47"/>
      <c r="D117" s="37" t="s">
        <v>166</v>
      </c>
      <c r="E117" s="41">
        <v>0.1</v>
      </c>
      <c r="F117" s="42">
        <v>0.04</v>
      </c>
      <c r="G117" s="42">
        <v>0.23</v>
      </c>
      <c r="H117" s="42">
        <v>0.21</v>
      </c>
      <c r="I117" s="43"/>
      <c r="J117" s="35">
        <v>2021</v>
      </c>
      <c r="K117" s="36" t="s">
        <v>27</v>
      </c>
      <c r="L117" s="37" t="s">
        <v>36</v>
      </c>
      <c r="M117" s="37" t="s">
        <v>70</v>
      </c>
      <c r="N117" s="37"/>
      <c r="O117" s="37"/>
    </row>
    <row r="118" spans="2:15">
      <c r="B118" s="47"/>
      <c r="C118" s="47"/>
      <c r="D118" s="37" t="s">
        <v>166</v>
      </c>
      <c r="E118" s="41">
        <v>0.04</v>
      </c>
      <c r="F118" s="42"/>
      <c r="G118" s="42"/>
      <c r="H118" s="42"/>
      <c r="I118" s="43"/>
      <c r="J118" s="35">
        <v>2019</v>
      </c>
      <c r="K118" s="36" t="s">
        <v>27</v>
      </c>
      <c r="L118" s="37" t="s">
        <v>38</v>
      </c>
      <c r="M118" s="37" t="s">
        <v>21</v>
      </c>
      <c r="N118" s="37"/>
      <c r="O118" s="37" t="s">
        <v>616</v>
      </c>
    </row>
    <row r="119" spans="2:15">
      <c r="B119" s="47"/>
      <c r="C119" s="47"/>
      <c r="D119" s="37" t="s">
        <v>168</v>
      </c>
      <c r="E119" s="41">
        <v>0.37</v>
      </c>
      <c r="F119" s="42"/>
      <c r="G119" s="42"/>
      <c r="H119" s="42"/>
      <c r="I119" s="43"/>
      <c r="J119" s="35">
        <v>2008</v>
      </c>
      <c r="K119" s="36" t="s">
        <v>27</v>
      </c>
      <c r="L119" s="37" t="s">
        <v>641</v>
      </c>
      <c r="M119" s="37" t="s">
        <v>21</v>
      </c>
      <c r="N119" s="37" t="s">
        <v>642</v>
      </c>
      <c r="O119" s="37" t="s">
        <v>527</v>
      </c>
    </row>
    <row r="120" spans="2:15">
      <c r="B120" s="47"/>
      <c r="C120" s="47"/>
      <c r="D120" s="37" t="s">
        <v>170</v>
      </c>
      <c r="E120" s="41">
        <v>0.94</v>
      </c>
      <c r="F120" s="42"/>
      <c r="G120" s="42"/>
      <c r="H120" s="42"/>
      <c r="I120" s="43"/>
      <c r="J120" s="35">
        <v>2009</v>
      </c>
      <c r="K120" s="36" t="s">
        <v>27</v>
      </c>
      <c r="L120" s="37" t="s">
        <v>643</v>
      </c>
      <c r="M120" s="37" t="s">
        <v>228</v>
      </c>
      <c r="N120" s="37"/>
      <c r="O120" s="37" t="s">
        <v>604</v>
      </c>
    </row>
    <row r="121" spans="2:15">
      <c r="B121" s="47"/>
      <c r="C121" s="47"/>
      <c r="D121" s="37" t="s">
        <v>174</v>
      </c>
      <c r="E121" s="41">
        <v>0.8</v>
      </c>
      <c r="F121" s="42">
        <v>0.7</v>
      </c>
      <c r="G121" s="42">
        <v>0.9</v>
      </c>
      <c r="H121" s="42"/>
      <c r="I121" s="43"/>
      <c r="J121" s="35">
        <v>2010</v>
      </c>
      <c r="K121" s="36" t="s">
        <v>27</v>
      </c>
      <c r="L121" s="37" t="s">
        <v>641</v>
      </c>
      <c r="M121" s="37" t="s">
        <v>21</v>
      </c>
      <c r="N121" s="37" t="s">
        <v>644</v>
      </c>
      <c r="O121" s="37" t="s">
        <v>527</v>
      </c>
    </row>
    <row r="122" spans="2:15">
      <c r="B122" s="47"/>
      <c r="C122" s="47"/>
      <c r="D122" s="37" t="s">
        <v>175</v>
      </c>
      <c r="E122" s="41">
        <v>0.04</v>
      </c>
      <c r="F122" s="42">
        <v>0.03</v>
      </c>
      <c r="G122" s="42">
        <v>0.04</v>
      </c>
      <c r="H122" s="42"/>
      <c r="I122" s="43"/>
      <c r="J122" s="35">
        <v>2011</v>
      </c>
      <c r="K122" s="36" t="s">
        <v>27</v>
      </c>
      <c r="L122" s="37" t="s">
        <v>603</v>
      </c>
      <c r="M122" s="37" t="s">
        <v>228</v>
      </c>
      <c r="N122" s="37"/>
      <c r="O122" s="37" t="s">
        <v>604</v>
      </c>
    </row>
    <row r="123" spans="2:15">
      <c r="B123" s="47"/>
      <c r="C123" s="47"/>
      <c r="D123" s="37" t="s">
        <v>175</v>
      </c>
      <c r="E123" s="41">
        <v>0.01</v>
      </c>
      <c r="F123" s="42"/>
      <c r="G123" s="42"/>
      <c r="H123" s="42"/>
      <c r="I123" s="43"/>
      <c r="J123" s="35">
        <v>2008</v>
      </c>
      <c r="K123" s="36" t="s">
        <v>180</v>
      </c>
      <c r="L123" s="37" t="s">
        <v>24</v>
      </c>
      <c r="M123" s="37" t="s">
        <v>21</v>
      </c>
      <c r="N123" s="37"/>
      <c r="O123" s="37"/>
    </row>
    <row r="124" spans="2:15">
      <c r="B124" s="47"/>
      <c r="C124" s="47"/>
      <c r="D124" s="37" t="s">
        <v>181</v>
      </c>
      <c r="E124" s="41">
        <v>0</v>
      </c>
      <c r="F124" s="42"/>
      <c r="G124" s="42"/>
      <c r="H124" s="42"/>
      <c r="I124" s="43"/>
      <c r="J124" s="35">
        <v>2004</v>
      </c>
      <c r="K124" s="36" t="s">
        <v>27</v>
      </c>
      <c r="L124" s="37" t="s">
        <v>24</v>
      </c>
      <c r="M124" s="37" t="s">
        <v>21</v>
      </c>
      <c r="N124" s="37" t="s">
        <v>645</v>
      </c>
      <c r="O124" s="37"/>
    </row>
    <row r="125" spans="2:15">
      <c r="B125" s="47"/>
      <c r="C125" s="47"/>
      <c r="D125" s="37" t="s">
        <v>183</v>
      </c>
      <c r="E125" s="41">
        <v>0.32</v>
      </c>
      <c r="F125" s="42">
        <v>0.27</v>
      </c>
      <c r="G125" s="42">
        <v>0.37</v>
      </c>
      <c r="H125" s="42"/>
      <c r="I125" s="43"/>
      <c r="J125" s="35">
        <v>2010</v>
      </c>
      <c r="K125" s="36" t="s">
        <v>27</v>
      </c>
      <c r="L125" s="37" t="s">
        <v>61</v>
      </c>
      <c r="M125" s="37" t="s">
        <v>228</v>
      </c>
      <c r="N125" s="37"/>
      <c r="O125" s="37"/>
    </row>
    <row r="126" spans="2:15">
      <c r="B126" s="47"/>
      <c r="C126" s="47"/>
      <c r="D126" s="37" t="s">
        <v>183</v>
      </c>
      <c r="E126" s="41">
        <v>0.01</v>
      </c>
      <c r="F126" s="42"/>
      <c r="G126" s="42"/>
      <c r="H126" s="42"/>
      <c r="I126" s="43"/>
      <c r="J126" s="35">
        <v>2006</v>
      </c>
      <c r="K126" s="36" t="s">
        <v>27</v>
      </c>
      <c r="L126" s="37" t="s">
        <v>38</v>
      </c>
      <c r="M126" s="37" t="s">
        <v>646</v>
      </c>
      <c r="N126" s="37"/>
      <c r="O126" s="37" t="s">
        <v>527</v>
      </c>
    </row>
    <row r="127" spans="2:15">
      <c r="B127" s="47"/>
      <c r="C127" s="47"/>
      <c r="D127" s="37" t="s">
        <v>187</v>
      </c>
      <c r="E127" s="41">
        <v>0.2</v>
      </c>
      <c r="F127" s="42"/>
      <c r="G127" s="42"/>
      <c r="H127" s="42"/>
      <c r="I127" s="43"/>
      <c r="J127" s="35">
        <v>2007</v>
      </c>
      <c r="K127" s="36" t="s">
        <v>27</v>
      </c>
      <c r="L127" s="37" t="s">
        <v>24</v>
      </c>
      <c r="M127" s="37" t="s">
        <v>21</v>
      </c>
      <c r="N127" s="37"/>
      <c r="O127" s="37" t="s">
        <v>527</v>
      </c>
    </row>
    <row r="128" spans="2:15">
      <c r="B128" s="47"/>
      <c r="C128" s="47"/>
      <c r="D128" s="37" t="s">
        <v>443</v>
      </c>
      <c r="E128" s="41">
        <v>0.53</v>
      </c>
      <c r="F128" s="42"/>
      <c r="G128" s="42"/>
      <c r="H128" s="42"/>
      <c r="I128" s="43"/>
      <c r="J128" s="35">
        <v>2011</v>
      </c>
      <c r="K128" s="36" t="s">
        <v>27</v>
      </c>
      <c r="L128" s="37" t="s">
        <v>36</v>
      </c>
      <c r="M128" s="37" t="s">
        <v>228</v>
      </c>
      <c r="N128" s="37"/>
      <c r="O128" s="37" t="s">
        <v>604</v>
      </c>
    </row>
    <row r="129" spans="2:15">
      <c r="B129" s="47"/>
      <c r="C129" s="47"/>
      <c r="D129" s="37" t="s">
        <v>443</v>
      </c>
      <c r="E129" s="41">
        <v>0.27</v>
      </c>
      <c r="F129" s="42">
        <v>0.25</v>
      </c>
      <c r="G129" s="42">
        <v>0.28000000000000003</v>
      </c>
      <c r="H129" s="42"/>
      <c r="I129" s="43"/>
      <c r="J129" s="35">
        <v>2005</v>
      </c>
      <c r="K129" s="36" t="s">
        <v>27</v>
      </c>
      <c r="L129" s="37" t="s">
        <v>647</v>
      </c>
      <c r="M129" s="37"/>
      <c r="N129" s="37"/>
      <c r="O129" s="37"/>
    </row>
    <row r="130" spans="2:15">
      <c r="B130" s="47"/>
      <c r="C130" s="47" t="s">
        <v>188</v>
      </c>
      <c r="D130" s="37" t="s">
        <v>189</v>
      </c>
      <c r="E130" s="41">
        <v>2.65</v>
      </c>
      <c r="F130" s="42">
        <v>2.34</v>
      </c>
      <c r="G130" s="42">
        <v>2.96</v>
      </c>
      <c r="H130" s="42">
        <v>3.9</v>
      </c>
      <c r="I130" s="43">
        <v>1.3</v>
      </c>
      <c r="J130" s="35">
        <v>2009</v>
      </c>
      <c r="K130" s="36" t="s">
        <v>27</v>
      </c>
      <c r="L130" s="37" t="s">
        <v>378</v>
      </c>
      <c r="M130" s="37" t="s">
        <v>21</v>
      </c>
      <c r="N130" s="37"/>
      <c r="O130" s="37"/>
    </row>
    <row r="131" spans="2:15">
      <c r="B131" s="47"/>
      <c r="C131" s="47"/>
      <c r="D131" s="37" t="s">
        <v>193</v>
      </c>
      <c r="E131" s="41">
        <v>3.31</v>
      </c>
      <c r="F131" s="42"/>
      <c r="G131" s="42"/>
      <c r="H131" s="42"/>
      <c r="I131" s="43"/>
      <c r="J131" s="35">
        <v>2015</v>
      </c>
      <c r="K131" s="36" t="s">
        <v>27</v>
      </c>
      <c r="L131" s="37" t="s">
        <v>97</v>
      </c>
      <c r="M131" s="37" t="s">
        <v>21</v>
      </c>
      <c r="N131" s="37"/>
      <c r="O131" s="37" t="s">
        <v>648</v>
      </c>
    </row>
    <row r="132" spans="2:15">
      <c r="B132" s="47"/>
      <c r="C132" s="47"/>
      <c r="D132" s="37" t="s">
        <v>193</v>
      </c>
      <c r="E132" s="41">
        <v>2.69</v>
      </c>
      <c r="F132" s="42">
        <v>2.02</v>
      </c>
      <c r="G132" s="42">
        <v>3.37</v>
      </c>
      <c r="H132" s="42"/>
      <c r="I132" s="43"/>
      <c r="J132" s="35">
        <v>2013</v>
      </c>
      <c r="K132" s="36" t="s">
        <v>195</v>
      </c>
      <c r="L132" s="37" t="s">
        <v>196</v>
      </c>
      <c r="M132" s="37" t="s">
        <v>197</v>
      </c>
      <c r="N132" s="37" t="s">
        <v>37</v>
      </c>
      <c r="O132" s="37" t="s">
        <v>649</v>
      </c>
    </row>
    <row r="133" spans="2:15">
      <c r="B133" s="47"/>
      <c r="C133" s="47"/>
      <c r="D133" s="37" t="s">
        <v>193</v>
      </c>
      <c r="E133" s="41">
        <v>1.76</v>
      </c>
      <c r="F133" s="42">
        <v>1.38</v>
      </c>
      <c r="G133" s="42">
        <v>2.14</v>
      </c>
      <c r="H133" s="42"/>
      <c r="I133" s="43"/>
      <c r="J133" s="35">
        <v>2011</v>
      </c>
      <c r="K133" s="36" t="s">
        <v>27</v>
      </c>
      <c r="L133" s="37" t="s">
        <v>36</v>
      </c>
      <c r="M133" s="37"/>
      <c r="N133" s="37"/>
      <c r="O133" s="37" t="s">
        <v>612</v>
      </c>
    </row>
    <row r="134" spans="2:15">
      <c r="B134" s="47"/>
      <c r="C134" s="47"/>
      <c r="D134" s="37" t="s">
        <v>193</v>
      </c>
      <c r="E134" s="41">
        <v>2.2599999999999998</v>
      </c>
      <c r="F134" s="42"/>
      <c r="G134" s="42"/>
      <c r="H134" s="42"/>
      <c r="I134" s="43"/>
      <c r="J134" s="35">
        <v>2010</v>
      </c>
      <c r="K134" s="36" t="s">
        <v>27</v>
      </c>
      <c r="L134" s="37" t="s">
        <v>24</v>
      </c>
      <c r="M134" s="37"/>
      <c r="N134" s="37"/>
      <c r="O134" s="37" t="s">
        <v>527</v>
      </c>
    </row>
    <row r="135" spans="2:15">
      <c r="B135" s="47"/>
      <c r="C135" s="47"/>
      <c r="D135" s="37" t="s">
        <v>200</v>
      </c>
      <c r="E135" s="41">
        <v>0.4</v>
      </c>
      <c r="F135" s="42">
        <v>0.3</v>
      </c>
      <c r="G135" s="42">
        <v>0.5</v>
      </c>
      <c r="H135" s="42"/>
      <c r="I135" s="43"/>
      <c r="J135" s="35">
        <v>2016</v>
      </c>
      <c r="K135" s="36" t="s">
        <v>202</v>
      </c>
      <c r="L135" s="37" t="s">
        <v>61</v>
      </c>
      <c r="M135" s="37" t="s">
        <v>21</v>
      </c>
      <c r="N135" s="37"/>
      <c r="O135" s="37" t="s">
        <v>612</v>
      </c>
    </row>
    <row r="136" spans="2:15">
      <c r="B136" s="47"/>
      <c r="C136" s="47"/>
      <c r="D136" s="37" t="s">
        <v>200</v>
      </c>
      <c r="E136" s="41">
        <v>0.53</v>
      </c>
      <c r="F136" s="42">
        <v>0.46</v>
      </c>
      <c r="G136" s="42">
        <v>0.59</v>
      </c>
      <c r="H136" s="42">
        <v>0.92</v>
      </c>
      <c r="I136" s="43">
        <v>0.13</v>
      </c>
      <c r="J136" s="35">
        <v>2009</v>
      </c>
      <c r="K136" s="36" t="s">
        <v>203</v>
      </c>
      <c r="L136" s="37" t="s">
        <v>24</v>
      </c>
      <c r="M136" s="37" t="s">
        <v>21</v>
      </c>
      <c r="N136" s="37"/>
      <c r="O136" s="37"/>
    </row>
    <row r="137" spans="2:15">
      <c r="B137" s="47"/>
      <c r="C137" s="47"/>
      <c r="D137" s="37" t="s">
        <v>204</v>
      </c>
      <c r="E137" s="41">
        <v>0.17</v>
      </c>
      <c r="F137" s="42"/>
      <c r="G137" s="42"/>
      <c r="H137" s="42"/>
      <c r="I137" s="43"/>
      <c r="J137" s="35">
        <v>2004</v>
      </c>
      <c r="K137" s="36" t="s">
        <v>27</v>
      </c>
      <c r="L137" s="37" t="s">
        <v>61</v>
      </c>
      <c r="M137" s="37"/>
      <c r="N137" s="37"/>
      <c r="O137" s="37" t="s">
        <v>527</v>
      </c>
    </row>
    <row r="138" spans="2:15">
      <c r="B138" s="47"/>
      <c r="C138" s="47"/>
      <c r="D138" s="37" t="s">
        <v>205</v>
      </c>
      <c r="E138" s="41">
        <v>0.2</v>
      </c>
      <c r="F138" s="42"/>
      <c r="G138" s="42"/>
      <c r="H138" s="42"/>
      <c r="I138" s="43"/>
      <c r="J138" s="35">
        <v>2003</v>
      </c>
      <c r="K138" s="36" t="s">
        <v>27</v>
      </c>
      <c r="L138" s="37" t="s">
        <v>24</v>
      </c>
      <c r="M138" s="37"/>
      <c r="N138" s="37"/>
      <c r="O138" s="37" t="s">
        <v>527</v>
      </c>
    </row>
    <row r="139" spans="2:15">
      <c r="B139" s="47"/>
      <c r="C139" s="47"/>
      <c r="D139" s="37" t="s">
        <v>208</v>
      </c>
      <c r="E139" s="41">
        <v>1</v>
      </c>
      <c r="F139" s="42">
        <v>0.7</v>
      </c>
      <c r="G139" s="42">
        <v>1.5</v>
      </c>
      <c r="H139" s="42">
        <v>1.8</v>
      </c>
      <c r="I139" s="43">
        <v>0.04</v>
      </c>
      <c r="J139" s="35">
        <v>2012</v>
      </c>
      <c r="K139" s="36" t="s">
        <v>27</v>
      </c>
      <c r="L139" s="37" t="s">
        <v>69</v>
      </c>
      <c r="M139" s="37"/>
      <c r="N139" s="37"/>
      <c r="O139" s="37"/>
    </row>
    <row r="140" spans="2:15">
      <c r="B140" s="47"/>
      <c r="C140" s="47"/>
      <c r="D140" s="37" t="s">
        <v>208</v>
      </c>
      <c r="E140" s="41">
        <v>0.56999999999999995</v>
      </c>
      <c r="F140" s="42"/>
      <c r="G140" s="42"/>
      <c r="H140" s="42"/>
      <c r="I140" s="43"/>
      <c r="J140" s="35">
        <v>2006</v>
      </c>
      <c r="K140" s="36" t="s">
        <v>27</v>
      </c>
      <c r="L140" s="37" t="s">
        <v>549</v>
      </c>
      <c r="M140" s="37"/>
      <c r="N140" s="37"/>
      <c r="O140" s="37"/>
    </row>
    <row r="141" spans="2:15">
      <c r="B141" s="47"/>
      <c r="C141" s="47"/>
      <c r="D141" s="37" t="s">
        <v>210</v>
      </c>
      <c r="E141" s="41">
        <v>0.06</v>
      </c>
      <c r="F141" s="42"/>
      <c r="G141" s="42"/>
      <c r="H141" s="42"/>
      <c r="I141" s="43"/>
      <c r="J141" s="35">
        <v>2006</v>
      </c>
      <c r="K141" s="36" t="s">
        <v>27</v>
      </c>
      <c r="L141" s="37" t="s">
        <v>61</v>
      </c>
      <c r="M141" s="37"/>
      <c r="N141" s="37"/>
      <c r="O141" s="37" t="s">
        <v>527</v>
      </c>
    </row>
    <row r="142" spans="2:15">
      <c r="B142" s="47"/>
      <c r="C142" s="47"/>
      <c r="D142" s="37" t="s">
        <v>383</v>
      </c>
      <c r="E142" s="41">
        <v>0.02</v>
      </c>
      <c r="F142" s="42"/>
      <c r="G142" s="42"/>
      <c r="H142" s="42"/>
      <c r="I142" s="43"/>
      <c r="J142" s="35">
        <v>2005</v>
      </c>
      <c r="K142" s="36"/>
      <c r="L142" s="37" t="s">
        <v>61</v>
      </c>
      <c r="M142" s="37"/>
      <c r="N142" s="37"/>
      <c r="O142" s="37" t="s">
        <v>527</v>
      </c>
    </row>
    <row r="143" spans="2:15">
      <c r="B143" s="47"/>
      <c r="C143" s="47"/>
      <c r="D143" s="37" t="s">
        <v>212</v>
      </c>
      <c r="E143" s="41">
        <v>0.02</v>
      </c>
      <c r="F143" s="42"/>
      <c r="G143" s="42"/>
      <c r="H143" s="42"/>
      <c r="I143" s="43"/>
      <c r="J143" s="35">
        <v>2004</v>
      </c>
      <c r="K143" s="36" t="s">
        <v>27</v>
      </c>
      <c r="L143" s="37" t="s">
        <v>61</v>
      </c>
      <c r="M143" s="37"/>
      <c r="N143" s="37"/>
      <c r="O143" s="37" t="s">
        <v>527</v>
      </c>
    </row>
    <row r="144" spans="2:15">
      <c r="B144" s="47"/>
      <c r="C144" s="47" t="s">
        <v>213</v>
      </c>
      <c r="D144" s="37" t="s">
        <v>214</v>
      </c>
      <c r="E144" s="41">
        <v>0.37</v>
      </c>
      <c r="F144" s="42"/>
      <c r="G144" s="42"/>
      <c r="H144" s="42"/>
      <c r="I144" s="43"/>
      <c r="J144" s="35">
        <v>2003</v>
      </c>
      <c r="K144" s="36" t="s">
        <v>27</v>
      </c>
      <c r="L144" s="37" t="s">
        <v>24</v>
      </c>
      <c r="M144" s="37" t="s">
        <v>21</v>
      </c>
      <c r="N144" s="37" t="s">
        <v>177</v>
      </c>
      <c r="O144" s="37"/>
    </row>
    <row r="145" spans="2:15">
      <c r="B145" s="47"/>
      <c r="C145" s="47"/>
      <c r="D145" s="37" t="s">
        <v>219</v>
      </c>
      <c r="E145" s="41">
        <v>1.42</v>
      </c>
      <c r="F145" s="42"/>
      <c r="G145" s="42"/>
      <c r="H145" s="42"/>
      <c r="I145" s="43"/>
      <c r="J145" s="35">
        <v>2018</v>
      </c>
      <c r="K145" s="36" t="s">
        <v>220</v>
      </c>
      <c r="L145" s="37" t="s">
        <v>36</v>
      </c>
      <c r="M145" s="37" t="s">
        <v>70</v>
      </c>
      <c r="N145" s="37"/>
      <c r="O145" s="37" t="s">
        <v>538</v>
      </c>
    </row>
    <row r="146" spans="2:15">
      <c r="B146" s="47"/>
      <c r="C146" s="47"/>
      <c r="D146" s="37" t="s">
        <v>222</v>
      </c>
      <c r="E146" s="41">
        <v>1.34</v>
      </c>
      <c r="F146" s="42"/>
      <c r="G146" s="42"/>
      <c r="H146" s="42"/>
      <c r="I146" s="43"/>
      <c r="J146" s="35">
        <v>2012</v>
      </c>
      <c r="K146" s="36" t="s">
        <v>27</v>
      </c>
      <c r="L146" s="37" t="s">
        <v>36</v>
      </c>
      <c r="M146" s="37" t="s">
        <v>21</v>
      </c>
      <c r="N146" s="37"/>
      <c r="O146" s="37" t="s">
        <v>521</v>
      </c>
    </row>
    <row r="147" spans="2:15">
      <c r="B147" s="47"/>
      <c r="C147" s="47"/>
      <c r="D147" s="37" t="s">
        <v>223</v>
      </c>
      <c r="E147" s="41">
        <v>0.39100000000000001</v>
      </c>
      <c r="F147" s="42"/>
      <c r="G147" s="42"/>
      <c r="H147" s="42"/>
      <c r="I147" s="43"/>
      <c r="J147" s="35">
        <v>2019</v>
      </c>
      <c r="K147" s="36" t="s">
        <v>224</v>
      </c>
      <c r="L147" s="37" t="s">
        <v>97</v>
      </c>
      <c r="M147" s="37" t="s">
        <v>21</v>
      </c>
      <c r="N147" s="37" t="s">
        <v>22</v>
      </c>
      <c r="O147" s="37" t="s">
        <v>527</v>
      </c>
    </row>
    <row r="148" spans="2:15">
      <c r="B148" s="47"/>
      <c r="C148" s="47"/>
      <c r="D148" s="37" t="s">
        <v>223</v>
      </c>
      <c r="E148" s="41">
        <v>0.24</v>
      </c>
      <c r="F148" s="42">
        <v>0.18</v>
      </c>
      <c r="G148" s="42">
        <v>0.28999999999999998</v>
      </c>
      <c r="H148" s="42"/>
      <c r="I148" s="43"/>
      <c r="J148" s="35">
        <v>2006</v>
      </c>
      <c r="K148" s="36" t="s">
        <v>27</v>
      </c>
      <c r="L148" s="37" t="s">
        <v>36</v>
      </c>
      <c r="M148" s="37" t="s">
        <v>650</v>
      </c>
      <c r="N148" s="37"/>
      <c r="O148" s="37" t="s">
        <v>604</v>
      </c>
    </row>
    <row r="149" spans="2:15">
      <c r="B149" s="47"/>
      <c r="C149" s="47"/>
      <c r="D149" s="37" t="s">
        <v>225</v>
      </c>
      <c r="E149" s="41">
        <v>0.61</v>
      </c>
      <c r="F149" s="42"/>
      <c r="G149" s="42"/>
      <c r="H149" s="42">
        <v>1.24</v>
      </c>
      <c r="I149" s="43">
        <v>0.02</v>
      </c>
      <c r="J149" s="35">
        <v>2019</v>
      </c>
      <c r="K149" s="36" t="s">
        <v>226</v>
      </c>
      <c r="L149" s="37" t="s">
        <v>24</v>
      </c>
      <c r="M149" s="37" t="s">
        <v>21</v>
      </c>
      <c r="N149" s="37"/>
      <c r="O149" s="37" t="s">
        <v>616</v>
      </c>
    </row>
    <row r="150" spans="2:15">
      <c r="B150" s="47"/>
      <c r="C150" s="47"/>
      <c r="D150" s="37" t="s">
        <v>225</v>
      </c>
      <c r="E150" s="41">
        <v>0.6</v>
      </c>
      <c r="F150" s="42"/>
      <c r="G150" s="42"/>
      <c r="H150" s="42">
        <v>1.2</v>
      </c>
      <c r="I150" s="43">
        <v>1.7000000000000001E-2</v>
      </c>
      <c r="J150" s="35">
        <v>2018</v>
      </c>
      <c r="K150" s="36" t="s">
        <v>226</v>
      </c>
      <c r="L150" s="37" t="s">
        <v>36</v>
      </c>
      <c r="M150" s="37"/>
      <c r="N150" s="37"/>
      <c r="O150" s="37" t="s">
        <v>616</v>
      </c>
    </row>
    <row r="151" spans="2:15">
      <c r="B151" s="47"/>
      <c r="C151" s="47"/>
      <c r="D151" s="37" t="s">
        <v>225</v>
      </c>
      <c r="E151" s="41">
        <v>0.3</v>
      </c>
      <c r="F151" s="42">
        <v>0.28000000000000003</v>
      </c>
      <c r="G151" s="42">
        <v>0.32</v>
      </c>
      <c r="H151" s="42"/>
      <c r="I151" s="43"/>
      <c r="J151" s="35">
        <v>2016</v>
      </c>
      <c r="K151" s="36" t="s">
        <v>27</v>
      </c>
      <c r="L151" s="37" t="s">
        <v>36</v>
      </c>
      <c r="M151" s="37" t="s">
        <v>228</v>
      </c>
      <c r="N151" s="37" t="s">
        <v>229</v>
      </c>
      <c r="O151" s="37"/>
    </row>
    <row r="152" spans="2:15">
      <c r="B152" s="47"/>
      <c r="C152" s="47"/>
      <c r="D152" s="37" t="s">
        <v>225</v>
      </c>
      <c r="E152" s="41">
        <v>0.33</v>
      </c>
      <c r="F152" s="42">
        <v>0.33</v>
      </c>
      <c r="G152" s="42">
        <v>0.33</v>
      </c>
      <c r="H152" s="42"/>
      <c r="I152" s="43"/>
      <c r="J152" s="35">
        <v>2010</v>
      </c>
      <c r="K152" s="36" t="s">
        <v>27</v>
      </c>
      <c r="L152" s="37" t="s">
        <v>24</v>
      </c>
      <c r="M152" s="37" t="s">
        <v>228</v>
      </c>
      <c r="N152" s="37"/>
      <c r="O152" s="37" t="s">
        <v>527</v>
      </c>
    </row>
    <row r="153" spans="2:15">
      <c r="B153" s="47"/>
      <c r="C153" s="47"/>
      <c r="D153" s="37" t="s">
        <v>225</v>
      </c>
      <c r="E153" s="41">
        <v>0.11</v>
      </c>
      <c r="F153" s="42"/>
      <c r="G153" s="42"/>
      <c r="H153" s="42"/>
      <c r="I153" s="43"/>
      <c r="J153" s="35">
        <v>2006</v>
      </c>
      <c r="K153" s="36" t="s">
        <v>27</v>
      </c>
      <c r="L153" s="37" t="s">
        <v>38</v>
      </c>
      <c r="M153" s="37"/>
      <c r="N153" s="37"/>
      <c r="O153" s="37" t="s">
        <v>527</v>
      </c>
    </row>
    <row r="154" spans="2:15">
      <c r="B154" s="47" t="s">
        <v>231</v>
      </c>
      <c r="C154" s="47" t="s">
        <v>232</v>
      </c>
      <c r="D154" s="37" t="s">
        <v>233</v>
      </c>
      <c r="E154" s="41">
        <v>0.76500000000000001</v>
      </c>
      <c r="F154" s="42"/>
      <c r="G154" s="42"/>
      <c r="H154" s="42"/>
      <c r="I154" s="43"/>
      <c r="J154" s="35">
        <v>2016</v>
      </c>
      <c r="K154" s="36" t="s">
        <v>27</v>
      </c>
      <c r="L154" s="37" t="s">
        <v>24</v>
      </c>
      <c r="M154" s="37" t="s">
        <v>228</v>
      </c>
      <c r="N154" s="37"/>
      <c r="O154" s="37" t="s">
        <v>604</v>
      </c>
    </row>
    <row r="155" spans="2:15">
      <c r="B155" s="47"/>
      <c r="C155" s="47"/>
      <c r="D155" s="37" t="s">
        <v>233</v>
      </c>
      <c r="E155" s="41">
        <v>0.59</v>
      </c>
      <c r="F155" s="42"/>
      <c r="G155" s="42"/>
      <c r="H155" s="42"/>
      <c r="I155" s="43"/>
      <c r="J155" s="35">
        <v>2011</v>
      </c>
      <c r="K155" s="36" t="s">
        <v>27</v>
      </c>
      <c r="L155" s="37" t="s">
        <v>61</v>
      </c>
      <c r="M155" s="37" t="s">
        <v>228</v>
      </c>
      <c r="N155" s="37" t="s">
        <v>651</v>
      </c>
      <c r="O155" s="37" t="s">
        <v>604</v>
      </c>
    </row>
    <row r="156" spans="2:15">
      <c r="B156" s="47"/>
      <c r="C156" s="47"/>
      <c r="D156" s="37" t="s">
        <v>233</v>
      </c>
      <c r="E156" s="41">
        <v>0.39</v>
      </c>
      <c r="F156" s="42">
        <v>7.0000000000000007E-2</v>
      </c>
      <c r="G156" s="42">
        <v>0.67</v>
      </c>
      <c r="H156" s="42"/>
      <c r="I156" s="43"/>
      <c r="J156" s="35">
        <v>2007</v>
      </c>
      <c r="K156" s="36" t="s">
        <v>27</v>
      </c>
      <c r="L156" s="37" t="s">
        <v>58</v>
      </c>
      <c r="M156" s="37" t="s">
        <v>646</v>
      </c>
      <c r="N156" s="37" t="s">
        <v>652</v>
      </c>
      <c r="O156" s="37"/>
    </row>
    <row r="157" spans="2:15">
      <c r="B157" s="47"/>
      <c r="C157" s="47"/>
      <c r="D157" s="37" t="s">
        <v>236</v>
      </c>
      <c r="E157" s="41">
        <v>0.64</v>
      </c>
      <c r="F157" s="42"/>
      <c r="G157" s="42"/>
      <c r="H157" s="42"/>
      <c r="I157" s="43"/>
      <c r="J157" s="35">
        <v>2020</v>
      </c>
      <c r="K157" s="36" t="s">
        <v>27</v>
      </c>
      <c r="L157" s="37" t="s">
        <v>552</v>
      </c>
      <c r="M157" s="37" t="s">
        <v>553</v>
      </c>
      <c r="N157" s="37" t="s">
        <v>653</v>
      </c>
      <c r="O157" s="37"/>
    </row>
    <row r="158" spans="2:15">
      <c r="B158" s="47"/>
      <c r="C158" s="47"/>
      <c r="D158" s="37" t="s">
        <v>236</v>
      </c>
      <c r="E158" s="41">
        <v>0.12</v>
      </c>
      <c r="F158" s="42"/>
      <c r="G158" s="42"/>
      <c r="H158" s="42"/>
      <c r="I158" s="43"/>
      <c r="J158" s="35">
        <v>2011</v>
      </c>
      <c r="K158" s="36" t="s">
        <v>27</v>
      </c>
      <c r="L158" s="37" t="s">
        <v>24</v>
      </c>
      <c r="M158" s="37" t="s">
        <v>228</v>
      </c>
      <c r="N158" s="37"/>
      <c r="O158" s="37" t="s">
        <v>604</v>
      </c>
    </row>
    <row r="159" spans="2:15">
      <c r="B159" s="47"/>
      <c r="C159" s="47"/>
      <c r="D159" s="37" t="s">
        <v>236</v>
      </c>
      <c r="E159" s="41">
        <v>0.15</v>
      </c>
      <c r="F159" s="42">
        <v>0.15</v>
      </c>
      <c r="G159" s="42">
        <v>0.17</v>
      </c>
      <c r="H159" s="42"/>
      <c r="I159" s="43"/>
      <c r="J159" s="35">
        <v>2008</v>
      </c>
      <c r="K159" s="36" t="s">
        <v>27</v>
      </c>
      <c r="L159" s="37" t="s">
        <v>36</v>
      </c>
      <c r="M159" s="37" t="s">
        <v>654</v>
      </c>
      <c r="N159" s="37" t="s">
        <v>22</v>
      </c>
      <c r="O159" s="37" t="s">
        <v>527</v>
      </c>
    </row>
    <row r="160" spans="2:15">
      <c r="B160" s="47"/>
      <c r="C160" s="47"/>
      <c r="D160" s="37" t="s">
        <v>237</v>
      </c>
      <c r="E160" s="41">
        <v>1.4</v>
      </c>
      <c r="F160" s="42">
        <v>1.4</v>
      </c>
      <c r="G160" s="42">
        <v>1.4</v>
      </c>
      <c r="H160" s="42"/>
      <c r="I160" s="43"/>
      <c r="J160" s="35">
        <v>2010</v>
      </c>
      <c r="K160" s="36" t="s">
        <v>27</v>
      </c>
      <c r="L160" s="37" t="s">
        <v>36</v>
      </c>
      <c r="M160" s="37" t="s">
        <v>228</v>
      </c>
      <c r="N160" s="37"/>
      <c r="O160" s="37" t="s">
        <v>655</v>
      </c>
    </row>
    <row r="161" spans="2:15">
      <c r="B161" s="47"/>
      <c r="C161" s="47"/>
      <c r="D161" s="37" t="s">
        <v>237</v>
      </c>
      <c r="E161" s="41">
        <v>1.64</v>
      </c>
      <c r="F161" s="42"/>
      <c r="G161" s="42"/>
      <c r="H161" s="42"/>
      <c r="I161" s="43"/>
      <c r="J161" s="35">
        <v>2007</v>
      </c>
      <c r="K161" s="36" t="s">
        <v>27</v>
      </c>
      <c r="L161" s="37" t="s">
        <v>58</v>
      </c>
      <c r="M161" s="37" t="s">
        <v>553</v>
      </c>
      <c r="N161" s="37"/>
      <c r="O161" s="37" t="s">
        <v>527</v>
      </c>
    </row>
    <row r="162" spans="2:15">
      <c r="B162" s="47"/>
      <c r="C162" s="47"/>
      <c r="D162" s="37" t="s">
        <v>240</v>
      </c>
      <c r="E162" s="41">
        <v>1.05</v>
      </c>
      <c r="F162" s="42">
        <v>0.88</v>
      </c>
      <c r="G162" s="42">
        <v>1.23</v>
      </c>
      <c r="H162" s="42"/>
      <c r="I162" s="43"/>
      <c r="J162" s="35">
        <v>2012</v>
      </c>
      <c r="K162" s="36" t="s">
        <v>27</v>
      </c>
      <c r="L162" s="37" t="s">
        <v>36</v>
      </c>
      <c r="M162" s="37" t="s">
        <v>228</v>
      </c>
      <c r="N162" s="37"/>
      <c r="O162" s="37" t="s">
        <v>604</v>
      </c>
    </row>
    <row r="163" spans="2:15">
      <c r="B163" s="47"/>
      <c r="C163" s="47"/>
      <c r="D163" s="37" t="s">
        <v>240</v>
      </c>
      <c r="E163" s="41">
        <v>0.91</v>
      </c>
      <c r="F163" s="42"/>
      <c r="G163" s="42"/>
      <c r="H163" s="42"/>
      <c r="I163" s="43"/>
      <c r="J163" s="35">
        <v>2009</v>
      </c>
      <c r="K163" s="36" t="s">
        <v>27</v>
      </c>
      <c r="L163" s="37" t="s">
        <v>24</v>
      </c>
      <c r="M163" s="37" t="s">
        <v>228</v>
      </c>
      <c r="N163" s="37"/>
      <c r="O163" s="37" t="s">
        <v>604</v>
      </c>
    </row>
    <row r="164" spans="2:15">
      <c r="B164" s="47"/>
      <c r="C164" s="47"/>
      <c r="D164" s="37" t="s">
        <v>240</v>
      </c>
      <c r="E164" s="41">
        <v>1.1599999999999999</v>
      </c>
      <c r="F164" s="42"/>
      <c r="G164" s="42"/>
      <c r="H164" s="42"/>
      <c r="I164" s="43"/>
      <c r="J164" s="35">
        <v>2006</v>
      </c>
      <c r="K164" s="36" t="s">
        <v>27</v>
      </c>
      <c r="L164" s="37" t="s">
        <v>605</v>
      </c>
      <c r="M164" s="37" t="s">
        <v>553</v>
      </c>
      <c r="N164" s="37"/>
      <c r="O164" s="37"/>
    </row>
    <row r="165" spans="2:15">
      <c r="B165" s="47"/>
      <c r="C165" s="47" t="s">
        <v>242</v>
      </c>
      <c r="D165" s="37" t="s">
        <v>243</v>
      </c>
      <c r="E165" s="41">
        <v>0.45</v>
      </c>
      <c r="F165" s="42"/>
      <c r="G165" s="42"/>
      <c r="H165" s="42"/>
      <c r="I165" s="43"/>
      <c r="J165" s="35">
        <v>2007</v>
      </c>
      <c r="K165" s="36" t="s">
        <v>27</v>
      </c>
      <c r="L165" s="37" t="s">
        <v>24</v>
      </c>
      <c r="M165" s="37" t="s">
        <v>211</v>
      </c>
      <c r="N165" s="37" t="s">
        <v>651</v>
      </c>
      <c r="O165" s="37" t="s">
        <v>604</v>
      </c>
    </row>
    <row r="166" spans="2:15">
      <c r="B166" s="47"/>
      <c r="C166" s="47"/>
      <c r="D166" s="37" t="s">
        <v>245</v>
      </c>
      <c r="E166" s="41">
        <v>0.3</v>
      </c>
      <c r="F166" s="42"/>
      <c r="G166" s="42"/>
      <c r="H166" s="42"/>
      <c r="I166" s="43"/>
      <c r="J166" s="35">
        <v>2009</v>
      </c>
      <c r="K166" s="36" t="s">
        <v>27</v>
      </c>
      <c r="L166" s="37" t="s">
        <v>24</v>
      </c>
      <c r="M166" s="37" t="s">
        <v>228</v>
      </c>
      <c r="N166" s="37"/>
      <c r="O166" s="37" t="s">
        <v>604</v>
      </c>
    </row>
    <row r="167" spans="2:15">
      <c r="B167" s="47"/>
      <c r="C167" s="47"/>
      <c r="D167" s="37" t="s">
        <v>245</v>
      </c>
      <c r="E167" s="41">
        <v>0.3</v>
      </c>
      <c r="F167" s="42"/>
      <c r="G167" s="42"/>
      <c r="H167" s="42"/>
      <c r="I167" s="43"/>
      <c r="J167" s="35">
        <v>2005</v>
      </c>
      <c r="K167" s="36" t="s">
        <v>27</v>
      </c>
      <c r="L167" s="37" t="s">
        <v>605</v>
      </c>
      <c r="M167" s="37" t="s">
        <v>553</v>
      </c>
      <c r="N167" s="37"/>
      <c r="O167" s="37" t="s">
        <v>604</v>
      </c>
    </row>
    <row r="168" spans="2:15">
      <c r="B168" s="47"/>
      <c r="C168" s="47"/>
      <c r="D168" s="37" t="s">
        <v>247</v>
      </c>
      <c r="E168" s="41">
        <v>0.2</v>
      </c>
      <c r="F168" s="42"/>
      <c r="G168" s="42"/>
      <c r="H168" s="42">
        <v>0.2</v>
      </c>
      <c r="I168" s="43">
        <v>0.3</v>
      </c>
      <c r="J168" s="35">
        <v>2020</v>
      </c>
      <c r="K168" s="36" t="s">
        <v>27</v>
      </c>
      <c r="L168" s="37" t="s">
        <v>38</v>
      </c>
      <c r="M168" s="37" t="s">
        <v>21</v>
      </c>
      <c r="N168" s="37"/>
      <c r="O168" s="37" t="s">
        <v>616</v>
      </c>
    </row>
    <row r="169" spans="2:15">
      <c r="B169" s="47"/>
      <c r="C169" s="47"/>
      <c r="D169" s="37" t="s">
        <v>247</v>
      </c>
      <c r="E169" s="41">
        <v>0.37</v>
      </c>
      <c r="F169" s="42"/>
      <c r="G169" s="42"/>
      <c r="H169" s="42"/>
      <c r="I169" s="43"/>
      <c r="J169" s="35">
        <v>2017</v>
      </c>
      <c r="K169" s="36" t="s">
        <v>27</v>
      </c>
      <c r="L169" s="37" t="s">
        <v>24</v>
      </c>
      <c r="M169" s="37" t="s">
        <v>228</v>
      </c>
      <c r="N169" s="37"/>
      <c r="O169" s="37" t="s">
        <v>604</v>
      </c>
    </row>
    <row r="170" spans="2:15">
      <c r="B170" s="47"/>
      <c r="C170" s="47"/>
      <c r="D170" s="37" t="s">
        <v>247</v>
      </c>
      <c r="E170" s="41">
        <v>0.5</v>
      </c>
      <c r="F170" s="42"/>
      <c r="G170" s="42"/>
      <c r="H170" s="42"/>
      <c r="I170" s="43"/>
      <c r="J170" s="35">
        <v>2011</v>
      </c>
      <c r="K170" s="36" t="s">
        <v>27</v>
      </c>
      <c r="L170" s="37" t="s">
        <v>24</v>
      </c>
      <c r="M170" s="37" t="s">
        <v>228</v>
      </c>
      <c r="N170" s="37"/>
      <c r="O170" s="37" t="s">
        <v>527</v>
      </c>
    </row>
    <row r="171" spans="2:15">
      <c r="B171" s="47"/>
      <c r="C171" s="47"/>
      <c r="D171" s="37" t="s">
        <v>247</v>
      </c>
      <c r="E171" s="41">
        <v>0.28999999999999998</v>
      </c>
      <c r="F171" s="42"/>
      <c r="G171" s="42"/>
      <c r="H171" s="42"/>
      <c r="I171" s="43"/>
      <c r="J171" s="35">
        <v>2008</v>
      </c>
      <c r="K171" s="36" t="s">
        <v>27</v>
      </c>
      <c r="L171" s="37" t="s">
        <v>38</v>
      </c>
      <c r="M171" s="37" t="s">
        <v>553</v>
      </c>
      <c r="N171" s="37"/>
      <c r="O171" s="37"/>
    </row>
    <row r="172" spans="2:15">
      <c r="B172" s="47"/>
      <c r="C172" s="47"/>
      <c r="D172" s="37" t="s">
        <v>248</v>
      </c>
      <c r="E172" s="41">
        <v>0.309</v>
      </c>
      <c r="F172" s="42">
        <v>0.251</v>
      </c>
      <c r="G172" s="42">
        <v>0.40200000000000002</v>
      </c>
      <c r="H172" s="42">
        <v>0.51500000000000001</v>
      </c>
      <c r="I172" s="43">
        <v>0.10299999999999999</v>
      </c>
      <c r="J172" s="35">
        <v>2015</v>
      </c>
      <c r="K172" s="36" t="s">
        <v>27</v>
      </c>
      <c r="L172" s="37" t="s">
        <v>266</v>
      </c>
      <c r="M172" s="37" t="s">
        <v>553</v>
      </c>
      <c r="N172" s="37"/>
      <c r="O172" s="37" t="s">
        <v>604</v>
      </c>
    </row>
    <row r="173" spans="2:15">
      <c r="B173" s="47"/>
      <c r="C173" s="47"/>
      <c r="D173" s="37" t="s">
        <v>248</v>
      </c>
      <c r="E173" s="41">
        <v>0.35</v>
      </c>
      <c r="F173" s="42"/>
      <c r="G173" s="42"/>
      <c r="H173" s="42"/>
      <c r="I173" s="43"/>
      <c r="J173" s="35">
        <v>2012</v>
      </c>
      <c r="K173" s="36" t="s">
        <v>27</v>
      </c>
      <c r="L173" s="37" t="s">
        <v>24</v>
      </c>
      <c r="M173" s="37" t="s">
        <v>228</v>
      </c>
      <c r="N173" s="37"/>
      <c r="O173" s="37" t="s">
        <v>604</v>
      </c>
    </row>
    <row r="174" spans="2:15">
      <c r="B174" s="47"/>
      <c r="C174" s="47"/>
      <c r="D174" s="37" t="s">
        <v>248</v>
      </c>
      <c r="E174" s="41">
        <v>0.36</v>
      </c>
      <c r="F174" s="42">
        <v>0.32</v>
      </c>
      <c r="G174" s="42">
        <v>0.4</v>
      </c>
      <c r="H174" s="42"/>
      <c r="I174" s="43"/>
      <c r="J174" s="35">
        <v>2010</v>
      </c>
      <c r="K174" s="36" t="s">
        <v>27</v>
      </c>
      <c r="L174" s="37" t="s">
        <v>249</v>
      </c>
      <c r="M174" s="37" t="s">
        <v>228</v>
      </c>
      <c r="N174" s="37"/>
      <c r="O174" s="37" t="s">
        <v>604</v>
      </c>
    </row>
    <row r="175" spans="2:15">
      <c r="B175" s="47"/>
      <c r="C175" s="47"/>
      <c r="D175" s="37" t="s">
        <v>248</v>
      </c>
      <c r="E175" s="41">
        <v>0.36</v>
      </c>
      <c r="F175" s="42"/>
      <c r="G175" s="42"/>
      <c r="H175" s="42"/>
      <c r="I175" s="43"/>
      <c r="J175" s="35">
        <v>2006</v>
      </c>
      <c r="K175" s="36" t="s">
        <v>27</v>
      </c>
      <c r="L175" s="37" t="s">
        <v>38</v>
      </c>
      <c r="M175" s="37" t="s">
        <v>553</v>
      </c>
      <c r="N175" s="37"/>
      <c r="O175" s="37"/>
    </row>
    <row r="176" spans="2:15">
      <c r="B176" s="47"/>
      <c r="C176" s="47"/>
      <c r="D176" s="37" t="s">
        <v>252</v>
      </c>
      <c r="E176" s="41">
        <v>0.4</v>
      </c>
      <c r="F176" s="42">
        <v>0.4</v>
      </c>
      <c r="G176" s="42">
        <v>0.5</v>
      </c>
      <c r="H176" s="42"/>
      <c r="I176" s="43"/>
      <c r="J176" s="35">
        <v>2005</v>
      </c>
      <c r="K176" s="36" t="s">
        <v>27</v>
      </c>
      <c r="L176" s="37" t="s">
        <v>24</v>
      </c>
      <c r="M176" s="37"/>
      <c r="N176" s="37" t="s">
        <v>520</v>
      </c>
      <c r="O176" s="37" t="s">
        <v>521</v>
      </c>
    </row>
    <row r="177" spans="2:15">
      <c r="B177" s="47"/>
      <c r="C177" s="47"/>
      <c r="D177" s="37" t="s">
        <v>253</v>
      </c>
      <c r="E177" s="41">
        <v>0.3</v>
      </c>
      <c r="F177" s="42"/>
      <c r="G177" s="42"/>
      <c r="H177" s="42">
        <v>0.2</v>
      </c>
      <c r="I177" s="43">
        <v>0.5</v>
      </c>
      <c r="J177" s="35">
        <v>2019</v>
      </c>
      <c r="K177" s="36" t="s">
        <v>27</v>
      </c>
      <c r="L177" s="37" t="s">
        <v>24</v>
      </c>
      <c r="M177" s="37" t="s">
        <v>21</v>
      </c>
      <c r="N177" s="37"/>
      <c r="O177" s="37" t="s">
        <v>616</v>
      </c>
    </row>
    <row r="178" spans="2:15">
      <c r="B178" s="47"/>
      <c r="C178" s="47"/>
      <c r="D178" s="37" t="s">
        <v>253</v>
      </c>
      <c r="E178" s="41">
        <v>0.16700000000000001</v>
      </c>
      <c r="F178" s="42"/>
      <c r="G178" s="42"/>
      <c r="H178" s="42"/>
      <c r="I178" s="43"/>
      <c r="J178" s="35">
        <v>2016</v>
      </c>
      <c r="K178" s="36" t="s">
        <v>27</v>
      </c>
      <c r="L178" s="37" t="s">
        <v>24</v>
      </c>
      <c r="M178" s="37" t="s">
        <v>228</v>
      </c>
      <c r="N178" s="37"/>
      <c r="O178" s="37" t="s">
        <v>604</v>
      </c>
    </row>
    <row r="179" spans="2:15">
      <c r="B179" s="47"/>
      <c r="C179" s="47"/>
      <c r="D179" s="37" t="s">
        <v>253</v>
      </c>
      <c r="E179" s="41">
        <v>0.11</v>
      </c>
      <c r="F179" s="42"/>
      <c r="G179" s="42"/>
      <c r="H179" s="42"/>
      <c r="I179" s="43"/>
      <c r="J179" s="35">
        <v>2011</v>
      </c>
      <c r="K179" s="36" t="s">
        <v>27</v>
      </c>
      <c r="L179" s="37" t="s">
        <v>24</v>
      </c>
      <c r="M179" s="37" t="s">
        <v>228</v>
      </c>
      <c r="N179" s="37"/>
      <c r="O179" s="37" t="s">
        <v>604</v>
      </c>
    </row>
    <row r="180" spans="2:15">
      <c r="B180" s="47"/>
      <c r="C180" s="47"/>
      <c r="D180" s="37" t="s">
        <v>254</v>
      </c>
      <c r="E180" s="41">
        <v>0.1</v>
      </c>
      <c r="F180" s="42"/>
      <c r="G180" s="42"/>
      <c r="H180" s="42">
        <v>0.1</v>
      </c>
      <c r="I180" s="43">
        <v>0.1</v>
      </c>
      <c r="J180" s="35">
        <v>2018</v>
      </c>
      <c r="K180" s="36" t="s">
        <v>27</v>
      </c>
      <c r="L180" s="37" t="s">
        <v>24</v>
      </c>
      <c r="M180" s="37" t="s">
        <v>21</v>
      </c>
      <c r="N180" s="37"/>
      <c r="O180" s="37" t="s">
        <v>616</v>
      </c>
    </row>
    <row r="181" spans="2:15">
      <c r="B181" s="47"/>
      <c r="C181" s="47"/>
      <c r="D181" s="37" t="s">
        <v>254</v>
      </c>
      <c r="E181" s="41">
        <v>0.1</v>
      </c>
      <c r="F181" s="42"/>
      <c r="G181" s="42"/>
      <c r="H181" s="42">
        <v>0.1</v>
      </c>
      <c r="I181" s="43">
        <v>0</v>
      </c>
      <c r="J181" s="35">
        <v>2014</v>
      </c>
      <c r="K181" s="36" t="s">
        <v>144</v>
      </c>
      <c r="L181" s="37" t="s">
        <v>384</v>
      </c>
      <c r="M181" s="37" t="s">
        <v>21</v>
      </c>
      <c r="N181" s="37"/>
      <c r="O181" s="37"/>
    </row>
    <row r="182" spans="2:15">
      <c r="B182" s="47"/>
      <c r="C182" s="47"/>
      <c r="D182" s="37" t="s">
        <v>254</v>
      </c>
      <c r="E182" s="41">
        <v>0.28000000000000003</v>
      </c>
      <c r="F182" s="42">
        <v>0.18</v>
      </c>
      <c r="G182" s="42">
        <v>0.38</v>
      </c>
      <c r="H182" s="42"/>
      <c r="I182" s="43"/>
      <c r="J182" s="35">
        <v>2008</v>
      </c>
      <c r="K182" s="36" t="s">
        <v>27</v>
      </c>
      <c r="L182" s="37" t="s">
        <v>24</v>
      </c>
      <c r="M182" s="37" t="s">
        <v>228</v>
      </c>
      <c r="N182" s="37"/>
      <c r="O182" s="37" t="s">
        <v>604</v>
      </c>
    </row>
    <row r="183" spans="2:15">
      <c r="B183" s="47"/>
      <c r="C183" s="47"/>
      <c r="D183" s="37" t="s">
        <v>256</v>
      </c>
      <c r="E183" s="41">
        <v>0.03</v>
      </c>
      <c r="F183" s="42"/>
      <c r="G183" s="42"/>
      <c r="H183" s="42">
        <v>0.05</v>
      </c>
      <c r="I183" s="43"/>
      <c r="J183" s="35">
        <v>2018</v>
      </c>
      <c r="K183" s="36" t="s">
        <v>27</v>
      </c>
      <c r="L183" s="37" t="s">
        <v>24</v>
      </c>
      <c r="M183" s="37" t="s">
        <v>21</v>
      </c>
      <c r="N183" s="37"/>
      <c r="O183" s="37" t="s">
        <v>616</v>
      </c>
    </row>
    <row r="184" spans="2:15">
      <c r="B184" s="47"/>
      <c r="C184" s="47"/>
      <c r="D184" s="37" t="s">
        <v>256</v>
      </c>
      <c r="E184" s="41">
        <v>0.03</v>
      </c>
      <c r="F184" s="42">
        <v>0.02</v>
      </c>
      <c r="G184" s="42">
        <v>0.05</v>
      </c>
      <c r="H184" s="42"/>
      <c r="I184" s="43"/>
      <c r="J184" s="35">
        <v>2011</v>
      </c>
      <c r="K184" s="36" t="s">
        <v>27</v>
      </c>
      <c r="L184" s="37" t="s">
        <v>249</v>
      </c>
      <c r="M184" s="37" t="s">
        <v>228</v>
      </c>
      <c r="N184" s="37"/>
      <c r="O184" s="37" t="s">
        <v>604</v>
      </c>
    </row>
    <row r="185" spans="2:15">
      <c r="B185" s="47"/>
      <c r="C185" s="47"/>
      <c r="D185" s="37" t="s">
        <v>256</v>
      </c>
      <c r="E185" s="41">
        <v>0.03</v>
      </c>
      <c r="F185" s="42">
        <v>0.03</v>
      </c>
      <c r="G185" s="42">
        <v>0.03</v>
      </c>
      <c r="H185" s="42"/>
      <c r="I185" s="43"/>
      <c r="J185" s="35">
        <v>2010</v>
      </c>
      <c r="K185" s="36" t="s">
        <v>27</v>
      </c>
      <c r="L185" s="37" t="s">
        <v>249</v>
      </c>
      <c r="M185" s="37" t="s">
        <v>228</v>
      </c>
      <c r="N185" s="37"/>
      <c r="O185" s="37" t="s">
        <v>604</v>
      </c>
    </row>
    <row r="186" spans="2:15">
      <c r="B186" s="47"/>
      <c r="C186" s="47"/>
      <c r="D186" s="37" t="s">
        <v>256</v>
      </c>
      <c r="E186" s="41">
        <v>0.05</v>
      </c>
      <c r="F186" s="42"/>
      <c r="G186" s="42"/>
      <c r="H186" s="42"/>
      <c r="I186" s="43"/>
      <c r="J186" s="35">
        <v>2008</v>
      </c>
      <c r="K186" s="36" t="s">
        <v>27</v>
      </c>
      <c r="L186" s="37" t="s">
        <v>259</v>
      </c>
      <c r="M186" s="37" t="s">
        <v>553</v>
      </c>
      <c r="N186" s="37"/>
      <c r="O186" s="37" t="s">
        <v>604</v>
      </c>
    </row>
    <row r="187" spans="2:15">
      <c r="B187" s="47"/>
      <c r="C187" s="47" t="s">
        <v>257</v>
      </c>
      <c r="D187" s="37" t="s">
        <v>258</v>
      </c>
      <c r="E187" s="41">
        <v>0.65900000000000003</v>
      </c>
      <c r="F187" s="42">
        <v>0.63400000000000001</v>
      </c>
      <c r="G187" s="42">
        <v>0.68300000000000005</v>
      </c>
      <c r="H187" s="42"/>
      <c r="I187" s="43"/>
      <c r="J187" s="35">
        <v>2021</v>
      </c>
      <c r="K187" s="36" t="s">
        <v>27</v>
      </c>
      <c r="L187" s="37" t="s">
        <v>249</v>
      </c>
      <c r="M187" s="37" t="s">
        <v>228</v>
      </c>
      <c r="N187" s="37"/>
      <c r="O187" s="37" t="s">
        <v>560</v>
      </c>
    </row>
    <row r="188" spans="2:15">
      <c r="B188" s="47"/>
      <c r="C188" s="47"/>
      <c r="D188" s="37" t="s">
        <v>258</v>
      </c>
      <c r="E188" s="41">
        <v>0.53900000000000003</v>
      </c>
      <c r="F188" s="42">
        <v>0.52</v>
      </c>
      <c r="G188" s="42">
        <v>0.55000000000000004</v>
      </c>
      <c r="H188" s="42"/>
      <c r="I188" s="43"/>
      <c r="J188" s="35">
        <v>2019</v>
      </c>
      <c r="K188" s="36" t="s">
        <v>27</v>
      </c>
      <c r="L188" s="37" t="s">
        <v>249</v>
      </c>
      <c r="M188" s="37" t="s">
        <v>228</v>
      </c>
      <c r="N188" s="37"/>
      <c r="O188" s="37" t="s">
        <v>560</v>
      </c>
    </row>
    <row r="189" spans="2:15">
      <c r="B189" s="47"/>
      <c r="C189" s="47"/>
      <c r="D189" s="37" t="s">
        <v>258</v>
      </c>
      <c r="E189" s="41">
        <v>0.628</v>
      </c>
      <c r="F189" s="42">
        <v>0.60799999999999998</v>
      </c>
      <c r="G189" s="42">
        <v>0.64800000000000002</v>
      </c>
      <c r="H189" s="42"/>
      <c r="I189" s="43"/>
      <c r="J189" s="35">
        <v>2017</v>
      </c>
      <c r="K189" s="36" t="s">
        <v>27</v>
      </c>
      <c r="L189" s="37" t="s">
        <v>249</v>
      </c>
      <c r="M189" s="37"/>
      <c r="N189" s="37"/>
      <c r="O189" s="37" t="s">
        <v>560</v>
      </c>
    </row>
    <row r="190" spans="2:15">
      <c r="B190" s="47"/>
      <c r="C190" s="47"/>
      <c r="D190" s="37" t="s">
        <v>262</v>
      </c>
      <c r="E190" s="41">
        <v>0.1</v>
      </c>
      <c r="F190" s="42"/>
      <c r="G190" s="42"/>
      <c r="H190" s="42">
        <v>0.1</v>
      </c>
      <c r="I190" s="43">
        <v>0.1</v>
      </c>
      <c r="J190" s="35">
        <v>2022</v>
      </c>
      <c r="K190" s="36" t="s">
        <v>27</v>
      </c>
      <c r="L190" s="37" t="s">
        <v>24</v>
      </c>
      <c r="M190" s="37" t="s">
        <v>21</v>
      </c>
      <c r="N190" s="37"/>
      <c r="O190" s="37" t="s">
        <v>616</v>
      </c>
    </row>
    <row r="191" spans="2:15">
      <c r="B191" s="47"/>
      <c r="C191" s="47"/>
      <c r="D191" s="37" t="s">
        <v>262</v>
      </c>
      <c r="E191" s="41">
        <v>0.17899999999999999</v>
      </c>
      <c r="F191" s="42">
        <v>0.14699999999999999</v>
      </c>
      <c r="G191" s="42">
        <v>0.221</v>
      </c>
      <c r="H191" s="42"/>
      <c r="I191" s="43"/>
      <c r="J191" s="35">
        <v>2016</v>
      </c>
      <c r="K191" s="36" t="s">
        <v>27</v>
      </c>
      <c r="L191" s="37" t="s">
        <v>24</v>
      </c>
      <c r="M191" s="37" t="s">
        <v>228</v>
      </c>
      <c r="N191" s="37"/>
      <c r="O191" s="37" t="s">
        <v>604</v>
      </c>
    </row>
    <row r="192" spans="2:15">
      <c r="B192" s="47"/>
      <c r="C192" s="47"/>
      <c r="D192" s="37" t="s">
        <v>262</v>
      </c>
      <c r="E192" s="41">
        <v>0.246</v>
      </c>
      <c r="F192" s="42">
        <v>0.193</v>
      </c>
      <c r="G192" s="42">
        <v>0.32400000000000001</v>
      </c>
      <c r="H192" s="42"/>
      <c r="I192" s="43"/>
      <c r="J192" s="35">
        <v>2015</v>
      </c>
      <c r="K192" s="36" t="s">
        <v>27</v>
      </c>
      <c r="L192" s="37" t="s">
        <v>249</v>
      </c>
      <c r="M192" s="37" t="s">
        <v>228</v>
      </c>
      <c r="N192" s="37"/>
      <c r="O192" s="37" t="s">
        <v>604</v>
      </c>
    </row>
    <row r="193" spans="2:15">
      <c r="B193" s="47"/>
      <c r="C193" s="47"/>
      <c r="D193" s="37" t="s">
        <v>262</v>
      </c>
      <c r="E193" s="41">
        <v>0.18</v>
      </c>
      <c r="F193" s="42">
        <v>0.15</v>
      </c>
      <c r="G193" s="42">
        <v>0.24</v>
      </c>
      <c r="H193" s="42"/>
      <c r="I193" s="43"/>
      <c r="J193" s="35">
        <v>2014</v>
      </c>
      <c r="K193" s="36" t="s">
        <v>27</v>
      </c>
      <c r="L193" s="37" t="s">
        <v>249</v>
      </c>
      <c r="M193" s="37" t="s">
        <v>228</v>
      </c>
      <c r="N193" s="37"/>
      <c r="O193" s="37" t="s">
        <v>604</v>
      </c>
    </row>
    <row r="194" spans="2:15">
      <c r="B194" s="47"/>
      <c r="C194" s="47"/>
      <c r="D194" s="37" t="s">
        <v>262</v>
      </c>
      <c r="E194" s="41">
        <v>0.15</v>
      </c>
      <c r="F194" s="42">
        <v>0.12</v>
      </c>
      <c r="G194" s="42">
        <v>0.21</v>
      </c>
      <c r="H194" s="42"/>
      <c r="I194" s="43"/>
      <c r="J194" s="35">
        <v>2013</v>
      </c>
      <c r="K194" s="36" t="s">
        <v>27</v>
      </c>
      <c r="L194" s="37" t="s">
        <v>249</v>
      </c>
      <c r="M194" s="37" t="s">
        <v>228</v>
      </c>
      <c r="N194" s="37"/>
      <c r="O194" s="37" t="s">
        <v>604</v>
      </c>
    </row>
    <row r="195" spans="2:15">
      <c r="B195" s="47"/>
      <c r="C195" s="47"/>
      <c r="D195" s="37" t="s">
        <v>262</v>
      </c>
      <c r="E195" s="41">
        <v>0.12</v>
      </c>
      <c r="F195" s="42">
        <v>0.1</v>
      </c>
      <c r="G195" s="42">
        <v>0.15</v>
      </c>
      <c r="H195" s="42"/>
      <c r="I195" s="43"/>
      <c r="J195" s="35">
        <v>2012</v>
      </c>
      <c r="K195" s="36" t="s">
        <v>27</v>
      </c>
      <c r="L195" s="37" t="s">
        <v>249</v>
      </c>
      <c r="M195" s="37" t="s">
        <v>228</v>
      </c>
      <c r="N195" s="37"/>
      <c r="O195" s="37" t="s">
        <v>604</v>
      </c>
    </row>
    <row r="196" spans="2:15">
      <c r="B196" s="47"/>
      <c r="C196" s="47"/>
      <c r="D196" s="37" t="s">
        <v>263</v>
      </c>
      <c r="E196" s="41">
        <v>0.1</v>
      </c>
      <c r="F196" s="42"/>
      <c r="G196" s="42"/>
      <c r="H196" s="42">
        <v>0</v>
      </c>
      <c r="I196" s="43">
        <v>0.1</v>
      </c>
      <c r="J196" s="35">
        <v>2020</v>
      </c>
      <c r="K196" s="36" t="s">
        <v>27</v>
      </c>
      <c r="L196" s="37" t="s">
        <v>24</v>
      </c>
      <c r="M196" s="37" t="s">
        <v>21</v>
      </c>
      <c r="N196" s="37"/>
      <c r="O196" s="37" t="s">
        <v>616</v>
      </c>
    </row>
    <row r="197" spans="2:15">
      <c r="B197" s="47"/>
      <c r="C197" s="47"/>
      <c r="D197" s="37" t="s">
        <v>263</v>
      </c>
      <c r="E197" s="41">
        <v>0.1</v>
      </c>
      <c r="F197" s="42"/>
      <c r="G197" s="42"/>
      <c r="H197" s="42">
        <v>0.2</v>
      </c>
      <c r="I197" s="43">
        <v>0</v>
      </c>
      <c r="J197" s="35">
        <v>2019</v>
      </c>
      <c r="K197" s="36" t="s">
        <v>27</v>
      </c>
      <c r="L197" s="37" t="s">
        <v>24</v>
      </c>
      <c r="M197" s="37" t="s">
        <v>21</v>
      </c>
      <c r="N197" s="37"/>
      <c r="O197" s="37" t="s">
        <v>616</v>
      </c>
    </row>
    <row r="198" spans="2:15">
      <c r="B198" s="47"/>
      <c r="C198" s="47"/>
      <c r="D198" s="37" t="s">
        <v>263</v>
      </c>
      <c r="E198" s="41">
        <v>0.2</v>
      </c>
      <c r="F198" s="42"/>
      <c r="G198" s="42"/>
      <c r="H198" s="42">
        <v>0.1</v>
      </c>
      <c r="I198" s="43">
        <v>0.2</v>
      </c>
      <c r="J198" s="35">
        <v>2018</v>
      </c>
      <c r="K198" s="36" t="s">
        <v>27</v>
      </c>
      <c r="L198" s="37" t="s">
        <v>24</v>
      </c>
      <c r="M198" s="37" t="s">
        <v>21</v>
      </c>
      <c r="N198" s="37"/>
      <c r="O198" s="37" t="s">
        <v>616</v>
      </c>
    </row>
    <row r="199" spans="2:15">
      <c r="B199" s="47"/>
      <c r="C199" s="47"/>
      <c r="D199" s="37" t="s">
        <v>263</v>
      </c>
      <c r="E199" s="41">
        <v>0.2</v>
      </c>
      <c r="F199" s="42"/>
      <c r="G199" s="42"/>
      <c r="H199" s="42">
        <v>0.4</v>
      </c>
      <c r="I199" s="43">
        <v>0.1</v>
      </c>
      <c r="J199" s="35">
        <v>2016</v>
      </c>
      <c r="K199" s="36" t="s">
        <v>27</v>
      </c>
      <c r="L199" s="37" t="s">
        <v>24</v>
      </c>
      <c r="M199" s="37" t="s">
        <v>21</v>
      </c>
      <c r="N199" s="37"/>
      <c r="O199" s="37" t="s">
        <v>616</v>
      </c>
    </row>
    <row r="200" spans="2:15">
      <c r="B200" s="47"/>
      <c r="C200" s="47"/>
      <c r="D200" s="37" t="s">
        <v>264</v>
      </c>
      <c r="E200" s="41">
        <v>0.1</v>
      </c>
      <c r="F200" s="42"/>
      <c r="G200" s="42"/>
      <c r="H200" s="42">
        <v>0.1</v>
      </c>
      <c r="I200" s="43">
        <v>0</v>
      </c>
      <c r="J200" s="35">
        <v>2017</v>
      </c>
      <c r="K200" s="36" t="s">
        <v>656</v>
      </c>
      <c r="L200" s="37" t="s">
        <v>24</v>
      </c>
      <c r="M200" s="37" t="s">
        <v>21</v>
      </c>
      <c r="N200" s="37"/>
      <c r="O200" s="37" t="s">
        <v>616</v>
      </c>
    </row>
    <row r="201" spans="2:15">
      <c r="B201" s="47"/>
      <c r="C201" s="47"/>
      <c r="D201" s="37" t="s">
        <v>264</v>
      </c>
      <c r="E201" s="41">
        <v>0.52</v>
      </c>
      <c r="F201" s="42">
        <v>0.49</v>
      </c>
      <c r="G201" s="42">
        <v>0.55000000000000004</v>
      </c>
      <c r="H201" s="42"/>
      <c r="I201" s="43"/>
      <c r="J201" s="35">
        <v>2009</v>
      </c>
      <c r="K201" s="36" t="s">
        <v>27</v>
      </c>
      <c r="L201" s="37" t="s">
        <v>36</v>
      </c>
      <c r="M201" s="37" t="s">
        <v>228</v>
      </c>
      <c r="N201" s="37"/>
      <c r="O201" s="37" t="s">
        <v>604</v>
      </c>
    </row>
    <row r="202" spans="2:15">
      <c r="B202" s="47"/>
      <c r="C202" s="47"/>
      <c r="D202" s="37" t="s">
        <v>264</v>
      </c>
      <c r="E202" s="41">
        <v>0.6</v>
      </c>
      <c r="F202" s="42"/>
      <c r="G202" s="42"/>
      <c r="H202" s="42"/>
      <c r="I202" s="43"/>
      <c r="J202" s="35">
        <v>2005</v>
      </c>
      <c r="K202" s="36" t="s">
        <v>27</v>
      </c>
      <c r="L202" s="37" t="s">
        <v>24</v>
      </c>
      <c r="M202" s="37" t="s">
        <v>228</v>
      </c>
      <c r="N202" s="37"/>
      <c r="O202" s="37"/>
    </row>
    <row r="203" spans="2:15">
      <c r="B203" s="47"/>
      <c r="C203" s="47"/>
      <c r="D203" s="37" t="s">
        <v>267</v>
      </c>
      <c r="E203" s="41">
        <v>0.04</v>
      </c>
      <c r="F203" s="42"/>
      <c r="G203" s="42"/>
      <c r="H203" s="42">
        <v>0.11</v>
      </c>
      <c r="I203" s="43">
        <v>0</v>
      </c>
      <c r="J203" s="35">
        <v>2018</v>
      </c>
      <c r="K203" s="36" t="s">
        <v>265</v>
      </c>
      <c r="L203" s="37" t="s">
        <v>24</v>
      </c>
      <c r="M203" s="37" t="s">
        <v>21</v>
      </c>
      <c r="N203" s="37"/>
      <c r="O203" s="37" t="s">
        <v>616</v>
      </c>
    </row>
    <row r="204" spans="2:15">
      <c r="B204" s="47"/>
      <c r="C204" s="47"/>
      <c r="D204" s="37" t="s">
        <v>268</v>
      </c>
      <c r="E204" s="41">
        <v>0.1</v>
      </c>
      <c r="F204" s="42"/>
      <c r="G204" s="42"/>
      <c r="H204" s="42">
        <v>0.1</v>
      </c>
      <c r="I204" s="43">
        <v>0</v>
      </c>
      <c r="J204" s="35">
        <v>2022</v>
      </c>
      <c r="K204" s="36" t="s">
        <v>27</v>
      </c>
      <c r="L204" s="37" t="s">
        <v>24</v>
      </c>
      <c r="M204" s="37" t="s">
        <v>21</v>
      </c>
      <c r="N204" s="37"/>
      <c r="O204" s="37" t="s">
        <v>616</v>
      </c>
    </row>
    <row r="205" spans="2:15">
      <c r="B205" s="47"/>
      <c r="C205" s="47"/>
      <c r="D205" s="37" t="s">
        <v>268</v>
      </c>
      <c r="E205" s="41">
        <v>0.1</v>
      </c>
      <c r="F205" s="42"/>
      <c r="G205" s="42"/>
      <c r="H205" s="42">
        <v>0.1</v>
      </c>
      <c r="I205" s="43"/>
      <c r="J205" s="35">
        <v>2018</v>
      </c>
      <c r="K205" s="36" t="s">
        <v>27</v>
      </c>
      <c r="L205" s="37" t="s">
        <v>24</v>
      </c>
      <c r="M205" s="37" t="s">
        <v>21</v>
      </c>
      <c r="N205" s="37"/>
      <c r="O205" s="37" t="s">
        <v>616</v>
      </c>
    </row>
    <row r="206" spans="2:15">
      <c r="B206" s="47"/>
      <c r="C206" s="47"/>
      <c r="D206" s="37" t="s">
        <v>268</v>
      </c>
      <c r="E206" s="41">
        <v>0.1</v>
      </c>
      <c r="F206" s="42"/>
      <c r="G206" s="42"/>
      <c r="H206" s="42">
        <v>0.1</v>
      </c>
      <c r="I206" s="43">
        <v>0.1</v>
      </c>
      <c r="J206" s="35">
        <v>2014</v>
      </c>
      <c r="K206" s="36" t="s">
        <v>27</v>
      </c>
      <c r="L206" s="37" t="s">
        <v>24</v>
      </c>
      <c r="M206" s="37" t="s">
        <v>21</v>
      </c>
      <c r="N206" s="37"/>
      <c r="O206" s="37" t="s">
        <v>616</v>
      </c>
    </row>
    <row r="207" spans="2:15">
      <c r="B207" s="47"/>
      <c r="C207" s="47"/>
      <c r="D207" s="37" t="s">
        <v>269</v>
      </c>
      <c r="E207" s="41">
        <v>0.3</v>
      </c>
      <c r="F207" s="42"/>
      <c r="G207" s="42"/>
      <c r="H207" s="42">
        <v>0.4</v>
      </c>
      <c r="I207" s="43">
        <v>0.2</v>
      </c>
      <c r="J207" s="35">
        <v>2023</v>
      </c>
      <c r="K207" s="36" t="s">
        <v>144</v>
      </c>
      <c r="L207" s="37" t="s">
        <v>24</v>
      </c>
      <c r="M207" s="37" t="s">
        <v>21</v>
      </c>
      <c r="N207" s="37"/>
      <c r="O207" s="37" t="s">
        <v>616</v>
      </c>
    </row>
    <row r="208" spans="2:15">
      <c r="B208" s="47"/>
      <c r="C208" s="47"/>
      <c r="D208" s="37" t="s">
        <v>269</v>
      </c>
      <c r="E208" s="41">
        <v>0.317</v>
      </c>
      <c r="F208" s="42">
        <v>0.309</v>
      </c>
      <c r="G208" s="42">
        <v>0.32500000000000001</v>
      </c>
      <c r="H208" s="42"/>
      <c r="I208" s="43"/>
      <c r="J208" s="35">
        <v>2019</v>
      </c>
      <c r="K208" s="36" t="s">
        <v>27</v>
      </c>
      <c r="L208" s="37" t="s">
        <v>249</v>
      </c>
      <c r="M208" s="37" t="s">
        <v>228</v>
      </c>
      <c r="N208" s="37"/>
      <c r="O208" s="37" t="s">
        <v>607</v>
      </c>
    </row>
    <row r="209" spans="2:15">
      <c r="B209" s="47"/>
      <c r="C209" s="47"/>
      <c r="D209" s="37" t="s">
        <v>269</v>
      </c>
      <c r="E209" s="41">
        <v>0.2</v>
      </c>
      <c r="F209" s="42"/>
      <c r="G209" s="42"/>
      <c r="H209" s="42">
        <v>0.3</v>
      </c>
      <c r="I209" s="43">
        <v>0.1</v>
      </c>
      <c r="J209" s="35">
        <v>2017</v>
      </c>
      <c r="K209" s="36" t="s">
        <v>27</v>
      </c>
      <c r="L209" s="37" t="s">
        <v>24</v>
      </c>
      <c r="M209" s="37" t="s">
        <v>21</v>
      </c>
      <c r="N209" s="37"/>
      <c r="O209" s="37" t="s">
        <v>616</v>
      </c>
    </row>
    <row r="210" spans="2:15">
      <c r="B210" s="47"/>
      <c r="C210" s="47"/>
      <c r="D210" s="37" t="s">
        <v>269</v>
      </c>
      <c r="E210" s="41">
        <v>0.52</v>
      </c>
      <c r="F210" s="42"/>
      <c r="G210" s="42"/>
      <c r="H210" s="42"/>
      <c r="I210" s="43"/>
      <c r="J210" s="35">
        <v>2011</v>
      </c>
      <c r="K210" s="36" t="s">
        <v>27</v>
      </c>
      <c r="L210" s="37" t="s">
        <v>24</v>
      </c>
      <c r="M210" s="37" t="s">
        <v>228</v>
      </c>
      <c r="N210" s="37"/>
      <c r="O210" s="37" t="s">
        <v>604</v>
      </c>
    </row>
    <row r="211" spans="2:15">
      <c r="B211" s="47"/>
      <c r="C211" s="47"/>
      <c r="D211" s="37" t="s">
        <v>269</v>
      </c>
      <c r="E211" s="41">
        <v>0.36</v>
      </c>
      <c r="F211" s="42"/>
      <c r="G211" s="42"/>
      <c r="H211" s="42"/>
      <c r="I211" s="43"/>
      <c r="J211" s="35">
        <v>2010</v>
      </c>
      <c r="K211" s="36" t="s">
        <v>27</v>
      </c>
      <c r="L211" s="37" t="s">
        <v>61</v>
      </c>
      <c r="M211" s="37" t="s">
        <v>228</v>
      </c>
      <c r="N211" s="37"/>
      <c r="O211" s="37"/>
    </row>
    <row r="212" spans="2:15">
      <c r="B212" s="47"/>
      <c r="C212" s="47"/>
      <c r="D212" s="37" t="s">
        <v>270</v>
      </c>
      <c r="E212" s="41">
        <v>0.2</v>
      </c>
      <c r="F212" s="42"/>
      <c r="G212" s="42"/>
      <c r="H212" s="42">
        <v>0.2</v>
      </c>
      <c r="I212" s="43">
        <v>0.2</v>
      </c>
      <c r="J212" s="35">
        <v>2021</v>
      </c>
      <c r="K212" s="36" t="s">
        <v>144</v>
      </c>
      <c r="L212" s="37" t="s">
        <v>24</v>
      </c>
      <c r="M212" s="37" t="s">
        <v>21</v>
      </c>
      <c r="N212" s="37"/>
      <c r="O212" s="37" t="s">
        <v>616</v>
      </c>
    </row>
    <row r="213" spans="2:15">
      <c r="B213" s="47"/>
      <c r="C213" s="47"/>
      <c r="D213" s="37" t="s">
        <v>270</v>
      </c>
      <c r="E213" s="41">
        <v>0.22</v>
      </c>
      <c r="F213" s="42"/>
      <c r="G213" s="42"/>
      <c r="H213" s="42"/>
      <c r="I213" s="43"/>
      <c r="J213" s="35">
        <v>2014</v>
      </c>
      <c r="K213" s="36" t="s">
        <v>27</v>
      </c>
      <c r="L213" s="37" t="s">
        <v>24</v>
      </c>
      <c r="M213" s="37" t="s">
        <v>228</v>
      </c>
      <c r="N213" s="37"/>
      <c r="O213" s="37" t="s">
        <v>604</v>
      </c>
    </row>
    <row r="214" spans="2:15">
      <c r="B214" s="47"/>
      <c r="C214" s="47"/>
      <c r="D214" s="37" t="s">
        <v>270</v>
      </c>
      <c r="E214" s="41">
        <v>0.21</v>
      </c>
      <c r="F214" s="42"/>
      <c r="G214" s="42"/>
      <c r="H214" s="42"/>
      <c r="I214" s="43"/>
      <c r="J214" s="35">
        <v>2013</v>
      </c>
      <c r="K214" s="36" t="s">
        <v>27</v>
      </c>
      <c r="L214" s="37" t="s">
        <v>36</v>
      </c>
      <c r="M214" s="37" t="s">
        <v>228</v>
      </c>
      <c r="N214" s="37"/>
      <c r="O214" s="37" t="s">
        <v>604</v>
      </c>
    </row>
    <row r="215" spans="2:15">
      <c r="B215" s="47"/>
      <c r="C215" s="47"/>
      <c r="D215" s="37" t="s">
        <v>270</v>
      </c>
      <c r="E215" s="41">
        <v>0.23</v>
      </c>
      <c r="F215" s="42"/>
      <c r="G215" s="42"/>
      <c r="H215" s="42"/>
      <c r="I215" s="43"/>
      <c r="J215" s="35">
        <v>2012</v>
      </c>
      <c r="K215" s="36" t="s">
        <v>144</v>
      </c>
      <c r="L215" s="37" t="s">
        <v>24</v>
      </c>
      <c r="M215" s="37" t="s">
        <v>228</v>
      </c>
      <c r="N215" s="37"/>
      <c r="O215" s="37" t="s">
        <v>604</v>
      </c>
    </row>
    <row r="216" spans="2:15">
      <c r="B216" s="47"/>
      <c r="C216" s="47"/>
      <c r="D216" s="37" t="s">
        <v>272</v>
      </c>
      <c r="E216" s="41">
        <v>0.12</v>
      </c>
      <c r="F216" s="42">
        <v>0.1</v>
      </c>
      <c r="G216" s="42">
        <v>0.15</v>
      </c>
      <c r="H216" s="42"/>
      <c r="I216" s="43"/>
      <c r="J216" s="35">
        <v>2022</v>
      </c>
      <c r="K216" s="36" t="s">
        <v>27</v>
      </c>
      <c r="L216" s="37" t="s">
        <v>266</v>
      </c>
      <c r="M216" s="37" t="s">
        <v>228</v>
      </c>
      <c r="N216" s="37"/>
      <c r="O216" s="37" t="s">
        <v>657</v>
      </c>
    </row>
    <row r="217" spans="2:15">
      <c r="B217" s="47"/>
      <c r="C217" s="47"/>
      <c r="D217" s="37" t="s">
        <v>272</v>
      </c>
      <c r="E217" s="41">
        <v>0.157</v>
      </c>
      <c r="F217" s="42">
        <v>0.11</v>
      </c>
      <c r="G217" s="42">
        <v>0.24099999999999999</v>
      </c>
      <c r="H217" s="42"/>
      <c r="I217" s="43"/>
      <c r="J217" s="35">
        <v>2021</v>
      </c>
      <c r="K217" s="36" t="s">
        <v>27</v>
      </c>
      <c r="L217" s="37" t="s">
        <v>249</v>
      </c>
      <c r="M217" s="37" t="s">
        <v>228</v>
      </c>
      <c r="N217" s="37"/>
      <c r="O217" s="37" t="s">
        <v>657</v>
      </c>
    </row>
    <row r="218" spans="2:15">
      <c r="B218" s="47"/>
      <c r="C218" s="47"/>
      <c r="D218" s="37" t="s">
        <v>272</v>
      </c>
      <c r="E218" s="41">
        <v>0.182</v>
      </c>
      <c r="F218" s="42">
        <v>0.14599999999999999</v>
      </c>
      <c r="G218" s="42">
        <v>0.23100000000000001</v>
      </c>
      <c r="H218" s="42"/>
      <c r="I218" s="43"/>
      <c r="J218" s="35">
        <v>2020</v>
      </c>
      <c r="K218" s="36" t="s">
        <v>27</v>
      </c>
      <c r="L218" s="37" t="s">
        <v>249</v>
      </c>
      <c r="M218" s="37" t="s">
        <v>228</v>
      </c>
      <c r="N218" s="37"/>
      <c r="O218" s="37" t="s">
        <v>657</v>
      </c>
    </row>
    <row r="219" spans="2:15">
      <c r="B219" s="47"/>
      <c r="C219" s="47"/>
      <c r="D219" s="37" t="s">
        <v>272</v>
      </c>
      <c r="E219" s="41">
        <v>0.216</v>
      </c>
      <c r="F219" s="42">
        <v>0.17899999999999999</v>
      </c>
      <c r="G219" s="42">
        <v>0.26600000000000001</v>
      </c>
      <c r="H219" s="42"/>
      <c r="I219" s="43"/>
      <c r="J219" s="35">
        <v>2019</v>
      </c>
      <c r="K219" s="36" t="s">
        <v>27</v>
      </c>
      <c r="L219" s="37" t="s">
        <v>249</v>
      </c>
      <c r="M219" s="37" t="s">
        <v>228</v>
      </c>
      <c r="N219" s="37"/>
      <c r="O219" s="37" t="s">
        <v>657</v>
      </c>
    </row>
    <row r="220" spans="2:15">
      <c r="B220" s="47"/>
      <c r="C220" s="47"/>
      <c r="D220" s="37" t="s">
        <v>272</v>
      </c>
      <c r="E220" s="41">
        <v>0.19700000000000001</v>
      </c>
      <c r="F220" s="42">
        <v>0.16300000000000001</v>
      </c>
      <c r="G220" s="42">
        <v>0.24299999999999999</v>
      </c>
      <c r="H220" s="42"/>
      <c r="I220" s="43"/>
      <c r="J220" s="35">
        <v>2018</v>
      </c>
      <c r="K220" s="36" t="s">
        <v>27</v>
      </c>
      <c r="L220" s="37" t="s">
        <v>249</v>
      </c>
      <c r="M220" s="37" t="s">
        <v>228</v>
      </c>
      <c r="N220" s="37"/>
      <c r="O220" s="37" t="s">
        <v>604</v>
      </c>
    </row>
    <row r="221" spans="2:15">
      <c r="B221" s="47"/>
      <c r="C221" s="47"/>
      <c r="D221" s="37" t="s">
        <v>272</v>
      </c>
      <c r="E221" s="41">
        <v>0.21</v>
      </c>
      <c r="F221" s="42">
        <v>0.18</v>
      </c>
      <c r="G221" s="42">
        <v>0.247</v>
      </c>
      <c r="H221" s="42"/>
      <c r="I221" s="43"/>
      <c r="J221" s="35">
        <v>2017</v>
      </c>
      <c r="K221" s="36" t="s">
        <v>27</v>
      </c>
      <c r="L221" s="37" t="s">
        <v>249</v>
      </c>
      <c r="M221" s="37" t="s">
        <v>228</v>
      </c>
      <c r="N221" s="37"/>
      <c r="O221" s="37" t="s">
        <v>604</v>
      </c>
    </row>
    <row r="222" spans="2:15">
      <c r="B222" s="47"/>
      <c r="C222" s="47"/>
      <c r="D222" s="37" t="s">
        <v>272</v>
      </c>
      <c r="E222" s="41">
        <v>0.246</v>
      </c>
      <c r="F222" s="42">
        <v>0.21099999999999999</v>
      </c>
      <c r="G222" s="42">
        <v>0.28999999999999998</v>
      </c>
      <c r="H222" s="42"/>
      <c r="I222" s="43"/>
      <c r="J222" s="35">
        <v>2016</v>
      </c>
      <c r="K222" s="36" t="s">
        <v>27</v>
      </c>
      <c r="L222" s="37" t="s">
        <v>24</v>
      </c>
      <c r="M222" s="37" t="s">
        <v>228</v>
      </c>
      <c r="N222" s="37"/>
      <c r="O222" s="37" t="s">
        <v>604</v>
      </c>
    </row>
    <row r="223" spans="2:15">
      <c r="B223" s="47"/>
      <c r="C223" s="47"/>
      <c r="D223" s="37" t="s">
        <v>272</v>
      </c>
      <c r="E223" s="41">
        <v>0.22700000000000001</v>
      </c>
      <c r="F223" s="42"/>
      <c r="G223" s="42"/>
      <c r="H223" s="42"/>
      <c r="I223" s="43"/>
      <c r="J223" s="35">
        <v>2015</v>
      </c>
      <c r="K223" s="36" t="s">
        <v>27</v>
      </c>
      <c r="L223" s="37" t="s">
        <v>24</v>
      </c>
      <c r="M223" s="37" t="s">
        <v>228</v>
      </c>
      <c r="N223" s="37"/>
      <c r="O223" s="37" t="s">
        <v>604</v>
      </c>
    </row>
    <row r="224" spans="2:15">
      <c r="B224" s="47"/>
      <c r="C224" s="47"/>
      <c r="D224" s="37" t="s">
        <v>272</v>
      </c>
      <c r="E224" s="41">
        <v>0.24</v>
      </c>
      <c r="F224" s="42">
        <v>0.21</v>
      </c>
      <c r="G224" s="42">
        <v>0.28000000000000003</v>
      </c>
      <c r="H224" s="42"/>
      <c r="I224" s="43"/>
      <c r="J224" s="35">
        <v>2014</v>
      </c>
      <c r="K224" s="36" t="s">
        <v>27</v>
      </c>
      <c r="L224" s="37" t="s">
        <v>249</v>
      </c>
      <c r="M224" s="37" t="s">
        <v>228</v>
      </c>
      <c r="N224" s="37"/>
      <c r="O224" s="37" t="s">
        <v>604</v>
      </c>
    </row>
    <row r="225" spans="2:15">
      <c r="B225" s="47"/>
      <c r="C225" s="47"/>
      <c r="D225" s="37" t="s">
        <v>272</v>
      </c>
      <c r="E225" s="41">
        <v>0.22</v>
      </c>
      <c r="F225" s="42">
        <v>0.2</v>
      </c>
      <c r="G225" s="42">
        <v>0.26</v>
      </c>
      <c r="H225" s="42"/>
      <c r="I225" s="43"/>
      <c r="J225" s="35">
        <v>2013</v>
      </c>
      <c r="K225" s="36" t="s">
        <v>27</v>
      </c>
      <c r="L225" s="37" t="s">
        <v>249</v>
      </c>
      <c r="M225" s="37" t="s">
        <v>228</v>
      </c>
      <c r="N225" s="37"/>
      <c r="O225" s="37" t="s">
        <v>604</v>
      </c>
    </row>
    <row r="226" spans="2:15">
      <c r="B226" s="47"/>
      <c r="C226" s="47"/>
      <c r="D226" s="37" t="s">
        <v>272</v>
      </c>
      <c r="E226" s="41">
        <v>0.23</v>
      </c>
      <c r="F226" s="42">
        <v>0.26</v>
      </c>
      <c r="G226" s="42">
        <v>0.32</v>
      </c>
      <c r="H226" s="42"/>
      <c r="I226" s="43"/>
      <c r="J226" s="35">
        <v>2012</v>
      </c>
      <c r="K226" s="36" t="s">
        <v>27</v>
      </c>
      <c r="L226" s="37" t="s">
        <v>249</v>
      </c>
      <c r="M226" s="37" t="s">
        <v>228</v>
      </c>
      <c r="N226" s="37"/>
      <c r="O226" s="37" t="s">
        <v>604</v>
      </c>
    </row>
    <row r="227" spans="2:15">
      <c r="B227" s="47"/>
      <c r="C227" s="47"/>
      <c r="D227" s="37" t="s">
        <v>273</v>
      </c>
      <c r="E227" s="41">
        <v>0.2</v>
      </c>
      <c r="F227" s="42"/>
      <c r="G227" s="42"/>
      <c r="H227" s="42">
        <v>0.3</v>
      </c>
      <c r="I227" s="43">
        <v>0.1</v>
      </c>
      <c r="J227" s="35">
        <v>2019</v>
      </c>
      <c r="K227" s="36" t="s">
        <v>144</v>
      </c>
      <c r="L227" s="37" t="s">
        <v>24</v>
      </c>
      <c r="M227" s="37" t="s">
        <v>21</v>
      </c>
      <c r="N227" s="37"/>
      <c r="O227" s="37" t="s">
        <v>616</v>
      </c>
    </row>
    <row r="228" spans="2:15">
      <c r="B228" s="47"/>
      <c r="C228" s="47"/>
      <c r="D228" s="37" t="s">
        <v>273</v>
      </c>
      <c r="E228" s="41">
        <v>0.13</v>
      </c>
      <c r="F228" s="42"/>
      <c r="G228" s="42"/>
      <c r="H228" s="42">
        <v>0.17</v>
      </c>
      <c r="I228" s="43">
        <v>0</v>
      </c>
      <c r="J228" s="35">
        <v>2015</v>
      </c>
      <c r="K228" s="36" t="s">
        <v>144</v>
      </c>
      <c r="L228" s="37" t="s">
        <v>24</v>
      </c>
      <c r="M228" s="37" t="s">
        <v>21</v>
      </c>
      <c r="N228" s="37"/>
      <c r="O228" s="37" t="s">
        <v>658</v>
      </c>
    </row>
    <row r="229" spans="2:15">
      <c r="B229" s="47"/>
      <c r="C229" s="47"/>
      <c r="D229" s="37" t="s">
        <v>273</v>
      </c>
      <c r="E229" s="41">
        <v>0.05</v>
      </c>
      <c r="F229" s="42">
        <v>0.04</v>
      </c>
      <c r="G229" s="42">
        <v>0.05</v>
      </c>
      <c r="H229" s="42"/>
      <c r="I229" s="43"/>
      <c r="J229" s="35">
        <v>2011</v>
      </c>
      <c r="K229" s="36" t="s">
        <v>27</v>
      </c>
      <c r="L229" s="37" t="s">
        <v>249</v>
      </c>
      <c r="M229" s="37" t="s">
        <v>228</v>
      </c>
      <c r="N229" s="37"/>
      <c r="O229" s="37" t="s">
        <v>604</v>
      </c>
    </row>
    <row r="230" spans="2:15">
      <c r="B230" s="47"/>
      <c r="C230" s="47"/>
      <c r="D230" s="37" t="s">
        <v>273</v>
      </c>
      <c r="E230" s="41">
        <v>0.05</v>
      </c>
      <c r="F230" s="42"/>
      <c r="G230" s="42"/>
      <c r="H230" s="42"/>
      <c r="I230" s="43"/>
      <c r="J230" s="35">
        <v>2009</v>
      </c>
      <c r="K230" s="36" t="s">
        <v>27</v>
      </c>
      <c r="L230" s="37" t="s">
        <v>24</v>
      </c>
      <c r="M230" s="37" t="s">
        <v>228</v>
      </c>
      <c r="N230" s="37"/>
      <c r="O230" s="37"/>
    </row>
    <row r="231" spans="2:15">
      <c r="B231" s="47"/>
      <c r="C231" s="47"/>
      <c r="D231" s="37" t="s">
        <v>276</v>
      </c>
      <c r="E231" s="41">
        <v>0.61799999999999999</v>
      </c>
      <c r="F231" s="42">
        <v>0.60899999999999999</v>
      </c>
      <c r="G231" s="42">
        <v>0.69799999999999995</v>
      </c>
      <c r="H231" s="42"/>
      <c r="I231" s="43"/>
      <c r="J231" s="35">
        <v>2014</v>
      </c>
      <c r="K231" s="36" t="s">
        <v>27</v>
      </c>
      <c r="L231" s="37" t="s">
        <v>24</v>
      </c>
      <c r="M231" s="37" t="s">
        <v>228</v>
      </c>
      <c r="N231" s="37"/>
      <c r="O231" s="37" t="s">
        <v>604</v>
      </c>
    </row>
    <row r="232" spans="2:15">
      <c r="B232" s="47"/>
      <c r="C232" s="47"/>
      <c r="D232" s="37" t="s">
        <v>276</v>
      </c>
      <c r="E232" s="41">
        <v>0.72</v>
      </c>
      <c r="F232" s="42">
        <v>0.62</v>
      </c>
      <c r="G232" s="42">
        <v>0.81</v>
      </c>
      <c r="H232" s="42"/>
      <c r="I232" s="43"/>
      <c r="J232" s="35">
        <v>2006</v>
      </c>
      <c r="K232" s="36" t="s">
        <v>27</v>
      </c>
      <c r="L232" s="37" t="s">
        <v>249</v>
      </c>
      <c r="M232" s="37" t="s">
        <v>228</v>
      </c>
      <c r="N232" s="37"/>
      <c r="O232" s="37" t="s">
        <v>604</v>
      </c>
    </row>
    <row r="233" spans="2:15">
      <c r="B233" s="47"/>
      <c r="C233" s="47"/>
      <c r="D233" s="37" t="s">
        <v>276</v>
      </c>
      <c r="E233" s="41">
        <v>0.5</v>
      </c>
      <c r="F233" s="42"/>
      <c r="G233" s="42"/>
      <c r="H233" s="42"/>
      <c r="I233" s="43"/>
      <c r="J233" s="35">
        <v>2001</v>
      </c>
      <c r="K233" s="36" t="s">
        <v>27</v>
      </c>
      <c r="L233" s="37" t="s">
        <v>24</v>
      </c>
      <c r="M233" s="37" t="s">
        <v>228</v>
      </c>
      <c r="N233" s="37"/>
      <c r="O233" s="37"/>
    </row>
    <row r="234" spans="2:15">
      <c r="B234" s="47"/>
      <c r="C234" s="47"/>
      <c r="D234" s="37" t="s">
        <v>278</v>
      </c>
      <c r="E234" s="41">
        <v>0.48476999999999998</v>
      </c>
      <c r="F234" s="42">
        <v>0.36463000000000001</v>
      </c>
      <c r="G234" s="42">
        <v>0.60490999999999995</v>
      </c>
      <c r="H234" s="42"/>
      <c r="I234" s="43"/>
      <c r="J234" s="35">
        <v>2022</v>
      </c>
      <c r="K234" s="36" t="s">
        <v>27</v>
      </c>
      <c r="L234" s="37" t="s">
        <v>249</v>
      </c>
      <c r="M234" s="37" t="s">
        <v>228</v>
      </c>
      <c r="N234" s="37"/>
      <c r="O234" s="37" t="s">
        <v>607</v>
      </c>
    </row>
    <row r="235" spans="2:15">
      <c r="B235" s="47"/>
      <c r="C235" s="47"/>
      <c r="D235" s="37" t="s">
        <v>278</v>
      </c>
      <c r="E235" s="41">
        <v>0.74199999999999999</v>
      </c>
      <c r="F235" s="42">
        <v>0.61699999999999999</v>
      </c>
      <c r="G235" s="42">
        <v>0.86699999999999999</v>
      </c>
      <c r="H235" s="42">
        <v>0.6</v>
      </c>
      <c r="I235" s="43">
        <v>0.3</v>
      </c>
      <c r="J235" s="35">
        <v>2021</v>
      </c>
      <c r="K235" s="36" t="s">
        <v>27</v>
      </c>
      <c r="L235" s="37" t="s">
        <v>249</v>
      </c>
      <c r="M235" s="37" t="s">
        <v>228</v>
      </c>
      <c r="N235" s="37"/>
      <c r="O235" s="37" t="s">
        <v>607</v>
      </c>
    </row>
    <row r="236" spans="2:15">
      <c r="B236" s="47"/>
      <c r="C236" s="47"/>
      <c r="D236" s="37" t="s">
        <v>278</v>
      </c>
      <c r="E236" s="41">
        <v>0.75600000000000001</v>
      </c>
      <c r="F236" s="42">
        <v>0.72299999999999998</v>
      </c>
      <c r="G236" s="42">
        <v>0.79</v>
      </c>
      <c r="H236" s="42"/>
      <c r="I236" s="43"/>
      <c r="J236" s="35">
        <v>2019</v>
      </c>
      <c r="K236" s="36" t="s">
        <v>27</v>
      </c>
      <c r="L236" s="37" t="s">
        <v>249</v>
      </c>
      <c r="M236" s="37" t="s">
        <v>228</v>
      </c>
      <c r="N236" s="37"/>
      <c r="O236" s="37" t="s">
        <v>607</v>
      </c>
    </row>
    <row r="237" spans="2:15">
      <c r="B237" s="47"/>
      <c r="C237" s="47"/>
      <c r="D237" s="37" t="s">
        <v>278</v>
      </c>
      <c r="E237" s="41">
        <v>0.68500000000000005</v>
      </c>
      <c r="F237" s="42">
        <v>0.65400000000000003</v>
      </c>
      <c r="G237" s="42">
        <v>0.71599999999999997</v>
      </c>
      <c r="H237" s="42"/>
      <c r="I237" s="43"/>
      <c r="J237" s="35">
        <v>2018</v>
      </c>
      <c r="K237" s="36" t="s">
        <v>27</v>
      </c>
      <c r="L237" s="37" t="s">
        <v>249</v>
      </c>
      <c r="M237" s="37" t="s">
        <v>228</v>
      </c>
      <c r="N237" s="37"/>
      <c r="O237" s="37" t="s">
        <v>607</v>
      </c>
    </row>
    <row r="238" spans="2:15">
      <c r="B238" s="47"/>
      <c r="C238" s="47"/>
      <c r="D238" s="37" t="s">
        <v>278</v>
      </c>
      <c r="E238" s="41">
        <v>0.56999999999999995</v>
      </c>
      <c r="F238" s="42"/>
      <c r="G238" s="42"/>
      <c r="H238" s="42"/>
      <c r="I238" s="43"/>
      <c r="J238" s="35">
        <v>2017</v>
      </c>
      <c r="K238" s="36" t="s">
        <v>27</v>
      </c>
      <c r="L238" s="37" t="s">
        <v>373</v>
      </c>
      <c r="M238" s="37" t="s">
        <v>228</v>
      </c>
      <c r="N238" s="37"/>
      <c r="O238" s="37" t="s">
        <v>607</v>
      </c>
    </row>
    <row r="239" spans="2:15">
      <c r="B239" s="47"/>
      <c r="C239" s="47"/>
      <c r="D239" s="37" t="s">
        <v>278</v>
      </c>
      <c r="E239" s="41">
        <v>0.52400000000000002</v>
      </c>
      <c r="F239" s="42">
        <v>0.45900000000000002</v>
      </c>
      <c r="G239" s="42">
        <v>0.58699999999999997</v>
      </c>
      <c r="H239" s="42"/>
      <c r="I239" s="43"/>
      <c r="J239" s="35">
        <v>2015</v>
      </c>
      <c r="K239" s="36" t="s">
        <v>27</v>
      </c>
      <c r="L239" s="37" t="s">
        <v>249</v>
      </c>
      <c r="M239" s="37" t="s">
        <v>228</v>
      </c>
      <c r="N239" s="37"/>
      <c r="O239" s="37" t="s">
        <v>607</v>
      </c>
    </row>
    <row r="240" spans="2:15">
      <c r="B240" s="47"/>
      <c r="C240" s="47"/>
      <c r="D240" s="37" t="s">
        <v>278</v>
      </c>
      <c r="E240" s="41">
        <v>0.52</v>
      </c>
      <c r="F240" s="42">
        <v>0.46</v>
      </c>
      <c r="G240" s="42">
        <v>0.57999999999999996</v>
      </c>
      <c r="H240" s="42"/>
      <c r="I240" s="43"/>
      <c r="J240" s="35">
        <v>2014</v>
      </c>
      <c r="K240" s="36" t="s">
        <v>27</v>
      </c>
      <c r="L240" s="37" t="s">
        <v>249</v>
      </c>
      <c r="M240" s="37" t="s">
        <v>228</v>
      </c>
      <c r="N240" s="37"/>
      <c r="O240" s="37" t="s">
        <v>607</v>
      </c>
    </row>
    <row r="241" spans="2:15">
      <c r="B241" s="47"/>
      <c r="C241" s="47"/>
      <c r="D241" s="37" t="s">
        <v>278</v>
      </c>
      <c r="E241" s="41">
        <v>0.8</v>
      </c>
      <c r="F241" s="42"/>
      <c r="G241" s="42"/>
      <c r="H241" s="42">
        <v>1.1000000000000001</v>
      </c>
      <c r="I241" s="43">
        <v>0.6</v>
      </c>
      <c r="J241" s="35">
        <v>2013</v>
      </c>
      <c r="K241" s="36" t="s">
        <v>27</v>
      </c>
      <c r="L241" s="37" t="s">
        <v>36</v>
      </c>
      <c r="M241" s="37" t="s">
        <v>21</v>
      </c>
      <c r="N241" s="37"/>
      <c r="O241" s="37" t="s">
        <v>659</v>
      </c>
    </row>
    <row r="242" spans="2:15">
      <c r="B242" s="47"/>
      <c r="C242" s="47"/>
      <c r="D242" s="37" t="s">
        <v>280</v>
      </c>
      <c r="E242" s="41">
        <v>0.56799999999999995</v>
      </c>
      <c r="F242" s="42">
        <v>0.46500000000000002</v>
      </c>
      <c r="G242" s="42">
        <v>0.70199999999999996</v>
      </c>
      <c r="H242" s="42"/>
      <c r="I242" s="43"/>
      <c r="J242" s="35">
        <v>2017</v>
      </c>
      <c r="K242" s="36" t="s">
        <v>27</v>
      </c>
      <c r="L242" s="37" t="s">
        <v>283</v>
      </c>
      <c r="M242" s="37" t="s">
        <v>228</v>
      </c>
      <c r="N242" s="37"/>
      <c r="O242" s="37" t="s">
        <v>604</v>
      </c>
    </row>
    <row r="243" spans="2:15">
      <c r="B243" s="47"/>
      <c r="C243" s="47"/>
      <c r="D243" s="37" t="s">
        <v>280</v>
      </c>
      <c r="E243" s="41">
        <v>0.49</v>
      </c>
      <c r="F243" s="42">
        <v>0.41</v>
      </c>
      <c r="G243" s="42">
        <v>0.59</v>
      </c>
      <c r="H243" s="42"/>
      <c r="I243" s="43"/>
      <c r="J243" s="35">
        <v>2016</v>
      </c>
      <c r="K243" s="36" t="s">
        <v>27</v>
      </c>
      <c r="L243" s="37" t="s">
        <v>36</v>
      </c>
      <c r="M243" s="37" t="s">
        <v>228</v>
      </c>
      <c r="N243" s="37"/>
      <c r="O243" s="37" t="s">
        <v>604</v>
      </c>
    </row>
    <row r="244" spans="2:15">
      <c r="B244" s="47"/>
      <c r="C244" s="47"/>
      <c r="D244" s="37" t="s">
        <v>280</v>
      </c>
      <c r="E244" s="41">
        <v>0.47</v>
      </c>
      <c r="F244" s="42">
        <v>0.34</v>
      </c>
      <c r="G244" s="42">
        <v>0.75</v>
      </c>
      <c r="H244" s="42"/>
      <c r="I244" s="43"/>
      <c r="J244" s="35">
        <v>2014</v>
      </c>
      <c r="K244" s="36" t="s">
        <v>27</v>
      </c>
      <c r="L244" s="37" t="s">
        <v>249</v>
      </c>
      <c r="M244" s="37" t="s">
        <v>228</v>
      </c>
      <c r="N244" s="37"/>
      <c r="O244" s="37" t="s">
        <v>604</v>
      </c>
    </row>
    <row r="245" spans="2:15">
      <c r="B245" s="47"/>
      <c r="C245" s="47"/>
      <c r="D245" s="37" t="s">
        <v>280</v>
      </c>
      <c r="E245" s="41">
        <v>0.62</v>
      </c>
      <c r="F245" s="42">
        <v>0.42</v>
      </c>
      <c r="G245" s="42">
        <v>1</v>
      </c>
      <c r="H245" s="42"/>
      <c r="I245" s="43"/>
      <c r="J245" s="35">
        <v>2013</v>
      </c>
      <c r="K245" s="36" t="s">
        <v>27</v>
      </c>
      <c r="L245" s="37" t="s">
        <v>249</v>
      </c>
      <c r="M245" s="37" t="s">
        <v>228</v>
      </c>
      <c r="N245" s="37"/>
      <c r="O245" s="37" t="s">
        <v>604</v>
      </c>
    </row>
    <row r="246" spans="2:15">
      <c r="B246" s="47"/>
      <c r="C246" s="47"/>
      <c r="D246" s="37" t="s">
        <v>280</v>
      </c>
      <c r="E246" s="41">
        <v>0.49</v>
      </c>
      <c r="F246" s="42">
        <v>0.5</v>
      </c>
      <c r="G246" s="42">
        <v>0.36</v>
      </c>
      <c r="H246" s="42"/>
      <c r="I246" s="43"/>
      <c r="J246" s="35">
        <v>2012</v>
      </c>
      <c r="K246" s="36" t="s">
        <v>27</v>
      </c>
      <c r="L246" s="37" t="s">
        <v>249</v>
      </c>
      <c r="M246" s="37" t="s">
        <v>228</v>
      </c>
      <c r="N246" s="37"/>
      <c r="O246" s="37"/>
    </row>
    <row r="247" spans="2:15">
      <c r="B247" s="47"/>
      <c r="C247" s="47"/>
      <c r="D247" s="37" t="s">
        <v>660</v>
      </c>
      <c r="E247" s="41">
        <v>0.2</v>
      </c>
      <c r="F247" s="42"/>
      <c r="G247" s="42"/>
      <c r="H247" s="42"/>
      <c r="I247" s="43"/>
      <c r="J247" s="35">
        <v>2005</v>
      </c>
      <c r="K247" s="36" t="s">
        <v>27</v>
      </c>
      <c r="L247" s="37" t="s">
        <v>24</v>
      </c>
      <c r="M247" s="37" t="s">
        <v>44</v>
      </c>
      <c r="N247" s="37" t="s">
        <v>298</v>
      </c>
      <c r="O247" s="37" t="s">
        <v>661</v>
      </c>
    </row>
    <row r="248" spans="2:15">
      <c r="B248" s="47"/>
      <c r="C248" s="47"/>
      <c r="D248" s="37" t="s">
        <v>281</v>
      </c>
      <c r="E248" s="41">
        <v>0.1</v>
      </c>
      <c r="F248" s="42"/>
      <c r="G248" s="42"/>
      <c r="H248" s="42">
        <v>0.1</v>
      </c>
      <c r="I248" s="43">
        <v>0</v>
      </c>
      <c r="J248" s="35">
        <v>2021</v>
      </c>
      <c r="K248" s="36" t="s">
        <v>27</v>
      </c>
      <c r="L248" s="37" t="s">
        <v>24</v>
      </c>
      <c r="M248" s="37" t="s">
        <v>21</v>
      </c>
      <c r="N248" s="37"/>
      <c r="O248" s="37" t="s">
        <v>616</v>
      </c>
    </row>
    <row r="249" spans="2:15">
      <c r="B249" s="47"/>
      <c r="C249" s="47"/>
      <c r="D249" s="37" t="s">
        <v>281</v>
      </c>
      <c r="E249" s="41">
        <v>0.24</v>
      </c>
      <c r="F249" s="42">
        <v>0.23</v>
      </c>
      <c r="G249" s="42">
        <v>0.24</v>
      </c>
      <c r="H249" s="42"/>
      <c r="I249" s="43"/>
      <c r="J249" s="35">
        <v>2007</v>
      </c>
      <c r="K249" s="36" t="s">
        <v>27</v>
      </c>
      <c r="L249" s="37" t="s">
        <v>249</v>
      </c>
      <c r="M249" s="37" t="s">
        <v>228</v>
      </c>
      <c r="N249" s="37"/>
      <c r="O249" s="37" t="s">
        <v>604</v>
      </c>
    </row>
    <row r="250" spans="2:15">
      <c r="B250" s="47"/>
      <c r="C250" s="47"/>
      <c r="D250" s="37" t="s">
        <v>281</v>
      </c>
      <c r="E250" s="41">
        <v>0.1</v>
      </c>
      <c r="F250" s="42"/>
      <c r="G250" s="42"/>
      <c r="H250" s="42"/>
      <c r="I250" s="43"/>
      <c r="J250" s="35">
        <v>2006</v>
      </c>
      <c r="K250" s="36" t="s">
        <v>27</v>
      </c>
      <c r="L250" s="37" t="s">
        <v>36</v>
      </c>
      <c r="M250" s="37" t="s">
        <v>228</v>
      </c>
      <c r="N250" s="37"/>
      <c r="O250" s="37" t="s">
        <v>604</v>
      </c>
    </row>
    <row r="251" spans="2:15">
      <c r="B251" s="47"/>
      <c r="C251" s="47"/>
      <c r="D251" s="37" t="s">
        <v>284</v>
      </c>
      <c r="E251" s="41">
        <v>0.61</v>
      </c>
      <c r="F251" s="42"/>
      <c r="G251" s="42"/>
      <c r="H251" s="42"/>
      <c r="I251" s="43"/>
      <c r="J251" s="35">
        <v>2016</v>
      </c>
      <c r="K251" s="36" t="s">
        <v>27</v>
      </c>
      <c r="L251" s="37" t="s">
        <v>24</v>
      </c>
      <c r="M251" s="37" t="s">
        <v>228</v>
      </c>
      <c r="N251" s="37"/>
      <c r="O251" s="37" t="s">
        <v>662</v>
      </c>
    </row>
    <row r="252" spans="2:15">
      <c r="B252" s="47"/>
      <c r="C252" s="47"/>
      <c r="D252" s="37" t="s">
        <v>284</v>
      </c>
      <c r="E252" s="41">
        <v>0.59</v>
      </c>
      <c r="F252" s="42"/>
      <c r="G252" s="42"/>
      <c r="H252" s="42"/>
      <c r="I252" s="43"/>
      <c r="J252" s="35">
        <v>2015</v>
      </c>
      <c r="K252" s="36" t="s">
        <v>27</v>
      </c>
      <c r="L252" s="37" t="s">
        <v>24</v>
      </c>
      <c r="M252" s="37" t="s">
        <v>228</v>
      </c>
      <c r="N252" s="37"/>
      <c r="O252" s="37" t="s">
        <v>662</v>
      </c>
    </row>
    <row r="253" spans="2:15">
      <c r="B253" s="47"/>
      <c r="C253" s="47"/>
      <c r="D253" s="37" t="s">
        <v>284</v>
      </c>
      <c r="E253" s="41">
        <v>0.56999999999999995</v>
      </c>
      <c r="F253" s="42">
        <v>0.53</v>
      </c>
      <c r="G253" s="42">
        <v>0.62</v>
      </c>
      <c r="H253" s="42"/>
      <c r="I253" s="43"/>
      <c r="J253" s="35">
        <v>2014</v>
      </c>
      <c r="K253" s="36" t="s">
        <v>27</v>
      </c>
      <c r="L253" s="37" t="s">
        <v>249</v>
      </c>
      <c r="M253" s="37" t="s">
        <v>228</v>
      </c>
      <c r="N253" s="37"/>
      <c r="O253" s="37" t="s">
        <v>604</v>
      </c>
    </row>
    <row r="254" spans="2:15">
      <c r="B254" s="47"/>
      <c r="C254" s="47"/>
      <c r="D254" s="37" t="s">
        <v>284</v>
      </c>
      <c r="E254" s="41">
        <v>0.62</v>
      </c>
      <c r="F254" s="42">
        <v>0.57999999999999996</v>
      </c>
      <c r="G254" s="42">
        <v>0.66</v>
      </c>
      <c r="H254" s="42"/>
      <c r="I254" s="43"/>
      <c r="J254" s="35">
        <v>2012</v>
      </c>
      <c r="K254" s="36" t="s">
        <v>27</v>
      </c>
      <c r="L254" s="37" t="s">
        <v>249</v>
      </c>
      <c r="M254" s="37" t="s">
        <v>228</v>
      </c>
      <c r="N254" s="37"/>
      <c r="O254" s="37" t="s">
        <v>604</v>
      </c>
    </row>
    <row r="255" spans="2:15">
      <c r="B255" s="47"/>
      <c r="C255" s="47"/>
      <c r="D255" s="37" t="s">
        <v>286</v>
      </c>
      <c r="E255" s="41">
        <v>0.1</v>
      </c>
      <c r="F255" s="42"/>
      <c r="G255" s="42"/>
      <c r="H255" s="42">
        <v>0.1</v>
      </c>
      <c r="I255" s="43">
        <v>0</v>
      </c>
      <c r="J255" s="35">
        <v>2023</v>
      </c>
      <c r="K255" s="36" t="s">
        <v>27</v>
      </c>
      <c r="L255" s="37" t="s">
        <v>24</v>
      </c>
      <c r="M255" s="37" t="s">
        <v>51</v>
      </c>
      <c r="N255" s="37"/>
      <c r="O255" s="37" t="s">
        <v>616</v>
      </c>
    </row>
    <row r="256" spans="2:15">
      <c r="B256" s="47"/>
      <c r="C256" s="47"/>
      <c r="D256" s="37" t="s">
        <v>286</v>
      </c>
      <c r="E256" s="41">
        <v>0.1</v>
      </c>
      <c r="F256" s="42"/>
      <c r="G256" s="42"/>
      <c r="H256" s="42">
        <v>0.2</v>
      </c>
      <c r="I256" s="43">
        <v>0</v>
      </c>
      <c r="J256" s="35">
        <v>2022</v>
      </c>
      <c r="K256" s="36" t="s">
        <v>27</v>
      </c>
      <c r="L256" s="37" t="s">
        <v>24</v>
      </c>
      <c r="M256" s="37" t="s">
        <v>21</v>
      </c>
      <c r="N256" s="37"/>
      <c r="O256" s="37" t="s">
        <v>616</v>
      </c>
    </row>
    <row r="257" spans="2:15">
      <c r="B257" s="47"/>
      <c r="C257" s="47"/>
      <c r="D257" s="37" t="s">
        <v>286</v>
      </c>
      <c r="E257" s="41">
        <v>0.13</v>
      </c>
      <c r="F257" s="42">
        <v>0.11</v>
      </c>
      <c r="G257" s="42">
        <v>0.15</v>
      </c>
      <c r="H257" s="42"/>
      <c r="I257" s="43"/>
      <c r="J257" s="35">
        <v>2012</v>
      </c>
      <c r="K257" s="36" t="s">
        <v>27</v>
      </c>
      <c r="L257" s="37" t="s">
        <v>249</v>
      </c>
      <c r="M257" s="37" t="s">
        <v>228</v>
      </c>
      <c r="N257" s="37"/>
      <c r="O257" s="37" t="s">
        <v>604</v>
      </c>
    </row>
    <row r="258" spans="2:15">
      <c r="B258" s="47"/>
      <c r="C258" s="47"/>
      <c r="D258" s="37" t="s">
        <v>286</v>
      </c>
      <c r="E258" s="41">
        <v>0.16</v>
      </c>
      <c r="F258" s="42"/>
      <c r="G258" s="42"/>
      <c r="H258" s="42"/>
      <c r="I258" s="43"/>
      <c r="J258" s="35">
        <v>2008</v>
      </c>
      <c r="K258" s="36" t="s">
        <v>27</v>
      </c>
      <c r="L258" s="37" t="s">
        <v>249</v>
      </c>
      <c r="M258" s="37" t="s">
        <v>228</v>
      </c>
      <c r="N258" s="37"/>
      <c r="O258" s="37"/>
    </row>
    <row r="259" spans="2:15">
      <c r="B259" s="47"/>
      <c r="C259" s="47"/>
      <c r="D259" s="37" t="s">
        <v>287</v>
      </c>
      <c r="E259" s="41">
        <v>0.1</v>
      </c>
      <c r="F259" s="42"/>
      <c r="G259" s="42"/>
      <c r="H259" s="42">
        <v>0.2</v>
      </c>
      <c r="I259" s="43">
        <v>0</v>
      </c>
      <c r="J259" s="35">
        <v>2023</v>
      </c>
      <c r="K259" s="36" t="s">
        <v>265</v>
      </c>
      <c r="L259" s="37" t="s">
        <v>24</v>
      </c>
      <c r="M259" s="37" t="s">
        <v>51</v>
      </c>
      <c r="N259" s="37"/>
      <c r="O259" s="37" t="s">
        <v>616</v>
      </c>
    </row>
    <row r="260" spans="2:15">
      <c r="B260" s="47"/>
      <c r="C260" s="47"/>
      <c r="D260" s="37" t="s">
        <v>287</v>
      </c>
      <c r="E260" s="41">
        <v>0.27</v>
      </c>
      <c r="F260" s="42"/>
      <c r="G260" s="42"/>
      <c r="H260" s="42"/>
      <c r="I260" s="43"/>
      <c r="J260" s="35">
        <v>2013</v>
      </c>
      <c r="K260" s="36" t="s">
        <v>27</v>
      </c>
      <c r="L260" s="37" t="s">
        <v>24</v>
      </c>
      <c r="M260" s="37" t="s">
        <v>228</v>
      </c>
      <c r="N260" s="37"/>
      <c r="O260" s="37" t="s">
        <v>604</v>
      </c>
    </row>
    <row r="261" spans="2:15">
      <c r="B261" s="47"/>
      <c r="C261" s="47"/>
      <c r="D261" s="37" t="s">
        <v>287</v>
      </c>
      <c r="E261" s="41">
        <v>0.3</v>
      </c>
      <c r="F261" s="42">
        <v>0.21</v>
      </c>
      <c r="G261" s="42">
        <v>0.39</v>
      </c>
      <c r="H261" s="42"/>
      <c r="I261" s="43"/>
      <c r="J261" s="35">
        <v>2008</v>
      </c>
      <c r="K261" s="36" t="s">
        <v>27</v>
      </c>
      <c r="L261" s="37" t="s">
        <v>249</v>
      </c>
      <c r="M261" s="37" t="s">
        <v>228</v>
      </c>
      <c r="N261" s="37"/>
      <c r="O261" s="37" t="s">
        <v>604</v>
      </c>
    </row>
    <row r="262" spans="2:15">
      <c r="B262" s="47"/>
      <c r="C262" s="47"/>
      <c r="D262" s="37" t="s">
        <v>290</v>
      </c>
      <c r="E262" s="41">
        <v>1.7</v>
      </c>
      <c r="F262" s="42"/>
      <c r="G262" s="42"/>
      <c r="H262" s="42">
        <v>1.8</v>
      </c>
      <c r="I262" s="43">
        <v>1.5</v>
      </c>
      <c r="J262" s="35">
        <v>2016</v>
      </c>
      <c r="K262" s="36" t="s">
        <v>27</v>
      </c>
      <c r="L262" s="37" t="s">
        <v>24</v>
      </c>
      <c r="M262" s="37" t="s">
        <v>21</v>
      </c>
      <c r="N262" s="37"/>
      <c r="O262" s="37" t="s">
        <v>663</v>
      </c>
    </row>
    <row r="263" spans="2:15">
      <c r="B263" s="47"/>
      <c r="C263" s="47"/>
      <c r="D263" s="37" t="s">
        <v>290</v>
      </c>
      <c r="E263" s="41">
        <v>0.06</v>
      </c>
      <c r="F263" s="42"/>
      <c r="G263" s="42"/>
      <c r="H263" s="42"/>
      <c r="I263" s="43"/>
      <c r="J263" s="35">
        <v>2014</v>
      </c>
      <c r="K263" s="36" t="s">
        <v>27</v>
      </c>
      <c r="L263" s="37" t="s">
        <v>24</v>
      </c>
      <c r="M263" s="37" t="s">
        <v>228</v>
      </c>
      <c r="N263" s="37"/>
      <c r="O263" s="37" t="s">
        <v>604</v>
      </c>
    </row>
    <row r="264" spans="2:15">
      <c r="B264" s="47"/>
      <c r="C264" s="47"/>
      <c r="D264" s="37" t="s">
        <v>290</v>
      </c>
      <c r="E264" s="41">
        <v>0.1</v>
      </c>
      <c r="F264" s="42"/>
      <c r="G264" s="42"/>
      <c r="H264" s="42"/>
      <c r="I264" s="43"/>
      <c r="J264" s="35">
        <v>2013</v>
      </c>
      <c r="K264" s="36" t="s">
        <v>27</v>
      </c>
      <c r="L264" s="37" t="s">
        <v>24</v>
      </c>
      <c r="M264" s="37" t="s">
        <v>228</v>
      </c>
      <c r="N264" s="37"/>
      <c r="O264" s="37" t="s">
        <v>604</v>
      </c>
    </row>
    <row r="265" spans="2:15">
      <c r="B265" s="47"/>
      <c r="C265" s="47"/>
      <c r="D265" s="37" t="s">
        <v>290</v>
      </c>
      <c r="E265" s="41">
        <v>0.1</v>
      </c>
      <c r="F265" s="42"/>
      <c r="G265" s="42"/>
      <c r="H265" s="42">
        <v>0.1</v>
      </c>
      <c r="I265" s="43">
        <v>0.1</v>
      </c>
      <c r="J265" s="35">
        <v>2012</v>
      </c>
      <c r="K265" s="36" t="s">
        <v>27</v>
      </c>
      <c r="L265" s="37" t="s">
        <v>24</v>
      </c>
      <c r="M265" s="37" t="s">
        <v>21</v>
      </c>
      <c r="N265" s="37"/>
      <c r="O265" s="37" t="s">
        <v>604</v>
      </c>
    </row>
    <row r="266" spans="2:15">
      <c r="B266" s="47"/>
      <c r="C266" s="47"/>
      <c r="D266" s="37" t="s">
        <v>290</v>
      </c>
      <c r="E266" s="41">
        <v>0.3</v>
      </c>
      <c r="F266" s="42"/>
      <c r="G266" s="42"/>
      <c r="H266" s="42"/>
      <c r="I266" s="43"/>
      <c r="J266" s="35">
        <v>2010</v>
      </c>
      <c r="K266" s="36" t="s">
        <v>27</v>
      </c>
      <c r="L266" s="37" t="s">
        <v>24</v>
      </c>
      <c r="M266" s="37" t="s">
        <v>21</v>
      </c>
      <c r="N266" s="37"/>
      <c r="O266" s="37" t="s">
        <v>663</v>
      </c>
    </row>
    <row r="267" spans="2:15">
      <c r="B267" s="47"/>
      <c r="C267" s="47"/>
      <c r="D267" s="37" t="s">
        <v>293</v>
      </c>
      <c r="E267" s="41">
        <v>0.45</v>
      </c>
      <c r="F267" s="42">
        <v>0.3</v>
      </c>
      <c r="G267" s="42">
        <v>0.7</v>
      </c>
      <c r="H267" s="42"/>
      <c r="I267" s="43"/>
      <c r="J267" s="35">
        <v>2018</v>
      </c>
      <c r="K267" s="36" t="s">
        <v>27</v>
      </c>
      <c r="L267" s="37" t="s">
        <v>249</v>
      </c>
      <c r="M267" s="37" t="s">
        <v>228</v>
      </c>
      <c r="N267" s="37"/>
      <c r="O267" s="37" t="s">
        <v>664</v>
      </c>
    </row>
    <row r="268" spans="2:15">
      <c r="B268" s="47"/>
      <c r="C268" s="47"/>
      <c r="D268" s="37" t="s">
        <v>293</v>
      </c>
      <c r="E268" s="41">
        <v>0.52</v>
      </c>
      <c r="F268" s="42">
        <v>0.38</v>
      </c>
      <c r="G268" s="42">
        <v>0.76</v>
      </c>
      <c r="H268" s="42"/>
      <c r="I268" s="43"/>
      <c r="J268" s="35">
        <v>2015</v>
      </c>
      <c r="K268" s="36" t="s">
        <v>27</v>
      </c>
      <c r="L268" s="37" t="s">
        <v>36</v>
      </c>
      <c r="M268" s="37" t="s">
        <v>228</v>
      </c>
      <c r="N268" s="37"/>
      <c r="O268" s="37" t="s">
        <v>665</v>
      </c>
    </row>
    <row r="269" spans="2:15">
      <c r="B269" s="47"/>
      <c r="C269" s="47"/>
      <c r="D269" s="37" t="s">
        <v>293</v>
      </c>
      <c r="E269" s="41">
        <v>0.49</v>
      </c>
      <c r="F269" s="42">
        <v>0.42</v>
      </c>
      <c r="G269" s="42">
        <v>0.55000000000000004</v>
      </c>
      <c r="H269" s="42"/>
      <c r="I269" s="43"/>
      <c r="J269" s="35">
        <v>2012</v>
      </c>
      <c r="K269" s="36" t="s">
        <v>27</v>
      </c>
      <c r="L269" s="37" t="s">
        <v>249</v>
      </c>
      <c r="M269" s="37" t="s">
        <v>228</v>
      </c>
      <c r="N269" s="37"/>
      <c r="O269" s="37" t="s">
        <v>604</v>
      </c>
    </row>
    <row r="270" spans="2:15">
      <c r="B270" s="47"/>
      <c r="C270" s="47"/>
      <c r="D270" s="37" t="s">
        <v>293</v>
      </c>
      <c r="E270" s="41">
        <v>0.38</v>
      </c>
      <c r="F270" s="42"/>
      <c r="G270" s="42"/>
      <c r="H270" s="42"/>
      <c r="I270" s="43"/>
      <c r="J270" s="35">
        <v>2007</v>
      </c>
      <c r="K270" s="36" t="s">
        <v>27</v>
      </c>
      <c r="L270" s="37" t="s">
        <v>24</v>
      </c>
      <c r="M270" s="37" t="s">
        <v>228</v>
      </c>
      <c r="N270" s="37"/>
      <c r="O270" s="37" t="s">
        <v>604</v>
      </c>
    </row>
    <row r="271" spans="2:15">
      <c r="B271" s="47"/>
      <c r="C271" s="47"/>
      <c r="D271" s="37" t="s">
        <v>296</v>
      </c>
      <c r="E271" s="41">
        <v>0.1</v>
      </c>
      <c r="F271" s="42"/>
      <c r="G271" s="42"/>
      <c r="H271" s="42">
        <v>0.2</v>
      </c>
      <c r="I271" s="43">
        <v>0</v>
      </c>
      <c r="J271" s="35">
        <v>2023</v>
      </c>
      <c r="K271" s="36" t="s">
        <v>27</v>
      </c>
      <c r="L271" s="37" t="s">
        <v>24</v>
      </c>
      <c r="M271" s="37" t="s">
        <v>21</v>
      </c>
      <c r="N271" s="37"/>
      <c r="O271" s="37" t="s">
        <v>616</v>
      </c>
    </row>
    <row r="272" spans="2:15">
      <c r="B272" s="47"/>
      <c r="C272" s="47"/>
      <c r="D272" s="37" t="s">
        <v>296</v>
      </c>
      <c r="E272" s="41">
        <v>0.1</v>
      </c>
      <c r="F272" s="42"/>
      <c r="G272" s="42"/>
      <c r="H272" s="42">
        <v>0.1</v>
      </c>
      <c r="I272" s="43">
        <v>0</v>
      </c>
      <c r="J272" s="35">
        <v>2019</v>
      </c>
      <c r="K272" s="36" t="s">
        <v>27</v>
      </c>
      <c r="L272" s="37" t="s">
        <v>24</v>
      </c>
      <c r="M272" s="37" t="s">
        <v>21</v>
      </c>
      <c r="N272" s="37"/>
      <c r="O272" s="37" t="s">
        <v>616</v>
      </c>
    </row>
    <row r="273" spans="2:15">
      <c r="B273" s="47"/>
      <c r="C273" s="47"/>
      <c r="D273" s="37" t="s">
        <v>296</v>
      </c>
      <c r="E273" s="41">
        <v>0.13</v>
      </c>
      <c r="F273" s="42">
        <v>0.1</v>
      </c>
      <c r="G273" s="42">
        <v>0.25</v>
      </c>
      <c r="H273" s="42"/>
      <c r="I273" s="43"/>
      <c r="J273" s="35">
        <v>2008</v>
      </c>
      <c r="K273" s="36" t="s">
        <v>27</v>
      </c>
      <c r="L273" s="37" t="s">
        <v>249</v>
      </c>
      <c r="M273" s="37" t="s">
        <v>228</v>
      </c>
      <c r="N273" s="37"/>
      <c r="O273" s="37" t="s">
        <v>604</v>
      </c>
    </row>
    <row r="274" spans="2:15">
      <c r="B274" s="47"/>
      <c r="C274" s="47"/>
      <c r="D274" s="37" t="s">
        <v>296</v>
      </c>
      <c r="E274" s="41">
        <v>0.3</v>
      </c>
      <c r="F274" s="42"/>
      <c r="G274" s="42"/>
      <c r="H274" s="42"/>
      <c r="I274" s="43"/>
      <c r="J274" s="35">
        <v>2006</v>
      </c>
      <c r="K274" s="36" t="s">
        <v>27</v>
      </c>
      <c r="L274" s="37" t="s">
        <v>24</v>
      </c>
      <c r="M274" s="37" t="s">
        <v>21</v>
      </c>
      <c r="N274" s="37"/>
      <c r="O274" s="37"/>
    </row>
    <row r="275" spans="2:15">
      <c r="B275" s="47"/>
      <c r="C275" s="47"/>
      <c r="D275" s="37" t="s">
        <v>297</v>
      </c>
      <c r="E275" s="41">
        <v>0.1</v>
      </c>
      <c r="F275" s="42"/>
      <c r="G275" s="42"/>
      <c r="H275" s="42">
        <v>0.1</v>
      </c>
      <c r="I275" s="43">
        <v>0</v>
      </c>
      <c r="J275" s="35">
        <v>2023</v>
      </c>
      <c r="K275" s="36" t="s">
        <v>27</v>
      </c>
      <c r="L275" s="37" t="s">
        <v>24</v>
      </c>
      <c r="M275" s="37" t="s">
        <v>51</v>
      </c>
      <c r="N275" s="37"/>
      <c r="O275" s="37" t="s">
        <v>616</v>
      </c>
    </row>
    <row r="276" spans="2:15">
      <c r="B276" s="47"/>
      <c r="C276" s="47"/>
      <c r="D276" s="37" t="s">
        <v>297</v>
      </c>
      <c r="E276" s="41">
        <v>0.35799999999999998</v>
      </c>
      <c r="F276" s="42">
        <v>0.315</v>
      </c>
      <c r="G276" s="42">
        <v>0.41599999999999998</v>
      </c>
      <c r="H276" s="42"/>
      <c r="I276" s="43"/>
      <c r="J276" s="35">
        <v>2017</v>
      </c>
      <c r="K276" s="36" t="s">
        <v>27</v>
      </c>
      <c r="L276" s="37" t="s">
        <v>249</v>
      </c>
      <c r="M276" s="37" t="s">
        <v>228</v>
      </c>
      <c r="N276" s="37"/>
      <c r="O276" s="37" t="s">
        <v>666</v>
      </c>
    </row>
    <row r="277" spans="2:15">
      <c r="B277" s="47"/>
      <c r="C277" s="47"/>
      <c r="D277" s="37" t="s">
        <v>297</v>
      </c>
      <c r="E277" s="41">
        <v>0.49</v>
      </c>
      <c r="F277" s="42">
        <v>0.43</v>
      </c>
      <c r="G277" s="42">
        <v>0.57999999999999996</v>
      </c>
      <c r="H277" s="42"/>
      <c r="I277" s="43"/>
      <c r="J277" s="35">
        <v>2012</v>
      </c>
      <c r="K277" s="36" t="s">
        <v>27</v>
      </c>
      <c r="L277" s="37" t="s">
        <v>249</v>
      </c>
      <c r="M277" s="37" t="s">
        <v>228</v>
      </c>
      <c r="N277" s="37"/>
      <c r="O277" s="37" t="s">
        <v>604</v>
      </c>
    </row>
    <row r="278" spans="2:15">
      <c r="B278" s="47"/>
      <c r="C278" s="47"/>
      <c r="D278" s="37" t="s">
        <v>297</v>
      </c>
      <c r="E278" s="41">
        <v>0.44</v>
      </c>
      <c r="F278" s="42">
        <v>0.4</v>
      </c>
      <c r="G278" s="42">
        <v>0.48</v>
      </c>
      <c r="H278" s="42"/>
      <c r="I278" s="43"/>
      <c r="J278" s="35">
        <v>2011</v>
      </c>
      <c r="K278" s="36" t="s">
        <v>27</v>
      </c>
      <c r="L278" s="37" t="s">
        <v>249</v>
      </c>
      <c r="M278" s="37" t="s">
        <v>228</v>
      </c>
      <c r="N278" s="37"/>
      <c r="O278" s="37" t="s">
        <v>604</v>
      </c>
    </row>
    <row r="279" spans="2:15">
      <c r="B279" s="47"/>
      <c r="C279" s="47"/>
      <c r="D279" s="37" t="s">
        <v>299</v>
      </c>
      <c r="E279" s="41">
        <v>0.19900000000000001</v>
      </c>
      <c r="F279" s="42">
        <v>0.124</v>
      </c>
      <c r="G279" s="42">
        <v>0.247</v>
      </c>
      <c r="H279" s="42">
        <v>0.1</v>
      </c>
      <c r="I279" s="43">
        <v>0</v>
      </c>
      <c r="J279" s="35">
        <v>2020</v>
      </c>
      <c r="K279" s="36" t="s">
        <v>27</v>
      </c>
      <c r="L279" s="37" t="s">
        <v>249</v>
      </c>
      <c r="M279" s="37" t="s">
        <v>228</v>
      </c>
      <c r="N279" s="37"/>
      <c r="O279" s="37" t="s">
        <v>607</v>
      </c>
    </row>
    <row r="280" spans="2:15">
      <c r="B280" s="47"/>
      <c r="C280" s="47"/>
      <c r="D280" s="37" t="s">
        <v>299</v>
      </c>
      <c r="E280" s="41">
        <v>0.21</v>
      </c>
      <c r="F280" s="42">
        <v>0.14000000000000001</v>
      </c>
      <c r="G280" s="42">
        <v>0.28000000000000003</v>
      </c>
      <c r="H280" s="42"/>
      <c r="I280" s="43"/>
      <c r="J280" s="35">
        <v>2018</v>
      </c>
      <c r="K280" s="36" t="s">
        <v>27</v>
      </c>
      <c r="L280" s="37" t="s">
        <v>36</v>
      </c>
      <c r="M280" s="37" t="s">
        <v>228</v>
      </c>
      <c r="N280" s="37"/>
      <c r="O280" s="37" t="s">
        <v>607</v>
      </c>
    </row>
    <row r="281" spans="2:15">
      <c r="B281" s="47"/>
      <c r="C281" s="47"/>
      <c r="D281" s="37" t="s">
        <v>299</v>
      </c>
      <c r="E281" s="41">
        <v>0.23</v>
      </c>
      <c r="F281" s="42">
        <v>0.15</v>
      </c>
      <c r="G281" s="42">
        <v>0.28999999999999998</v>
      </c>
      <c r="H281" s="42"/>
      <c r="I281" s="43"/>
      <c r="J281" s="35">
        <v>2017</v>
      </c>
      <c r="K281" s="36" t="s">
        <v>27</v>
      </c>
      <c r="L281" s="37" t="s">
        <v>109</v>
      </c>
      <c r="M281" s="37" t="s">
        <v>228</v>
      </c>
      <c r="N281" s="37"/>
      <c r="O281" s="37" t="s">
        <v>607</v>
      </c>
    </row>
    <row r="282" spans="2:15">
      <c r="B282" s="47"/>
      <c r="C282" s="47"/>
      <c r="D282" s="37" t="s">
        <v>299</v>
      </c>
      <c r="E282" s="41">
        <v>0.221</v>
      </c>
      <c r="F282" s="42">
        <v>0.14899999999999999</v>
      </c>
      <c r="G282" s="42">
        <v>0.29299999999999998</v>
      </c>
      <c r="H282" s="42"/>
      <c r="I282" s="43"/>
      <c r="J282" s="35">
        <v>2016</v>
      </c>
      <c r="K282" s="36" t="s">
        <v>27</v>
      </c>
      <c r="L282" s="37" t="s">
        <v>24</v>
      </c>
      <c r="M282" s="37" t="s">
        <v>228</v>
      </c>
      <c r="N282" s="37"/>
      <c r="O282" s="37" t="s">
        <v>607</v>
      </c>
    </row>
    <row r="283" spans="2:15">
      <c r="B283" s="47"/>
      <c r="C283" s="47"/>
      <c r="D283" s="37" t="s">
        <v>299</v>
      </c>
      <c r="E283" s="41">
        <v>0.22700000000000001</v>
      </c>
      <c r="F283" s="42">
        <v>0.155</v>
      </c>
      <c r="G283" s="42">
        <v>0.29899999999999999</v>
      </c>
      <c r="H283" s="42"/>
      <c r="I283" s="43"/>
      <c r="J283" s="35">
        <v>2015</v>
      </c>
      <c r="K283" s="36" t="s">
        <v>27</v>
      </c>
      <c r="L283" s="37" t="s">
        <v>24</v>
      </c>
      <c r="M283" s="37" t="s">
        <v>228</v>
      </c>
      <c r="N283" s="37"/>
      <c r="O283" s="37" t="s">
        <v>607</v>
      </c>
    </row>
    <row r="284" spans="2:15">
      <c r="B284" s="47"/>
      <c r="C284" s="47"/>
      <c r="D284" s="37" t="s">
        <v>299</v>
      </c>
      <c r="E284" s="41">
        <v>0.21</v>
      </c>
      <c r="F284" s="42">
        <v>0.158</v>
      </c>
      <c r="G284" s="42">
        <v>0.26300000000000001</v>
      </c>
      <c r="H284" s="42"/>
      <c r="I284" s="43"/>
      <c r="J284" s="35">
        <v>2014</v>
      </c>
      <c r="K284" s="36" t="s">
        <v>27</v>
      </c>
      <c r="L284" s="37" t="s">
        <v>24</v>
      </c>
      <c r="M284" s="37" t="s">
        <v>228</v>
      </c>
      <c r="N284" s="37"/>
      <c r="O284" s="37" t="s">
        <v>607</v>
      </c>
    </row>
    <row r="285" spans="2:15">
      <c r="B285" s="47"/>
      <c r="C285" s="47"/>
      <c r="D285" s="37" t="s">
        <v>299</v>
      </c>
      <c r="E285" s="41">
        <v>0.21</v>
      </c>
      <c r="F285" s="42">
        <v>0.16</v>
      </c>
      <c r="G285" s="42">
        <v>0.25</v>
      </c>
      <c r="H285" s="42"/>
      <c r="I285" s="43"/>
      <c r="J285" s="35">
        <v>2013</v>
      </c>
      <c r="K285" s="36" t="s">
        <v>27</v>
      </c>
      <c r="L285" s="37" t="s">
        <v>109</v>
      </c>
      <c r="M285" s="37" t="s">
        <v>228</v>
      </c>
      <c r="N285" s="37"/>
      <c r="O285" s="37" t="s">
        <v>604</v>
      </c>
    </row>
    <row r="286" spans="2:15">
      <c r="B286" s="47"/>
      <c r="C286" s="47"/>
      <c r="D286" s="37" t="s">
        <v>299</v>
      </c>
      <c r="E286" s="41">
        <v>0.21</v>
      </c>
      <c r="F286" s="42">
        <v>0.17</v>
      </c>
      <c r="G286" s="42">
        <v>0.26</v>
      </c>
      <c r="H286" s="42"/>
      <c r="I286" s="43"/>
      <c r="J286" s="35">
        <v>2012</v>
      </c>
      <c r="K286" s="36" t="s">
        <v>27</v>
      </c>
      <c r="L286" s="37" t="s">
        <v>36</v>
      </c>
      <c r="M286" s="37" t="s">
        <v>228</v>
      </c>
      <c r="N286" s="37"/>
      <c r="O286" s="37" t="s">
        <v>604</v>
      </c>
    </row>
    <row r="287" spans="2:15">
      <c r="B287" s="47"/>
      <c r="C287" s="47"/>
      <c r="D287" s="37" t="s">
        <v>302</v>
      </c>
      <c r="E287" s="41">
        <v>0.2</v>
      </c>
      <c r="F287" s="42"/>
      <c r="G287" s="42"/>
      <c r="H287" s="42">
        <v>0.1</v>
      </c>
      <c r="I287" s="43">
        <v>0.2</v>
      </c>
      <c r="J287" s="35">
        <v>2021</v>
      </c>
      <c r="K287" s="36" t="s">
        <v>265</v>
      </c>
      <c r="L287" s="37" t="s">
        <v>38</v>
      </c>
      <c r="M287" s="37" t="s">
        <v>51</v>
      </c>
      <c r="N287" s="37"/>
      <c r="O287" s="37" t="s">
        <v>527</v>
      </c>
    </row>
    <row r="288" spans="2:15">
      <c r="B288" s="47"/>
      <c r="C288" s="47"/>
      <c r="D288" s="37" t="s">
        <v>304</v>
      </c>
      <c r="E288" s="41">
        <v>0.43</v>
      </c>
      <c r="F288" s="42">
        <v>0.39</v>
      </c>
      <c r="G288" s="42">
        <v>0.47</v>
      </c>
      <c r="H288" s="42"/>
      <c r="I288" s="43"/>
      <c r="J288" s="35">
        <v>2015</v>
      </c>
      <c r="K288" s="36" t="s">
        <v>27</v>
      </c>
      <c r="L288" s="37" t="s">
        <v>36</v>
      </c>
      <c r="M288" s="37" t="s">
        <v>228</v>
      </c>
      <c r="N288" s="37"/>
      <c r="O288" s="37" t="s">
        <v>527</v>
      </c>
    </row>
    <row r="289" spans="2:15">
      <c r="B289" s="47"/>
      <c r="C289" s="47"/>
      <c r="D289" s="37" t="s">
        <v>305</v>
      </c>
      <c r="E289" s="41">
        <v>0.74</v>
      </c>
      <c r="F289" s="42">
        <v>0.73</v>
      </c>
      <c r="G289" s="42">
        <v>0.77</v>
      </c>
      <c r="H289" s="42"/>
      <c r="I289" s="43"/>
      <c r="J289" s="35">
        <v>2016</v>
      </c>
      <c r="K289" s="36" t="s">
        <v>27</v>
      </c>
      <c r="L289" s="37" t="s">
        <v>36</v>
      </c>
      <c r="M289" s="37" t="s">
        <v>228</v>
      </c>
      <c r="N289" s="37"/>
      <c r="O289" s="37" t="s">
        <v>667</v>
      </c>
    </row>
    <row r="290" spans="2:15">
      <c r="B290" s="47"/>
      <c r="C290" s="47"/>
      <c r="D290" s="37" t="s">
        <v>305</v>
      </c>
      <c r="E290" s="41">
        <v>0.76</v>
      </c>
      <c r="F290" s="42">
        <v>0.75</v>
      </c>
      <c r="G290" s="42">
        <v>0.79</v>
      </c>
      <c r="H290" s="42"/>
      <c r="I290" s="43"/>
      <c r="J290" s="35">
        <v>2015</v>
      </c>
      <c r="K290" s="36" t="s">
        <v>27</v>
      </c>
      <c r="L290" s="37" t="s">
        <v>36</v>
      </c>
      <c r="M290" s="37" t="s">
        <v>228</v>
      </c>
      <c r="N290" s="37"/>
      <c r="O290" s="37" t="s">
        <v>668</v>
      </c>
    </row>
    <row r="291" spans="2:15">
      <c r="B291" s="47"/>
      <c r="C291" s="47"/>
      <c r="D291" s="37" t="s">
        <v>305</v>
      </c>
      <c r="E291" s="41">
        <v>0.73</v>
      </c>
      <c r="F291" s="42">
        <v>0.72</v>
      </c>
      <c r="G291" s="42">
        <v>0.76</v>
      </c>
      <c r="H291" s="42"/>
      <c r="I291" s="43"/>
      <c r="J291" s="35">
        <v>2011</v>
      </c>
      <c r="K291" s="36" t="s">
        <v>27</v>
      </c>
      <c r="L291" s="37" t="s">
        <v>669</v>
      </c>
      <c r="M291" s="37" t="s">
        <v>228</v>
      </c>
      <c r="N291" s="37"/>
      <c r="O291" s="37" t="s">
        <v>670</v>
      </c>
    </row>
    <row r="292" spans="2:15">
      <c r="B292" s="47"/>
      <c r="C292" s="47"/>
      <c r="D292" s="37" t="s">
        <v>305</v>
      </c>
      <c r="E292" s="41">
        <v>0.75</v>
      </c>
      <c r="F292" s="42">
        <v>0.73</v>
      </c>
      <c r="G292" s="42">
        <v>0.78</v>
      </c>
      <c r="H292" s="42"/>
      <c r="I292" s="43"/>
      <c r="J292" s="35">
        <v>2010</v>
      </c>
      <c r="K292" s="36" t="s">
        <v>27</v>
      </c>
      <c r="L292" s="37" t="s">
        <v>669</v>
      </c>
      <c r="M292" s="37" t="s">
        <v>228</v>
      </c>
      <c r="N292" s="37"/>
      <c r="O292" s="37" t="s">
        <v>671</v>
      </c>
    </row>
    <row r="293" spans="2:15">
      <c r="B293" s="47"/>
      <c r="C293" s="47"/>
      <c r="D293" s="37" t="s">
        <v>320</v>
      </c>
      <c r="E293" s="41">
        <v>0.12</v>
      </c>
      <c r="F293" s="42">
        <v>0.12</v>
      </c>
      <c r="G293" s="42">
        <v>0.17</v>
      </c>
      <c r="H293" s="42"/>
      <c r="I293" s="43"/>
      <c r="J293" s="35">
        <v>2004</v>
      </c>
      <c r="K293" s="36" t="s">
        <v>27</v>
      </c>
      <c r="L293" s="37" t="s">
        <v>249</v>
      </c>
      <c r="M293" s="37" t="s">
        <v>228</v>
      </c>
      <c r="N293" s="37"/>
      <c r="O293" s="37"/>
    </row>
    <row r="294" spans="2:15">
      <c r="B294" s="47"/>
      <c r="C294" s="47"/>
      <c r="D294" s="37" t="s">
        <v>323</v>
      </c>
      <c r="E294" s="41">
        <v>1.51</v>
      </c>
      <c r="F294" s="42">
        <v>1.47</v>
      </c>
      <c r="G294" s="42">
        <v>1.57</v>
      </c>
      <c r="H294" s="42">
        <v>2.19</v>
      </c>
      <c r="I294" s="43">
        <v>0.86</v>
      </c>
      <c r="J294" s="35">
        <v>2012</v>
      </c>
      <c r="K294" s="36" t="s">
        <v>27</v>
      </c>
      <c r="L294" s="37" t="s">
        <v>672</v>
      </c>
      <c r="M294" s="37" t="s">
        <v>228</v>
      </c>
      <c r="N294" s="37"/>
      <c r="O294" s="37" t="s">
        <v>673</v>
      </c>
    </row>
    <row r="295" spans="2:15">
      <c r="B295" s="47"/>
      <c r="C295" s="47"/>
      <c r="D295" s="37" t="s">
        <v>323</v>
      </c>
      <c r="E295" s="41">
        <v>1.52</v>
      </c>
      <c r="F295" s="42">
        <v>1.49</v>
      </c>
      <c r="G295" s="42">
        <v>1.56</v>
      </c>
      <c r="H295" s="42"/>
      <c r="I295" s="43"/>
      <c r="J295" s="35">
        <v>2009</v>
      </c>
      <c r="K295" s="36" t="s">
        <v>27</v>
      </c>
      <c r="L295" s="37" t="s">
        <v>669</v>
      </c>
      <c r="M295" s="37" t="s">
        <v>228</v>
      </c>
      <c r="N295" s="37"/>
      <c r="O295" s="37" t="s">
        <v>674</v>
      </c>
    </row>
    <row r="296" spans="2:15">
      <c r="B296" s="47" t="s">
        <v>327</v>
      </c>
      <c r="C296" s="47" t="s">
        <v>328</v>
      </c>
      <c r="D296" s="37" t="s">
        <v>329</v>
      </c>
      <c r="E296" s="41">
        <v>0.1</v>
      </c>
      <c r="F296" s="42">
        <v>0</v>
      </c>
      <c r="G296" s="42">
        <v>0.2</v>
      </c>
      <c r="H296" s="42">
        <v>0.2</v>
      </c>
      <c r="I296" s="43">
        <v>0.1</v>
      </c>
      <c r="J296" s="35" t="s">
        <v>330</v>
      </c>
      <c r="K296" s="36" t="s">
        <v>226</v>
      </c>
      <c r="L296" s="37" t="s">
        <v>675</v>
      </c>
      <c r="M296" s="37" t="s">
        <v>21</v>
      </c>
      <c r="N296" s="37"/>
      <c r="O296" s="37" t="s">
        <v>676</v>
      </c>
    </row>
    <row r="297" spans="2:15">
      <c r="B297" s="47"/>
      <c r="C297" s="47"/>
      <c r="D297" s="37" t="s">
        <v>329</v>
      </c>
      <c r="E297" s="41">
        <v>0.1</v>
      </c>
      <c r="F297" s="42"/>
      <c r="G297" s="42"/>
      <c r="H297" s="42"/>
      <c r="I297" s="43"/>
      <c r="J297" s="35">
        <v>2019</v>
      </c>
      <c r="K297" s="36" t="s">
        <v>226</v>
      </c>
      <c r="L297" s="37" t="s">
        <v>675</v>
      </c>
      <c r="M297" s="37" t="s">
        <v>21</v>
      </c>
      <c r="N297" s="37"/>
      <c r="O297" s="37" t="s">
        <v>677</v>
      </c>
    </row>
    <row r="298" spans="2:15">
      <c r="B298" s="47"/>
      <c r="C298" s="47"/>
      <c r="D298" s="37" t="s">
        <v>329</v>
      </c>
      <c r="E298" s="41">
        <v>0.2</v>
      </c>
      <c r="F298" s="42"/>
      <c r="G298" s="42"/>
      <c r="H298" s="42"/>
      <c r="I298" s="43"/>
      <c r="J298" s="35">
        <v>2016</v>
      </c>
      <c r="K298" s="36" t="s">
        <v>226</v>
      </c>
      <c r="L298" s="37" t="s">
        <v>24</v>
      </c>
      <c r="M298" s="37" t="s">
        <v>21</v>
      </c>
      <c r="N298" s="37"/>
      <c r="O298" s="37" t="s">
        <v>616</v>
      </c>
    </row>
    <row r="299" spans="2:15">
      <c r="B299" s="47"/>
      <c r="C299" s="47"/>
      <c r="D299" s="37" t="s">
        <v>329</v>
      </c>
      <c r="E299" s="41">
        <v>0.1</v>
      </c>
      <c r="F299" s="42"/>
      <c r="G299" s="42"/>
      <c r="H299" s="42">
        <v>0.2</v>
      </c>
      <c r="I299" s="43">
        <v>0.1</v>
      </c>
      <c r="J299" s="35">
        <v>2013</v>
      </c>
      <c r="K299" s="36" t="s">
        <v>226</v>
      </c>
      <c r="L299" s="37" t="s">
        <v>24</v>
      </c>
      <c r="M299" s="37" t="s">
        <v>21</v>
      </c>
      <c r="N299" s="37"/>
      <c r="O299" s="37"/>
    </row>
    <row r="300" spans="2:15">
      <c r="B300" s="47"/>
      <c r="C300" s="47"/>
      <c r="D300" s="37" t="s">
        <v>329</v>
      </c>
      <c r="E300" s="41">
        <v>0.2</v>
      </c>
      <c r="F300" s="42"/>
      <c r="G300" s="42"/>
      <c r="H300" s="42"/>
      <c r="I300" s="43"/>
      <c r="J300" s="35">
        <v>2010</v>
      </c>
      <c r="K300" s="36" t="s">
        <v>27</v>
      </c>
      <c r="L300" s="37" t="s">
        <v>24</v>
      </c>
      <c r="M300" s="37" t="s">
        <v>21</v>
      </c>
      <c r="N300" s="37" t="s">
        <v>37</v>
      </c>
      <c r="O300" s="37"/>
    </row>
    <row r="301" spans="2:15">
      <c r="B301" s="47"/>
      <c r="C301" s="47"/>
      <c r="D301" s="37" t="s">
        <v>329</v>
      </c>
      <c r="E301" s="41">
        <v>0.2</v>
      </c>
      <c r="F301" s="42"/>
      <c r="G301" s="42"/>
      <c r="H301" s="42"/>
      <c r="I301" s="43"/>
      <c r="J301" s="35">
        <v>2007</v>
      </c>
      <c r="K301" s="36" t="s">
        <v>27</v>
      </c>
      <c r="L301" s="37" t="s">
        <v>38</v>
      </c>
      <c r="M301" s="37" t="s">
        <v>51</v>
      </c>
      <c r="N301" s="37" t="s">
        <v>342</v>
      </c>
      <c r="O301" s="37"/>
    </row>
    <row r="302" spans="2:15">
      <c r="B302" s="47"/>
      <c r="C302" s="47"/>
      <c r="D302" s="37" t="s">
        <v>331</v>
      </c>
      <c r="E302" s="41">
        <v>0.1</v>
      </c>
      <c r="F302" s="42">
        <v>0.1</v>
      </c>
      <c r="G302" s="42">
        <v>0.3</v>
      </c>
      <c r="H302" s="42"/>
      <c r="I302" s="43"/>
      <c r="J302" s="35">
        <v>2008</v>
      </c>
      <c r="K302" s="36" t="s">
        <v>265</v>
      </c>
      <c r="L302" s="37" t="s">
        <v>36</v>
      </c>
      <c r="M302" s="37" t="s">
        <v>21</v>
      </c>
      <c r="N302" s="37" t="s">
        <v>520</v>
      </c>
      <c r="O302" s="37" t="s">
        <v>678</v>
      </c>
    </row>
    <row r="303" spans="2:15">
      <c r="B303" s="47"/>
      <c r="C303" s="47"/>
      <c r="D303" s="37" t="s">
        <v>331</v>
      </c>
      <c r="E303" s="41">
        <v>0.42</v>
      </c>
      <c r="F303" s="42"/>
      <c r="G303" s="42"/>
      <c r="H303" s="42"/>
      <c r="I303" s="43"/>
      <c r="J303" s="35">
        <v>2006</v>
      </c>
      <c r="K303" s="36" t="s">
        <v>600</v>
      </c>
      <c r="L303" s="37" t="s">
        <v>24</v>
      </c>
      <c r="M303" s="37"/>
      <c r="N303" s="37"/>
      <c r="O303" s="37"/>
    </row>
    <row r="304" spans="2:15" ht="228.75" customHeight="1">
      <c r="B304" s="91" t="s">
        <v>679</v>
      </c>
      <c r="C304" s="91"/>
      <c r="D304" s="91"/>
      <c r="E304" s="91"/>
      <c r="F304" s="91"/>
      <c r="G304" s="91"/>
      <c r="H304" s="91"/>
      <c r="I304" s="91"/>
      <c r="J304" s="91"/>
      <c r="K304" s="91"/>
      <c r="L304" s="91"/>
      <c r="M304" s="91"/>
      <c r="N304" s="91"/>
      <c r="O304" s="91"/>
    </row>
  </sheetData>
  <mergeCells count="3">
    <mergeCell ref="B304:O304"/>
    <mergeCell ref="B1:O1"/>
    <mergeCell ref="B2:O2"/>
  </mergeCells>
  <conditionalFormatting sqref="D4:D303">
    <cfRule type="expression" dxfId="10" priority="1">
      <formula>#REF!=-1</formula>
    </cfRule>
  </conditionalFormatting>
  <pageMargins left="0.70866141732283472" right="0.70866141732283472" top="0.74803149606299213" bottom="0.74803149606299213" header="0.31496062992125984" footer="0.31496062992125984"/>
  <pageSetup paperSize="9" scale="19" fitToHeight="5" orientation="portrait" r:id="rId1"/>
  <ignoredErrors>
    <ignoredError sqref="K83 K85:K86 K91 K78:K79 K59 K112 K123 K50:K56 K47" twoDigitTextYear="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B1:O108"/>
  <sheetViews>
    <sheetView zoomScale="90" zoomScaleNormal="90" zoomScaleSheetLayoutView="70" workbookViewId="0">
      <pane ySplit="3" topLeftCell="A4" activePane="bottomLeft" state="frozen"/>
      <selection activeCell="H40" sqref="H40"/>
      <selection pane="bottomLeft"/>
    </sheetView>
  </sheetViews>
  <sheetFormatPr defaultColWidth="9" defaultRowHeight="15.75"/>
  <cols>
    <col min="1" max="1" width="9" style="44"/>
    <col min="2" max="2" width="16.125" style="44" customWidth="1"/>
    <col min="3" max="3" width="40.125" style="44" customWidth="1"/>
    <col min="4" max="4" width="38.875" style="44" customWidth="1"/>
    <col min="5" max="9" width="11.625" style="44" customWidth="1"/>
    <col min="10" max="11" width="11.625" style="49" customWidth="1"/>
    <col min="12" max="12" width="49.125" style="44" customWidth="1"/>
    <col min="13" max="13" width="12.125" style="44" customWidth="1"/>
    <col min="14" max="14" width="17.125" style="44" customWidth="1"/>
    <col min="15" max="15" width="67.125" style="44" customWidth="1"/>
    <col min="16" max="16384" width="9" style="44"/>
  </cols>
  <sheetData>
    <row r="1" spans="2:15" ht="29.45" customHeight="1">
      <c r="B1" s="96" t="s">
        <v>680</v>
      </c>
      <c r="C1" s="97"/>
      <c r="D1" s="97"/>
      <c r="E1" s="97"/>
      <c r="F1" s="97"/>
      <c r="G1" s="97"/>
      <c r="H1" s="97"/>
      <c r="I1" s="97"/>
      <c r="J1" s="97"/>
      <c r="K1" s="97"/>
      <c r="L1" s="97"/>
      <c r="M1" s="97"/>
      <c r="N1" s="97"/>
      <c r="O1" s="97"/>
    </row>
    <row r="2" spans="2:15" ht="23.1" customHeight="1">
      <c r="B2" s="94" t="s">
        <v>1</v>
      </c>
      <c r="C2" s="95"/>
      <c r="D2" s="95"/>
      <c r="E2" s="95"/>
      <c r="F2" s="95"/>
      <c r="G2" s="95"/>
      <c r="H2" s="95"/>
      <c r="I2" s="95"/>
      <c r="J2" s="95"/>
      <c r="K2" s="95"/>
      <c r="L2" s="95"/>
      <c r="M2" s="95"/>
      <c r="N2" s="95"/>
      <c r="O2" s="95"/>
    </row>
    <row r="3" spans="2:15" ht="45" customHeight="1">
      <c r="B3" s="45" t="s">
        <v>2</v>
      </c>
      <c r="C3" s="45" t="s">
        <v>3</v>
      </c>
      <c r="D3" s="45" t="s">
        <v>4</v>
      </c>
      <c r="E3" s="45" t="s">
        <v>5</v>
      </c>
      <c r="F3" s="45" t="s">
        <v>6</v>
      </c>
      <c r="G3" s="45" t="s">
        <v>7</v>
      </c>
      <c r="H3" s="45" t="s">
        <v>8</v>
      </c>
      <c r="I3" s="45" t="s">
        <v>9</v>
      </c>
      <c r="J3" s="45" t="s">
        <v>10</v>
      </c>
      <c r="K3" s="45" t="s">
        <v>11</v>
      </c>
      <c r="L3" s="45" t="s">
        <v>12</v>
      </c>
      <c r="M3" s="45" t="s">
        <v>13</v>
      </c>
      <c r="N3" s="46" t="s">
        <v>14</v>
      </c>
      <c r="O3" s="45" t="s">
        <v>15</v>
      </c>
    </row>
    <row r="4" spans="2:15">
      <c r="B4" s="47" t="s">
        <v>16</v>
      </c>
      <c r="C4" s="47" t="s">
        <v>17</v>
      </c>
      <c r="D4" s="37" t="s">
        <v>34</v>
      </c>
      <c r="E4" s="41">
        <v>1.04</v>
      </c>
      <c r="F4" s="42"/>
      <c r="G4" s="42"/>
      <c r="H4" s="42"/>
      <c r="I4" s="43"/>
      <c r="J4" s="35">
        <v>2007</v>
      </c>
      <c r="K4" s="36" t="s">
        <v>35</v>
      </c>
      <c r="L4" s="37" t="s">
        <v>38</v>
      </c>
      <c r="M4" s="37" t="s">
        <v>553</v>
      </c>
      <c r="N4" s="37"/>
      <c r="O4" s="37"/>
    </row>
    <row r="5" spans="2:15">
      <c r="B5" s="47"/>
      <c r="C5" s="47" t="s">
        <v>39</v>
      </c>
      <c r="D5" s="37" t="s">
        <v>42</v>
      </c>
      <c r="E5" s="41">
        <v>1.7</v>
      </c>
      <c r="F5" s="42"/>
      <c r="G5" s="42"/>
      <c r="H5" s="42"/>
      <c r="I5" s="43"/>
      <c r="J5" s="35">
        <v>2019</v>
      </c>
      <c r="K5" s="36" t="s">
        <v>27</v>
      </c>
      <c r="L5" s="37" t="s">
        <v>24</v>
      </c>
      <c r="M5" s="37" t="s">
        <v>21</v>
      </c>
      <c r="N5" s="37"/>
      <c r="O5" s="37" t="s">
        <v>681</v>
      </c>
    </row>
    <row r="6" spans="2:15">
      <c r="B6" s="47"/>
      <c r="C6" s="47"/>
      <c r="D6" s="37" t="s">
        <v>52</v>
      </c>
      <c r="E6" s="41">
        <v>0.13</v>
      </c>
      <c r="F6" s="42"/>
      <c r="G6" s="42"/>
      <c r="H6" s="42"/>
      <c r="I6" s="43"/>
      <c r="J6" s="35">
        <v>2013</v>
      </c>
      <c r="K6" s="36" t="s">
        <v>27</v>
      </c>
      <c r="L6" s="37" t="s">
        <v>24</v>
      </c>
      <c r="M6" s="37" t="s">
        <v>21</v>
      </c>
      <c r="N6" s="37"/>
      <c r="O6" s="37"/>
    </row>
    <row r="7" spans="2:15">
      <c r="B7" s="47"/>
      <c r="C7" s="47" t="s">
        <v>53</v>
      </c>
      <c r="D7" s="37" t="s">
        <v>54</v>
      </c>
      <c r="E7" s="41">
        <v>0.09</v>
      </c>
      <c r="F7" s="42"/>
      <c r="G7" s="42"/>
      <c r="H7" s="42"/>
      <c r="I7" s="43"/>
      <c r="J7" s="35">
        <v>2008</v>
      </c>
      <c r="K7" s="36" t="s">
        <v>27</v>
      </c>
      <c r="L7" s="37" t="s">
        <v>24</v>
      </c>
      <c r="M7" s="37" t="s">
        <v>21</v>
      </c>
      <c r="N7" s="37"/>
      <c r="O7" s="37"/>
    </row>
    <row r="8" spans="2:15">
      <c r="B8" s="47"/>
      <c r="C8" s="47" t="s">
        <v>59</v>
      </c>
      <c r="D8" s="37" t="s">
        <v>71</v>
      </c>
      <c r="E8" s="41">
        <v>4.66</v>
      </c>
      <c r="F8" s="42">
        <v>4.21</v>
      </c>
      <c r="G8" s="42">
        <v>5.1100000000000003</v>
      </c>
      <c r="H8" s="42">
        <v>6</v>
      </c>
      <c r="I8" s="43">
        <v>3.3</v>
      </c>
      <c r="J8" s="35">
        <v>2017</v>
      </c>
      <c r="K8" s="36" t="s">
        <v>27</v>
      </c>
      <c r="L8" s="37" t="s">
        <v>69</v>
      </c>
      <c r="M8" s="37" t="s">
        <v>70</v>
      </c>
      <c r="N8" s="37"/>
      <c r="O8" s="37" t="s">
        <v>682</v>
      </c>
    </row>
    <row r="9" spans="2:15">
      <c r="B9" s="47"/>
      <c r="C9" s="47"/>
      <c r="D9" s="37" t="s">
        <v>42</v>
      </c>
      <c r="E9" s="41">
        <v>3</v>
      </c>
      <c r="F9" s="42"/>
      <c r="G9" s="42"/>
      <c r="H9" s="42"/>
      <c r="I9" s="43"/>
      <c r="J9" s="35">
        <v>2016</v>
      </c>
      <c r="K9" s="36" t="s">
        <v>27</v>
      </c>
      <c r="L9" s="37" t="s">
        <v>36</v>
      </c>
      <c r="M9" s="37" t="s">
        <v>21</v>
      </c>
      <c r="N9" s="37"/>
      <c r="O9" s="37" t="s">
        <v>681</v>
      </c>
    </row>
    <row r="10" spans="2:15">
      <c r="B10" s="47" t="s">
        <v>76</v>
      </c>
      <c r="C10" s="47" t="s">
        <v>77</v>
      </c>
      <c r="D10" s="37" t="s">
        <v>80</v>
      </c>
      <c r="E10" s="41">
        <v>0.16</v>
      </c>
      <c r="F10" s="42">
        <v>0.12</v>
      </c>
      <c r="G10" s="42">
        <v>0.21</v>
      </c>
      <c r="H10" s="42"/>
      <c r="I10" s="43"/>
      <c r="J10" s="35">
        <v>2006</v>
      </c>
      <c r="K10" s="36" t="s">
        <v>27</v>
      </c>
      <c r="L10" s="37" t="s">
        <v>61</v>
      </c>
      <c r="M10" s="37"/>
      <c r="N10" s="37"/>
      <c r="O10" s="37"/>
    </row>
    <row r="11" spans="2:15">
      <c r="B11" s="47"/>
      <c r="C11" s="47"/>
      <c r="D11" s="37" t="s">
        <v>82</v>
      </c>
      <c r="E11" s="41">
        <v>0.03</v>
      </c>
      <c r="F11" s="42"/>
      <c r="G11" s="42"/>
      <c r="H11" s="42"/>
      <c r="I11" s="43"/>
      <c r="J11" s="35">
        <v>2008</v>
      </c>
      <c r="K11" s="36" t="s">
        <v>27</v>
      </c>
      <c r="L11" s="37" t="s">
        <v>61</v>
      </c>
      <c r="M11" s="37" t="s">
        <v>44</v>
      </c>
      <c r="N11" s="37" t="s">
        <v>45</v>
      </c>
      <c r="O11" s="37"/>
    </row>
    <row r="12" spans="2:15">
      <c r="B12" s="47"/>
      <c r="C12" s="47"/>
      <c r="D12" s="37" t="s">
        <v>83</v>
      </c>
      <c r="E12" s="41">
        <v>0.13</v>
      </c>
      <c r="F12" s="42"/>
      <c r="G12" s="42"/>
      <c r="H12" s="42"/>
      <c r="I12" s="43"/>
      <c r="J12" s="35">
        <v>2006</v>
      </c>
      <c r="K12" s="36" t="s">
        <v>27</v>
      </c>
      <c r="L12" s="37" t="s">
        <v>24</v>
      </c>
      <c r="M12" s="37" t="s">
        <v>44</v>
      </c>
      <c r="N12" s="37" t="s">
        <v>255</v>
      </c>
      <c r="O12" s="37"/>
    </row>
    <row r="13" spans="2:15">
      <c r="B13" s="47"/>
      <c r="C13" s="47" t="s">
        <v>91</v>
      </c>
      <c r="D13" s="37" t="s">
        <v>93</v>
      </c>
      <c r="E13" s="41">
        <v>1.05</v>
      </c>
      <c r="F13" s="42"/>
      <c r="G13" s="42"/>
      <c r="H13" s="42">
        <v>1.05</v>
      </c>
      <c r="I13" s="43">
        <v>1.05</v>
      </c>
      <c r="J13" s="35">
        <v>2015</v>
      </c>
      <c r="K13" s="36" t="s">
        <v>27</v>
      </c>
      <c r="L13" s="37" t="s">
        <v>24</v>
      </c>
      <c r="M13" s="37" t="s">
        <v>21</v>
      </c>
      <c r="N13" s="37"/>
      <c r="O13" s="37" t="s">
        <v>510</v>
      </c>
    </row>
    <row r="14" spans="2:15">
      <c r="B14" s="47"/>
      <c r="C14" s="47"/>
      <c r="D14" s="37" t="s">
        <v>93</v>
      </c>
      <c r="E14" s="41">
        <v>1</v>
      </c>
      <c r="F14" s="42"/>
      <c r="G14" s="42"/>
      <c r="H14" s="42">
        <v>0.98</v>
      </c>
      <c r="I14" s="43">
        <v>1.02</v>
      </c>
      <c r="J14" s="35">
        <v>2015</v>
      </c>
      <c r="K14" s="36" t="s">
        <v>94</v>
      </c>
      <c r="L14" s="37" t="s">
        <v>24</v>
      </c>
      <c r="M14" s="37" t="s">
        <v>21</v>
      </c>
      <c r="N14" s="37"/>
      <c r="O14" s="37" t="s">
        <v>510</v>
      </c>
    </row>
    <row r="15" spans="2:15">
      <c r="B15" s="47"/>
      <c r="C15" s="47"/>
      <c r="D15" s="37" t="s">
        <v>93</v>
      </c>
      <c r="E15" s="41">
        <v>0.63</v>
      </c>
      <c r="F15" s="42"/>
      <c r="G15" s="42"/>
      <c r="H15" s="42">
        <v>0.67</v>
      </c>
      <c r="I15" s="43">
        <v>0.59</v>
      </c>
      <c r="J15" s="35">
        <v>2010</v>
      </c>
      <c r="K15" s="36" t="s">
        <v>27</v>
      </c>
      <c r="L15" s="37" t="s">
        <v>24</v>
      </c>
      <c r="M15" s="37" t="s">
        <v>21</v>
      </c>
      <c r="N15" s="37" t="s">
        <v>520</v>
      </c>
      <c r="O15" s="37" t="s">
        <v>510</v>
      </c>
    </row>
    <row r="16" spans="2:15">
      <c r="B16" s="47"/>
      <c r="C16" s="47"/>
      <c r="D16" s="37" t="s">
        <v>93</v>
      </c>
      <c r="E16" s="41">
        <v>2.77</v>
      </c>
      <c r="F16" s="42">
        <v>2.8</v>
      </c>
      <c r="G16" s="42">
        <v>2.9</v>
      </c>
      <c r="H16" s="42">
        <v>1.97</v>
      </c>
      <c r="I16" s="43">
        <v>3.6</v>
      </c>
      <c r="J16" s="35">
        <v>2006</v>
      </c>
      <c r="K16" s="36" t="s">
        <v>94</v>
      </c>
      <c r="L16" s="37" t="s">
        <v>38</v>
      </c>
      <c r="M16" s="37" t="s">
        <v>51</v>
      </c>
      <c r="N16" s="37" t="s">
        <v>520</v>
      </c>
      <c r="O16" s="37" t="s">
        <v>510</v>
      </c>
    </row>
    <row r="17" spans="2:15">
      <c r="B17" s="47"/>
      <c r="C17" s="47"/>
      <c r="D17" s="37" t="s">
        <v>95</v>
      </c>
      <c r="E17" s="41">
        <v>0.06</v>
      </c>
      <c r="F17" s="42"/>
      <c r="G17" s="42"/>
      <c r="H17" s="42"/>
      <c r="I17" s="43"/>
      <c r="J17" s="35">
        <v>2005</v>
      </c>
      <c r="K17" s="36" t="s">
        <v>27</v>
      </c>
      <c r="L17" s="37" t="s">
        <v>61</v>
      </c>
      <c r="M17" s="37" t="s">
        <v>21</v>
      </c>
      <c r="N17" s="37" t="s">
        <v>22</v>
      </c>
      <c r="O17" s="37"/>
    </row>
    <row r="18" spans="2:15">
      <c r="B18" s="47"/>
      <c r="C18" s="47" t="s">
        <v>104</v>
      </c>
      <c r="D18" s="37" t="s">
        <v>107</v>
      </c>
      <c r="E18" s="41">
        <v>0.77470000000000006</v>
      </c>
      <c r="F18" s="42"/>
      <c r="G18" s="42"/>
      <c r="H18" s="42">
        <f>144/17290*100</f>
        <v>0.8328513591671487</v>
      </c>
      <c r="I18" s="43">
        <f>135/18725*100</f>
        <v>0.72096128170894525</v>
      </c>
      <c r="J18" s="35">
        <v>2023</v>
      </c>
      <c r="K18" s="36" t="s">
        <v>50</v>
      </c>
      <c r="L18" s="37" t="s">
        <v>36</v>
      </c>
      <c r="M18" s="37" t="s">
        <v>21</v>
      </c>
      <c r="N18" s="37"/>
      <c r="O18" s="37"/>
    </row>
    <row r="19" spans="2:15">
      <c r="B19" s="47"/>
      <c r="C19" s="47"/>
      <c r="D19" s="37" t="s">
        <v>107</v>
      </c>
      <c r="E19" s="41"/>
      <c r="F19" s="42"/>
      <c r="G19" s="42"/>
      <c r="H19" s="42">
        <v>0.5</v>
      </c>
      <c r="I19" s="43"/>
      <c r="J19" s="35">
        <v>2017</v>
      </c>
      <c r="K19" s="36" t="s">
        <v>50</v>
      </c>
      <c r="L19" s="37" t="s">
        <v>24</v>
      </c>
      <c r="M19" s="37" t="s">
        <v>21</v>
      </c>
      <c r="N19" s="37"/>
      <c r="O19" s="37"/>
    </row>
    <row r="20" spans="2:15">
      <c r="B20" s="47"/>
      <c r="C20" s="47"/>
      <c r="D20" s="37" t="s">
        <v>107</v>
      </c>
      <c r="E20" s="41">
        <v>0.36</v>
      </c>
      <c r="F20" s="42"/>
      <c r="G20" s="42"/>
      <c r="H20" s="42">
        <v>0.46</v>
      </c>
      <c r="I20" s="43"/>
      <c r="J20" s="35">
        <v>2015</v>
      </c>
      <c r="K20" s="36" t="s">
        <v>27</v>
      </c>
      <c r="L20" s="37" t="s">
        <v>24</v>
      </c>
      <c r="M20" s="37" t="s">
        <v>21</v>
      </c>
      <c r="N20" s="37"/>
      <c r="O20" s="37"/>
    </row>
    <row r="21" spans="2:15">
      <c r="B21" s="47"/>
      <c r="C21" s="47"/>
      <c r="D21" s="37" t="s">
        <v>107</v>
      </c>
      <c r="E21" s="41">
        <v>1</v>
      </c>
      <c r="F21" s="42"/>
      <c r="G21" s="42"/>
      <c r="H21" s="42">
        <v>1.3</v>
      </c>
      <c r="I21" s="43"/>
      <c r="J21" s="35">
        <v>2012</v>
      </c>
      <c r="K21" s="36" t="s">
        <v>27</v>
      </c>
      <c r="L21" s="37" t="s">
        <v>24</v>
      </c>
      <c r="M21" s="37" t="s">
        <v>21</v>
      </c>
      <c r="N21" s="37"/>
      <c r="O21" s="37" t="s">
        <v>683</v>
      </c>
    </row>
    <row r="22" spans="2:15">
      <c r="B22" s="47"/>
      <c r="C22" s="47"/>
      <c r="D22" s="37" t="s">
        <v>107</v>
      </c>
      <c r="E22" s="41">
        <v>0.3</v>
      </c>
      <c r="F22" s="42"/>
      <c r="G22" s="42"/>
      <c r="H22" s="42"/>
      <c r="I22" s="43"/>
      <c r="J22" s="35">
        <v>2010</v>
      </c>
      <c r="K22" s="36" t="s">
        <v>27</v>
      </c>
      <c r="L22" s="37" t="s">
        <v>24</v>
      </c>
      <c r="M22" s="37" t="s">
        <v>21</v>
      </c>
      <c r="N22" s="37"/>
      <c r="O22" s="37"/>
    </row>
    <row r="23" spans="2:15">
      <c r="B23" s="47"/>
      <c r="C23" s="47"/>
      <c r="D23" s="37" t="s">
        <v>107</v>
      </c>
      <c r="E23" s="41">
        <v>0.5</v>
      </c>
      <c r="F23" s="42"/>
      <c r="G23" s="42"/>
      <c r="H23" s="42"/>
      <c r="I23" s="43"/>
      <c r="J23" s="35">
        <v>2009</v>
      </c>
      <c r="K23" s="36" t="s">
        <v>27</v>
      </c>
      <c r="L23" s="37" t="s">
        <v>24</v>
      </c>
      <c r="M23" s="37" t="s">
        <v>684</v>
      </c>
      <c r="N23" s="37"/>
      <c r="O23" s="37"/>
    </row>
    <row r="24" spans="2:15">
      <c r="B24" s="47"/>
      <c r="C24" s="47"/>
      <c r="D24" s="37" t="s">
        <v>110</v>
      </c>
      <c r="E24" s="41">
        <v>0.1</v>
      </c>
      <c r="F24" s="42"/>
      <c r="G24" s="42"/>
      <c r="H24" s="42">
        <v>0.1</v>
      </c>
      <c r="I24" s="43">
        <v>0.1</v>
      </c>
      <c r="J24" s="35">
        <v>2016</v>
      </c>
      <c r="K24" s="36" t="s">
        <v>79</v>
      </c>
      <c r="L24" s="37" t="s">
        <v>24</v>
      </c>
      <c r="M24" s="37" t="s">
        <v>21</v>
      </c>
      <c r="N24" s="37"/>
      <c r="O24" s="37"/>
    </row>
    <row r="25" spans="2:15">
      <c r="B25" s="47"/>
      <c r="C25" s="47"/>
      <c r="D25" s="37" t="s">
        <v>110</v>
      </c>
      <c r="E25" s="41">
        <v>0.06</v>
      </c>
      <c r="F25" s="42"/>
      <c r="G25" s="42"/>
      <c r="H25" s="42"/>
      <c r="I25" s="43"/>
      <c r="J25" s="35">
        <v>2008</v>
      </c>
      <c r="K25" s="36" t="s">
        <v>79</v>
      </c>
      <c r="L25" s="37" t="s">
        <v>38</v>
      </c>
      <c r="M25" s="37" t="s">
        <v>21</v>
      </c>
      <c r="N25" s="37"/>
      <c r="O25" s="37"/>
    </row>
    <row r="26" spans="2:15">
      <c r="B26" s="47"/>
      <c r="C26" s="47"/>
      <c r="D26" s="37" t="s">
        <v>113</v>
      </c>
      <c r="E26" s="41">
        <v>3.4274238000000001</v>
      </c>
      <c r="F26" s="42"/>
      <c r="G26" s="42"/>
      <c r="H26" s="42">
        <v>3.673844452</v>
      </c>
      <c r="I26" s="43">
        <v>3.1854066799999998</v>
      </c>
      <c r="J26" s="35">
        <v>2023</v>
      </c>
      <c r="K26" s="36" t="s">
        <v>27</v>
      </c>
      <c r="L26" s="37" t="s">
        <v>97</v>
      </c>
      <c r="M26" s="37" t="s">
        <v>21</v>
      </c>
      <c r="N26" s="37" t="s">
        <v>37</v>
      </c>
      <c r="O26" s="37" t="s">
        <v>685</v>
      </c>
    </row>
    <row r="27" spans="2:15">
      <c r="B27" s="47"/>
      <c r="C27" s="47"/>
      <c r="D27" s="37" t="s">
        <v>113</v>
      </c>
      <c r="E27" s="41">
        <v>3.4274238000000001</v>
      </c>
      <c r="F27" s="42" t="s">
        <v>360</v>
      </c>
      <c r="G27" s="42" t="s">
        <v>360</v>
      </c>
      <c r="H27" s="42">
        <v>3.673844452</v>
      </c>
      <c r="I27" s="43">
        <v>3.1854066799999998</v>
      </c>
      <c r="J27" s="35">
        <v>2022</v>
      </c>
      <c r="K27" s="36" t="s">
        <v>27</v>
      </c>
      <c r="L27" s="37" t="s">
        <v>97</v>
      </c>
      <c r="M27" s="37" t="s">
        <v>21</v>
      </c>
      <c r="N27" s="37" t="s">
        <v>37</v>
      </c>
      <c r="O27" s="37" t="s">
        <v>686</v>
      </c>
    </row>
    <row r="28" spans="2:15">
      <c r="B28" s="47"/>
      <c r="C28" s="47"/>
      <c r="D28" s="37" t="s">
        <v>113</v>
      </c>
      <c r="E28" s="41">
        <v>3.66</v>
      </c>
      <c r="F28" s="42"/>
      <c r="G28" s="42"/>
      <c r="H28" s="42">
        <v>3.7817070500000001</v>
      </c>
      <c r="I28" s="43">
        <v>3.3912241930000002</v>
      </c>
      <c r="J28" s="35">
        <v>2021</v>
      </c>
      <c r="K28" s="36" t="s">
        <v>27</v>
      </c>
      <c r="L28" s="37" t="s">
        <v>97</v>
      </c>
      <c r="M28" s="37" t="s">
        <v>21</v>
      </c>
      <c r="N28" s="37" t="s">
        <v>37</v>
      </c>
      <c r="O28" s="37" t="s">
        <v>687</v>
      </c>
    </row>
    <row r="29" spans="2:15">
      <c r="B29" s="47"/>
      <c r="C29" s="47"/>
      <c r="D29" s="37" t="s">
        <v>113</v>
      </c>
      <c r="E29" s="41">
        <v>3.9</v>
      </c>
      <c r="F29" s="42"/>
      <c r="G29" s="42"/>
      <c r="H29" s="42">
        <v>3.5</v>
      </c>
      <c r="I29" s="43">
        <v>4.2</v>
      </c>
      <c r="J29" s="35">
        <v>2020</v>
      </c>
      <c r="K29" s="36" t="s">
        <v>27</v>
      </c>
      <c r="L29" s="37" t="s">
        <v>24</v>
      </c>
      <c r="M29" s="37" t="s">
        <v>21</v>
      </c>
      <c r="N29" s="37"/>
      <c r="O29" s="37" t="s">
        <v>688</v>
      </c>
    </row>
    <row r="30" spans="2:15">
      <c r="B30" s="47"/>
      <c r="C30" s="47"/>
      <c r="D30" s="37" t="s">
        <v>113</v>
      </c>
      <c r="E30" s="41">
        <v>4.3</v>
      </c>
      <c r="F30" s="42"/>
      <c r="G30" s="42"/>
      <c r="H30" s="42">
        <v>4.3</v>
      </c>
      <c r="I30" s="43">
        <v>4.0999999999999996</v>
      </c>
      <c r="J30" s="35">
        <v>2018</v>
      </c>
      <c r="K30" s="36" t="s">
        <v>27</v>
      </c>
      <c r="L30" s="37" t="s">
        <v>24</v>
      </c>
      <c r="M30" s="37" t="s">
        <v>21</v>
      </c>
      <c r="N30" s="37"/>
      <c r="O30" s="37"/>
    </row>
    <row r="31" spans="2:15">
      <c r="B31" s="47"/>
      <c r="C31" s="47"/>
      <c r="D31" s="37" t="s">
        <v>113</v>
      </c>
      <c r="E31" s="41">
        <v>4.8</v>
      </c>
      <c r="F31" s="42"/>
      <c r="G31" s="42"/>
      <c r="H31" s="42">
        <v>5.4</v>
      </c>
      <c r="I31" s="43">
        <v>4.2</v>
      </c>
      <c r="J31" s="35">
        <v>2017</v>
      </c>
      <c r="K31" s="36" t="s">
        <v>27</v>
      </c>
      <c r="L31" s="37" t="s">
        <v>24</v>
      </c>
      <c r="M31" s="37" t="s">
        <v>21</v>
      </c>
      <c r="N31" s="37"/>
      <c r="O31" s="37"/>
    </row>
    <row r="32" spans="2:15">
      <c r="B32" s="47"/>
      <c r="C32" s="47"/>
      <c r="D32" s="37" t="s">
        <v>113</v>
      </c>
      <c r="E32" s="41">
        <v>5.0999999999999996</v>
      </c>
      <c r="F32" s="42"/>
      <c r="G32" s="42"/>
      <c r="H32" s="42">
        <v>5.6</v>
      </c>
      <c r="I32" s="43">
        <v>4.5999999999999996</v>
      </c>
      <c r="J32" s="35">
        <v>2016</v>
      </c>
      <c r="K32" s="36" t="s">
        <v>27</v>
      </c>
      <c r="L32" s="37" t="s">
        <v>24</v>
      </c>
      <c r="M32" s="37" t="s">
        <v>21</v>
      </c>
      <c r="N32" s="37"/>
      <c r="O32" s="37"/>
    </row>
    <row r="33" spans="2:15">
      <c r="B33" s="47"/>
      <c r="C33" s="47"/>
      <c r="D33" s="37" t="s">
        <v>113</v>
      </c>
      <c r="E33" s="41">
        <v>5.5</v>
      </c>
      <c r="F33" s="42"/>
      <c r="G33" s="42"/>
      <c r="H33" s="42">
        <v>6.3</v>
      </c>
      <c r="I33" s="43">
        <v>4.8</v>
      </c>
      <c r="J33" s="35">
        <v>2015</v>
      </c>
      <c r="K33" s="36" t="s">
        <v>27</v>
      </c>
      <c r="L33" s="37" t="s">
        <v>24</v>
      </c>
      <c r="M33" s="37" t="s">
        <v>21</v>
      </c>
      <c r="N33" s="37"/>
      <c r="O33" s="37" t="s">
        <v>483</v>
      </c>
    </row>
    <row r="34" spans="2:15">
      <c r="B34" s="47"/>
      <c r="C34" s="47"/>
      <c r="D34" s="37" t="s">
        <v>113</v>
      </c>
      <c r="E34" s="41">
        <v>4.8</v>
      </c>
      <c r="F34" s="42"/>
      <c r="G34" s="42"/>
      <c r="H34" s="42"/>
      <c r="I34" s="43"/>
      <c r="J34" s="35">
        <v>2014</v>
      </c>
      <c r="K34" s="36" t="s">
        <v>27</v>
      </c>
      <c r="L34" s="37" t="s">
        <v>61</v>
      </c>
      <c r="M34" s="37" t="s">
        <v>21</v>
      </c>
      <c r="N34" s="37"/>
      <c r="O34" s="37"/>
    </row>
    <row r="35" spans="2:15">
      <c r="B35" s="47"/>
      <c r="C35" s="47"/>
      <c r="D35" s="37" t="s">
        <v>113</v>
      </c>
      <c r="E35" s="41">
        <v>5</v>
      </c>
      <c r="F35" s="42"/>
      <c r="G35" s="42"/>
      <c r="H35" s="42"/>
      <c r="I35" s="43"/>
      <c r="J35" s="35">
        <v>2013</v>
      </c>
      <c r="K35" s="36" t="s">
        <v>27</v>
      </c>
      <c r="L35" s="37" t="s">
        <v>61</v>
      </c>
      <c r="M35" s="37"/>
      <c r="N35" s="37"/>
      <c r="O35" s="37"/>
    </row>
    <row r="36" spans="2:15">
      <c r="B36" s="47"/>
      <c r="C36" s="47"/>
      <c r="D36" s="37" t="s">
        <v>113</v>
      </c>
      <c r="E36" s="41">
        <v>5.7</v>
      </c>
      <c r="F36" s="42"/>
      <c r="G36" s="42"/>
      <c r="H36" s="42"/>
      <c r="I36" s="43"/>
      <c r="J36" s="35">
        <v>2012</v>
      </c>
      <c r="K36" s="36" t="s">
        <v>27</v>
      </c>
      <c r="L36" s="37" t="s">
        <v>24</v>
      </c>
      <c r="M36" s="37" t="s">
        <v>21</v>
      </c>
      <c r="N36" s="37"/>
      <c r="O36" s="37"/>
    </row>
    <row r="37" spans="2:15">
      <c r="B37" s="47"/>
      <c r="C37" s="47"/>
      <c r="D37" s="37" t="s">
        <v>113</v>
      </c>
      <c r="E37" s="41">
        <v>5.2</v>
      </c>
      <c r="F37" s="42"/>
      <c r="G37" s="42"/>
      <c r="H37" s="42"/>
      <c r="I37" s="43"/>
      <c r="J37" s="35">
        <v>2011</v>
      </c>
      <c r="K37" s="36" t="s">
        <v>27</v>
      </c>
      <c r="L37" s="37" t="s">
        <v>122</v>
      </c>
      <c r="M37" s="37" t="s">
        <v>21</v>
      </c>
      <c r="N37" s="37"/>
      <c r="O37" s="37"/>
    </row>
    <row r="38" spans="2:15">
      <c r="B38" s="47"/>
      <c r="C38" s="47"/>
      <c r="D38" s="37" t="s">
        <v>113</v>
      </c>
      <c r="E38" s="41">
        <v>5.7</v>
      </c>
      <c r="F38" s="42"/>
      <c r="G38" s="42"/>
      <c r="H38" s="42"/>
      <c r="I38" s="43"/>
      <c r="J38" s="35">
        <v>2010</v>
      </c>
      <c r="K38" s="36" t="s">
        <v>27</v>
      </c>
      <c r="L38" s="37" t="s">
        <v>689</v>
      </c>
      <c r="M38" s="37" t="s">
        <v>21</v>
      </c>
      <c r="N38" s="37" t="s">
        <v>342</v>
      </c>
      <c r="O38" s="37"/>
    </row>
    <row r="39" spans="2:15">
      <c r="B39" s="47"/>
      <c r="C39" s="47" t="s">
        <v>117</v>
      </c>
      <c r="D39" s="37" t="s">
        <v>118</v>
      </c>
      <c r="E39" s="41">
        <v>0.06</v>
      </c>
      <c r="F39" s="42"/>
      <c r="G39" s="42"/>
      <c r="H39" s="42">
        <v>0.08</v>
      </c>
      <c r="I39" s="43">
        <v>0.04</v>
      </c>
      <c r="J39" s="35">
        <v>2011</v>
      </c>
      <c r="K39" s="36" t="s">
        <v>106</v>
      </c>
      <c r="L39" s="37" t="s">
        <v>111</v>
      </c>
      <c r="M39" s="37" t="s">
        <v>21</v>
      </c>
      <c r="N39" s="37"/>
      <c r="O39" s="37"/>
    </row>
    <row r="40" spans="2:15">
      <c r="B40" s="47"/>
      <c r="C40" s="47"/>
      <c r="D40" s="37" t="s">
        <v>118</v>
      </c>
      <c r="E40" s="41">
        <v>0.11</v>
      </c>
      <c r="F40" s="42">
        <v>0.1</v>
      </c>
      <c r="G40" s="42">
        <v>0.13</v>
      </c>
      <c r="H40" s="42"/>
      <c r="I40" s="43"/>
      <c r="J40" s="35">
        <v>2007</v>
      </c>
      <c r="K40" s="36" t="s">
        <v>27</v>
      </c>
      <c r="L40" s="37" t="s">
        <v>690</v>
      </c>
      <c r="M40" s="37"/>
      <c r="N40" s="37" t="s">
        <v>22</v>
      </c>
      <c r="O40" s="37"/>
    </row>
    <row r="41" spans="2:15">
      <c r="B41" s="47"/>
      <c r="C41" s="47"/>
      <c r="D41" s="37" t="s">
        <v>124</v>
      </c>
      <c r="E41" s="41">
        <v>0.56999999999999995</v>
      </c>
      <c r="F41" s="42"/>
      <c r="G41" s="42"/>
      <c r="H41" s="42">
        <v>0.45</v>
      </c>
      <c r="I41" s="43">
        <v>0.69</v>
      </c>
      <c r="J41" s="35">
        <v>2012</v>
      </c>
      <c r="K41" s="36" t="s">
        <v>27</v>
      </c>
      <c r="L41" s="37" t="s">
        <v>36</v>
      </c>
      <c r="M41" s="37" t="s">
        <v>21</v>
      </c>
      <c r="N41" s="37"/>
      <c r="O41" s="37"/>
    </row>
    <row r="42" spans="2:15">
      <c r="B42" s="47"/>
      <c r="C42" s="47"/>
      <c r="D42" s="37" t="s">
        <v>124</v>
      </c>
      <c r="E42" s="41">
        <v>0.4</v>
      </c>
      <c r="F42" s="42"/>
      <c r="G42" s="42"/>
      <c r="H42" s="42"/>
      <c r="I42" s="43"/>
      <c r="J42" s="35">
        <v>2005</v>
      </c>
      <c r="K42" s="36" t="s">
        <v>79</v>
      </c>
      <c r="L42" s="37" t="s">
        <v>24</v>
      </c>
      <c r="M42" s="37" t="s">
        <v>21</v>
      </c>
      <c r="N42" s="37" t="s">
        <v>22</v>
      </c>
      <c r="O42" s="37"/>
    </row>
    <row r="43" spans="2:15">
      <c r="B43" s="47"/>
      <c r="C43" s="47"/>
      <c r="D43" s="37" t="s">
        <v>126</v>
      </c>
      <c r="E43" s="41">
        <v>1.54</v>
      </c>
      <c r="F43" s="42"/>
      <c r="G43" s="42"/>
      <c r="H43" s="42">
        <v>1.36</v>
      </c>
      <c r="I43" s="43">
        <v>1.72</v>
      </c>
      <c r="J43" s="35">
        <v>2023</v>
      </c>
      <c r="K43" s="36" t="s">
        <v>27</v>
      </c>
      <c r="L43" s="37" t="s">
        <v>38</v>
      </c>
      <c r="M43" s="37" t="s">
        <v>51</v>
      </c>
      <c r="N43" s="37"/>
      <c r="O43" s="37" t="s">
        <v>127</v>
      </c>
    </row>
    <row r="44" spans="2:15">
      <c r="B44" s="47"/>
      <c r="C44" s="47"/>
      <c r="D44" s="37" t="s">
        <v>126</v>
      </c>
      <c r="E44" s="41">
        <v>1.22</v>
      </c>
      <c r="F44" s="42"/>
      <c r="G44" s="42"/>
      <c r="H44" s="42">
        <v>1.41</v>
      </c>
      <c r="I44" s="43">
        <v>1.04</v>
      </c>
      <c r="J44" s="35">
        <v>2020</v>
      </c>
      <c r="K44" s="36" t="s">
        <v>27</v>
      </c>
      <c r="L44" s="37" t="s">
        <v>24</v>
      </c>
      <c r="M44" s="37" t="s">
        <v>21</v>
      </c>
      <c r="N44" s="37"/>
      <c r="O44" s="37" t="s">
        <v>688</v>
      </c>
    </row>
    <row r="45" spans="2:15">
      <c r="B45" s="47"/>
      <c r="C45" s="47"/>
      <c r="D45" s="37" t="s">
        <v>126</v>
      </c>
      <c r="E45" s="41">
        <v>1.1399999999999999</v>
      </c>
      <c r="F45" s="42"/>
      <c r="G45" s="42"/>
      <c r="H45" s="42">
        <v>1.21</v>
      </c>
      <c r="I45" s="43">
        <v>1.08</v>
      </c>
      <c r="J45" s="35">
        <v>2018</v>
      </c>
      <c r="K45" s="36" t="s">
        <v>27</v>
      </c>
      <c r="L45" s="37" t="s">
        <v>24</v>
      </c>
      <c r="M45" s="37" t="s">
        <v>21</v>
      </c>
      <c r="N45" s="37"/>
      <c r="O45" s="37"/>
    </row>
    <row r="46" spans="2:15">
      <c r="B46" s="47"/>
      <c r="C46" s="47"/>
      <c r="D46" s="37" t="s">
        <v>126</v>
      </c>
      <c r="E46" s="41">
        <v>1.22</v>
      </c>
      <c r="F46" s="42"/>
      <c r="G46" s="42"/>
      <c r="H46" s="42">
        <v>0.94</v>
      </c>
      <c r="I46" s="43">
        <v>1.5</v>
      </c>
      <c r="J46" s="35">
        <v>2016</v>
      </c>
      <c r="K46" s="36" t="s">
        <v>27</v>
      </c>
      <c r="L46" s="37" t="s">
        <v>24</v>
      </c>
      <c r="M46" s="37" t="s">
        <v>21</v>
      </c>
      <c r="N46" s="37"/>
      <c r="O46" s="37"/>
    </row>
    <row r="47" spans="2:15">
      <c r="B47" s="47"/>
      <c r="C47" s="47"/>
      <c r="D47" s="37" t="s">
        <v>126</v>
      </c>
      <c r="E47" s="41">
        <v>0.56000000000000005</v>
      </c>
      <c r="F47" s="42"/>
      <c r="G47" s="42"/>
      <c r="H47" s="42">
        <v>0.5</v>
      </c>
      <c r="I47" s="43">
        <v>0.62</v>
      </c>
      <c r="J47" s="35">
        <v>2014</v>
      </c>
      <c r="K47" s="36" t="s">
        <v>27</v>
      </c>
      <c r="L47" s="37" t="s">
        <v>24</v>
      </c>
      <c r="M47" s="37" t="s">
        <v>21</v>
      </c>
      <c r="N47" s="37"/>
      <c r="O47" s="37"/>
    </row>
    <row r="48" spans="2:15">
      <c r="B48" s="47"/>
      <c r="C48" s="47"/>
      <c r="D48" s="37" t="s">
        <v>126</v>
      </c>
      <c r="E48" s="41">
        <v>0.28000000000000003</v>
      </c>
      <c r="F48" s="42"/>
      <c r="G48" s="42"/>
      <c r="H48" s="42">
        <v>0.24</v>
      </c>
      <c r="I48" s="43">
        <v>0.32</v>
      </c>
      <c r="J48" s="35">
        <v>2012</v>
      </c>
      <c r="K48" s="36" t="s">
        <v>27</v>
      </c>
      <c r="L48" s="37" t="s">
        <v>24</v>
      </c>
      <c r="M48" s="37" t="s">
        <v>21</v>
      </c>
      <c r="N48" s="37" t="s">
        <v>520</v>
      </c>
      <c r="O48" s="37"/>
    </row>
    <row r="49" spans="2:15">
      <c r="B49" s="47"/>
      <c r="C49" s="47"/>
      <c r="D49" s="37" t="s">
        <v>126</v>
      </c>
      <c r="E49" s="41">
        <v>0.27</v>
      </c>
      <c r="F49" s="42"/>
      <c r="G49" s="42"/>
      <c r="H49" s="42"/>
      <c r="I49" s="43"/>
      <c r="J49" s="35">
        <v>2010</v>
      </c>
      <c r="K49" s="36" t="s">
        <v>27</v>
      </c>
      <c r="L49" s="37" t="s">
        <v>24</v>
      </c>
      <c r="M49" s="37" t="s">
        <v>21</v>
      </c>
      <c r="N49" s="37"/>
      <c r="O49" s="37"/>
    </row>
    <row r="50" spans="2:15">
      <c r="B50" s="47"/>
      <c r="C50" s="47"/>
      <c r="D50" s="37" t="s">
        <v>126</v>
      </c>
      <c r="E50" s="41">
        <v>0.4</v>
      </c>
      <c r="F50" s="42"/>
      <c r="G50" s="42"/>
      <c r="H50" s="42"/>
      <c r="I50" s="43"/>
      <c r="J50" s="35">
        <v>2008</v>
      </c>
      <c r="K50" s="36" t="s">
        <v>27</v>
      </c>
      <c r="L50" s="37" t="s">
        <v>51</v>
      </c>
      <c r="M50" s="37" t="s">
        <v>51</v>
      </c>
      <c r="N50" s="37"/>
      <c r="O50" s="37"/>
    </row>
    <row r="51" spans="2:15">
      <c r="B51" s="47"/>
      <c r="C51" s="47"/>
      <c r="D51" s="37" t="s">
        <v>129</v>
      </c>
      <c r="E51" s="41">
        <v>0.28000000000000003</v>
      </c>
      <c r="F51" s="42"/>
      <c r="G51" s="42"/>
      <c r="H51" s="42">
        <v>0.2</v>
      </c>
      <c r="I51" s="43">
        <v>0.35</v>
      </c>
      <c r="J51" s="35">
        <v>2019</v>
      </c>
      <c r="K51" s="36" t="s">
        <v>79</v>
      </c>
      <c r="L51" s="37" t="s">
        <v>36</v>
      </c>
      <c r="M51" s="37" t="s">
        <v>21</v>
      </c>
      <c r="N51" s="37"/>
      <c r="O51" s="37"/>
    </row>
    <row r="52" spans="2:15">
      <c r="B52" s="47"/>
      <c r="C52" s="47"/>
      <c r="D52" s="37" t="s">
        <v>137</v>
      </c>
      <c r="E52" s="41">
        <v>0.12</v>
      </c>
      <c r="F52" s="42">
        <v>0.03</v>
      </c>
      <c r="G52" s="42">
        <v>0.2</v>
      </c>
      <c r="H52" s="42"/>
      <c r="I52" s="43"/>
      <c r="J52" s="35">
        <v>2011</v>
      </c>
      <c r="K52" s="36" t="s">
        <v>27</v>
      </c>
      <c r="L52" s="37" t="s">
        <v>61</v>
      </c>
      <c r="M52" s="37" t="s">
        <v>21</v>
      </c>
      <c r="N52" s="37" t="s">
        <v>22</v>
      </c>
      <c r="O52" s="37"/>
    </row>
    <row r="53" spans="2:15">
      <c r="B53" s="47" t="s">
        <v>139</v>
      </c>
      <c r="C53" s="47" t="s">
        <v>140</v>
      </c>
      <c r="D53" s="37" t="s">
        <v>141</v>
      </c>
      <c r="E53" s="41">
        <v>0.08</v>
      </c>
      <c r="F53" s="42"/>
      <c r="G53" s="42"/>
      <c r="H53" s="42"/>
      <c r="I53" s="43"/>
      <c r="J53" s="35">
        <v>2007</v>
      </c>
      <c r="K53" s="36" t="s">
        <v>27</v>
      </c>
      <c r="L53" s="37" t="s">
        <v>36</v>
      </c>
      <c r="M53" s="37"/>
      <c r="N53" s="37"/>
      <c r="O53" s="37"/>
    </row>
    <row r="54" spans="2:15">
      <c r="B54" s="47"/>
      <c r="C54" s="47"/>
      <c r="D54" s="37" t="s">
        <v>143</v>
      </c>
      <c r="E54" s="41">
        <v>0.27</v>
      </c>
      <c r="F54" s="42"/>
      <c r="G54" s="42"/>
      <c r="H54" s="42"/>
      <c r="I54" s="43"/>
      <c r="J54" s="35">
        <v>2010</v>
      </c>
      <c r="K54" s="36" t="s">
        <v>27</v>
      </c>
      <c r="L54" s="37" t="s">
        <v>691</v>
      </c>
      <c r="M54" s="37" t="s">
        <v>228</v>
      </c>
      <c r="N54" s="37"/>
      <c r="O54" s="37"/>
    </row>
    <row r="55" spans="2:15">
      <c r="B55" s="47"/>
      <c r="C55" s="47"/>
      <c r="D55" s="37" t="s">
        <v>149</v>
      </c>
      <c r="E55" s="41">
        <v>0.11</v>
      </c>
      <c r="F55" s="42"/>
      <c r="G55" s="42"/>
      <c r="H55" s="42"/>
      <c r="I55" s="43"/>
      <c r="J55" s="35">
        <v>2006</v>
      </c>
      <c r="K55" s="36" t="s">
        <v>27</v>
      </c>
      <c r="L55" s="37" t="s">
        <v>543</v>
      </c>
      <c r="M55" s="37" t="s">
        <v>228</v>
      </c>
      <c r="N55" s="37"/>
      <c r="O55" s="37"/>
    </row>
    <row r="56" spans="2:15">
      <c r="B56" s="47"/>
      <c r="C56" s="47"/>
      <c r="D56" s="37" t="s">
        <v>544</v>
      </c>
      <c r="E56" s="41">
        <v>0.06</v>
      </c>
      <c r="F56" s="42"/>
      <c r="G56" s="42"/>
      <c r="H56" s="42"/>
      <c r="I56" s="43"/>
      <c r="J56" s="35">
        <v>2006</v>
      </c>
      <c r="K56" s="36" t="s">
        <v>27</v>
      </c>
      <c r="L56" s="37" t="s">
        <v>543</v>
      </c>
      <c r="M56" s="37" t="s">
        <v>228</v>
      </c>
      <c r="N56" s="37"/>
      <c r="O56" s="37"/>
    </row>
    <row r="57" spans="2:15">
      <c r="B57" s="47"/>
      <c r="C57" s="47"/>
      <c r="D57" s="37" t="s">
        <v>151</v>
      </c>
      <c r="E57" s="41">
        <v>0.02</v>
      </c>
      <c r="F57" s="42"/>
      <c r="G57" s="42"/>
      <c r="H57" s="42"/>
      <c r="I57" s="43"/>
      <c r="J57" s="35">
        <v>2006</v>
      </c>
      <c r="K57" s="36" t="s">
        <v>27</v>
      </c>
      <c r="L57" s="37" t="s">
        <v>543</v>
      </c>
      <c r="M57" s="37" t="s">
        <v>228</v>
      </c>
      <c r="N57" s="37"/>
      <c r="O57" s="37"/>
    </row>
    <row r="58" spans="2:15">
      <c r="B58" s="47"/>
      <c r="C58" s="47" t="s">
        <v>152</v>
      </c>
      <c r="D58" s="37" t="s">
        <v>161</v>
      </c>
      <c r="E58" s="41">
        <v>0.26</v>
      </c>
      <c r="F58" s="42"/>
      <c r="G58" s="42"/>
      <c r="H58" s="42"/>
      <c r="I58" s="43"/>
      <c r="J58" s="35">
        <v>2017</v>
      </c>
      <c r="K58" s="36" t="s">
        <v>162</v>
      </c>
      <c r="L58" s="37" t="s">
        <v>427</v>
      </c>
      <c r="M58" s="37" t="s">
        <v>21</v>
      </c>
      <c r="N58" s="37"/>
      <c r="O58" s="37" t="s">
        <v>692</v>
      </c>
    </row>
    <row r="59" spans="2:15">
      <c r="B59" s="47"/>
      <c r="C59" s="47"/>
      <c r="D59" s="37" t="s">
        <v>161</v>
      </c>
      <c r="E59" s="41">
        <v>0.05</v>
      </c>
      <c r="F59" s="42"/>
      <c r="G59" s="42"/>
      <c r="H59" s="42">
        <v>0.1</v>
      </c>
      <c r="I59" s="43">
        <v>0.01</v>
      </c>
      <c r="J59" s="35">
        <v>2015</v>
      </c>
      <c r="K59" s="36" t="s">
        <v>164</v>
      </c>
      <c r="L59" s="37" t="s">
        <v>24</v>
      </c>
      <c r="M59" s="37" t="s">
        <v>21</v>
      </c>
      <c r="N59" s="37"/>
      <c r="O59" s="37" t="s">
        <v>693</v>
      </c>
    </row>
    <row r="60" spans="2:15">
      <c r="B60" s="47"/>
      <c r="C60" s="47"/>
      <c r="D60" s="37" t="s">
        <v>181</v>
      </c>
      <c r="E60" s="41">
        <v>0.08</v>
      </c>
      <c r="F60" s="42">
        <v>0.06</v>
      </c>
      <c r="G60" s="42">
        <v>0.1</v>
      </c>
      <c r="H60" s="42"/>
      <c r="I60" s="43"/>
      <c r="J60" s="35">
        <v>2004</v>
      </c>
      <c r="K60" s="36" t="s">
        <v>27</v>
      </c>
      <c r="L60" s="37" t="s">
        <v>24</v>
      </c>
      <c r="M60" s="37" t="s">
        <v>21</v>
      </c>
      <c r="N60" s="37" t="s">
        <v>550</v>
      </c>
      <c r="O60" s="37"/>
    </row>
    <row r="61" spans="2:15">
      <c r="B61" s="47"/>
      <c r="C61" s="47" t="s">
        <v>188</v>
      </c>
      <c r="D61" s="37" t="s">
        <v>189</v>
      </c>
      <c r="E61" s="41">
        <v>0.55000000000000004</v>
      </c>
      <c r="F61" s="42">
        <v>0.46</v>
      </c>
      <c r="G61" s="42">
        <v>0.63</v>
      </c>
      <c r="H61" s="42">
        <v>0.8</v>
      </c>
      <c r="I61" s="43">
        <v>0.3</v>
      </c>
      <c r="J61" s="35">
        <v>2009</v>
      </c>
      <c r="K61" s="36" t="s">
        <v>27</v>
      </c>
      <c r="L61" s="37" t="s">
        <v>694</v>
      </c>
      <c r="M61" s="37" t="s">
        <v>21</v>
      </c>
      <c r="N61" s="37"/>
      <c r="O61" s="37"/>
    </row>
    <row r="62" spans="2:15">
      <c r="B62" s="47"/>
      <c r="C62" s="47"/>
      <c r="D62" s="37" t="s">
        <v>200</v>
      </c>
      <c r="E62" s="41">
        <v>0.9</v>
      </c>
      <c r="F62" s="42"/>
      <c r="G62" s="42"/>
      <c r="H62" s="42">
        <v>0.9</v>
      </c>
      <c r="I62" s="43">
        <v>1</v>
      </c>
      <c r="J62" s="35">
        <v>2016</v>
      </c>
      <c r="K62" s="36" t="s">
        <v>202</v>
      </c>
      <c r="L62" s="37" t="s">
        <v>24</v>
      </c>
      <c r="M62" s="37" t="s">
        <v>21</v>
      </c>
      <c r="N62" s="37"/>
      <c r="O62" s="37"/>
    </row>
    <row r="63" spans="2:15">
      <c r="B63" s="47"/>
      <c r="C63" s="47"/>
      <c r="D63" s="37" t="s">
        <v>200</v>
      </c>
      <c r="E63" s="41">
        <v>0.21</v>
      </c>
      <c r="F63" s="42"/>
      <c r="G63" s="42"/>
      <c r="H63" s="42">
        <v>0.39</v>
      </c>
      <c r="I63" s="43">
        <v>0.04</v>
      </c>
      <c r="J63" s="35">
        <v>2009</v>
      </c>
      <c r="K63" s="36" t="s">
        <v>203</v>
      </c>
      <c r="L63" s="37" t="s">
        <v>24</v>
      </c>
      <c r="M63" s="37" t="s">
        <v>21</v>
      </c>
      <c r="N63" s="37"/>
      <c r="O63" s="37" t="s">
        <v>695</v>
      </c>
    </row>
    <row r="64" spans="2:15">
      <c r="B64" s="47"/>
      <c r="C64" s="47"/>
      <c r="D64" s="37" t="s">
        <v>208</v>
      </c>
      <c r="E64" s="41">
        <v>1.5</v>
      </c>
      <c r="F64" s="42">
        <v>1.3</v>
      </c>
      <c r="G64" s="42">
        <v>1.6</v>
      </c>
      <c r="H64" s="42">
        <v>1.6</v>
      </c>
      <c r="I64" s="43">
        <v>1.4</v>
      </c>
      <c r="J64" s="35">
        <v>2012</v>
      </c>
      <c r="K64" s="36" t="s">
        <v>27</v>
      </c>
      <c r="L64" s="37" t="s">
        <v>69</v>
      </c>
      <c r="M64" s="37" t="s">
        <v>696</v>
      </c>
      <c r="N64" s="37"/>
      <c r="O64" s="37"/>
    </row>
    <row r="65" spans="2:15">
      <c r="B65" s="47"/>
      <c r="C65" s="47"/>
      <c r="D65" s="37" t="s">
        <v>208</v>
      </c>
      <c r="E65" s="41">
        <v>0.13</v>
      </c>
      <c r="F65" s="42"/>
      <c r="G65" s="42"/>
      <c r="H65" s="42"/>
      <c r="I65" s="43"/>
      <c r="J65" s="35">
        <v>2006</v>
      </c>
      <c r="K65" s="36" t="s">
        <v>27</v>
      </c>
      <c r="L65" s="37" t="s">
        <v>549</v>
      </c>
      <c r="M65" s="37"/>
      <c r="N65" s="37"/>
      <c r="O65" s="37"/>
    </row>
    <row r="66" spans="2:15">
      <c r="B66" s="47"/>
      <c r="C66" s="47" t="s">
        <v>213</v>
      </c>
      <c r="D66" s="37" t="s">
        <v>214</v>
      </c>
      <c r="E66" s="41">
        <v>0.03</v>
      </c>
      <c r="F66" s="42"/>
      <c r="G66" s="42"/>
      <c r="H66" s="42"/>
      <c r="I66" s="43"/>
      <c r="J66" s="35">
        <v>2003</v>
      </c>
      <c r="K66" s="36" t="s">
        <v>27</v>
      </c>
      <c r="L66" s="37" t="s">
        <v>24</v>
      </c>
      <c r="M66" s="37" t="s">
        <v>21</v>
      </c>
      <c r="N66" s="37" t="s">
        <v>177</v>
      </c>
      <c r="O66" s="37"/>
    </row>
    <row r="67" spans="2:15">
      <c r="B67" s="47"/>
      <c r="C67" s="47"/>
      <c r="D67" s="37" t="s">
        <v>219</v>
      </c>
      <c r="E67" s="41">
        <v>0.96</v>
      </c>
      <c r="F67" s="42"/>
      <c r="G67" s="42"/>
      <c r="H67" s="42"/>
      <c r="I67" s="43"/>
      <c r="J67" s="35">
        <v>2018</v>
      </c>
      <c r="K67" s="36" t="s">
        <v>220</v>
      </c>
      <c r="L67" s="37" t="s">
        <v>36</v>
      </c>
      <c r="M67" s="37" t="s">
        <v>70</v>
      </c>
      <c r="N67" s="37"/>
      <c r="O67" s="37" t="s">
        <v>697</v>
      </c>
    </row>
    <row r="68" spans="2:15">
      <c r="B68" s="47" t="s">
        <v>231</v>
      </c>
      <c r="C68" s="47" t="s">
        <v>232</v>
      </c>
      <c r="D68" s="37" t="s">
        <v>233</v>
      </c>
      <c r="E68" s="41">
        <v>0.04</v>
      </c>
      <c r="F68" s="42">
        <v>0.01</v>
      </c>
      <c r="G68" s="42">
        <v>7.0000000000000007E-2</v>
      </c>
      <c r="H68" s="42"/>
      <c r="I68" s="43"/>
      <c r="J68" s="35">
        <v>2007</v>
      </c>
      <c r="K68" s="36" t="s">
        <v>27</v>
      </c>
      <c r="L68" s="37" t="s">
        <v>58</v>
      </c>
      <c r="M68" s="37" t="s">
        <v>646</v>
      </c>
      <c r="N68" s="37" t="s">
        <v>652</v>
      </c>
      <c r="O68" s="37"/>
    </row>
    <row r="69" spans="2:15">
      <c r="B69" s="47"/>
      <c r="C69" s="47" t="s">
        <v>242</v>
      </c>
      <c r="D69" s="37" t="s">
        <v>247</v>
      </c>
      <c r="E69" s="41">
        <v>0.2</v>
      </c>
      <c r="F69" s="42"/>
      <c r="G69" s="42"/>
      <c r="H69" s="42">
        <v>0.2</v>
      </c>
      <c r="I69" s="43">
        <v>0.1</v>
      </c>
      <c r="J69" s="35">
        <v>2020</v>
      </c>
      <c r="K69" s="36" t="s">
        <v>27</v>
      </c>
      <c r="L69" s="37" t="s">
        <v>24</v>
      </c>
      <c r="M69" s="37" t="s">
        <v>21</v>
      </c>
      <c r="N69" s="37"/>
      <c r="O69" s="37" t="s">
        <v>697</v>
      </c>
    </row>
    <row r="70" spans="2:15">
      <c r="B70" s="47"/>
      <c r="C70" s="47"/>
      <c r="D70" s="37" t="s">
        <v>247</v>
      </c>
      <c r="E70" s="41">
        <v>0.2</v>
      </c>
      <c r="F70" s="42"/>
      <c r="G70" s="42"/>
      <c r="H70" s="42">
        <v>0.2</v>
      </c>
      <c r="I70" s="43">
        <v>0.2</v>
      </c>
      <c r="J70" s="35">
        <v>2016</v>
      </c>
      <c r="K70" s="36" t="s">
        <v>27</v>
      </c>
      <c r="L70" s="37" t="s">
        <v>24</v>
      </c>
      <c r="M70" s="37" t="s">
        <v>21</v>
      </c>
      <c r="N70" s="37"/>
      <c r="O70" s="37"/>
    </row>
    <row r="71" spans="2:15">
      <c r="B71" s="47"/>
      <c r="C71" s="47"/>
      <c r="D71" s="37" t="s">
        <v>247</v>
      </c>
      <c r="E71" s="41">
        <v>0.1</v>
      </c>
      <c r="F71" s="42"/>
      <c r="G71" s="42"/>
      <c r="H71" s="42">
        <v>0.1</v>
      </c>
      <c r="I71" s="43">
        <v>0.1</v>
      </c>
      <c r="J71" s="35">
        <v>2012</v>
      </c>
      <c r="K71" s="36" t="s">
        <v>27</v>
      </c>
      <c r="L71" s="37" t="s">
        <v>24</v>
      </c>
      <c r="M71" s="37" t="s">
        <v>228</v>
      </c>
      <c r="N71" s="37"/>
      <c r="O71" s="37"/>
    </row>
    <row r="72" spans="2:15">
      <c r="B72" s="47"/>
      <c r="C72" s="47"/>
      <c r="D72" s="37" t="s">
        <v>254</v>
      </c>
      <c r="E72" s="41">
        <v>5.0999999999999996</v>
      </c>
      <c r="F72" s="42"/>
      <c r="G72" s="42"/>
      <c r="H72" s="42">
        <v>4.0999999999999996</v>
      </c>
      <c r="I72" s="43">
        <v>6.1</v>
      </c>
      <c r="J72" s="35">
        <v>2014</v>
      </c>
      <c r="K72" s="36" t="s">
        <v>144</v>
      </c>
      <c r="L72" s="37" t="s">
        <v>384</v>
      </c>
      <c r="M72" s="37" t="s">
        <v>21</v>
      </c>
      <c r="N72" s="37"/>
      <c r="O72" s="37"/>
    </row>
    <row r="73" spans="2:15">
      <c r="B73" s="47"/>
      <c r="C73" s="47" t="s">
        <v>257</v>
      </c>
      <c r="D73" s="37" t="s">
        <v>263</v>
      </c>
      <c r="E73" s="41">
        <v>0.7</v>
      </c>
      <c r="F73" s="42"/>
      <c r="G73" s="42"/>
      <c r="H73" s="42">
        <v>1</v>
      </c>
      <c r="I73" s="43">
        <v>0.5</v>
      </c>
      <c r="J73" s="35">
        <v>2019</v>
      </c>
      <c r="K73" s="36" t="s">
        <v>27</v>
      </c>
      <c r="L73" s="37" t="s">
        <v>24</v>
      </c>
      <c r="M73" s="37" t="s">
        <v>21</v>
      </c>
      <c r="N73" s="37"/>
      <c r="O73" s="37" t="s">
        <v>697</v>
      </c>
    </row>
    <row r="74" spans="2:15">
      <c r="B74" s="47"/>
      <c r="C74" s="47"/>
      <c r="D74" s="37" t="s">
        <v>263</v>
      </c>
      <c r="E74" s="41">
        <v>0.1</v>
      </c>
      <c r="F74" s="42"/>
      <c r="G74" s="42"/>
      <c r="H74" s="42">
        <v>0.2</v>
      </c>
      <c r="I74" s="43">
        <v>0</v>
      </c>
      <c r="J74" s="35">
        <v>2018</v>
      </c>
      <c r="K74" s="36" t="s">
        <v>27</v>
      </c>
      <c r="L74" s="37" t="s">
        <v>24</v>
      </c>
      <c r="M74" s="37" t="s">
        <v>21</v>
      </c>
      <c r="N74" s="37"/>
      <c r="O74" s="37"/>
    </row>
    <row r="75" spans="2:15">
      <c r="B75" s="47"/>
      <c r="C75" s="47"/>
      <c r="D75" s="37" t="s">
        <v>263</v>
      </c>
      <c r="E75" s="41">
        <v>2.6</v>
      </c>
      <c r="F75" s="42"/>
      <c r="G75" s="42"/>
      <c r="H75" s="42">
        <v>2.2000000000000002</v>
      </c>
      <c r="I75" s="43">
        <v>2.9</v>
      </c>
      <c r="J75" s="35">
        <v>2012</v>
      </c>
      <c r="K75" s="36" t="s">
        <v>27</v>
      </c>
      <c r="L75" s="37" t="s">
        <v>24</v>
      </c>
      <c r="M75" s="37" t="s">
        <v>21</v>
      </c>
      <c r="N75" s="37"/>
      <c r="O75" s="37"/>
    </row>
    <row r="76" spans="2:15">
      <c r="B76" s="47"/>
      <c r="C76" s="47"/>
      <c r="D76" s="37" t="s">
        <v>267</v>
      </c>
      <c r="E76" s="41">
        <v>0.13</v>
      </c>
      <c r="F76" s="42"/>
      <c r="G76" s="42"/>
      <c r="H76" s="42">
        <v>0.22</v>
      </c>
      <c r="I76" s="43">
        <v>0.08</v>
      </c>
      <c r="J76" s="35">
        <v>2018</v>
      </c>
      <c r="K76" s="36" t="s">
        <v>265</v>
      </c>
      <c r="L76" s="37" t="s">
        <v>24</v>
      </c>
      <c r="M76" s="37" t="s">
        <v>21</v>
      </c>
      <c r="N76" s="37"/>
      <c r="O76" s="37" t="s">
        <v>698</v>
      </c>
    </row>
    <row r="77" spans="2:15">
      <c r="B77" s="47"/>
      <c r="C77" s="47"/>
      <c r="D77" s="37" t="s">
        <v>267</v>
      </c>
      <c r="E77" s="41">
        <v>0.71</v>
      </c>
      <c r="F77" s="42"/>
      <c r="G77" s="42"/>
      <c r="H77" s="42"/>
      <c r="I77" s="43"/>
      <c r="J77" s="35">
        <v>2008</v>
      </c>
      <c r="K77" s="36" t="s">
        <v>27</v>
      </c>
      <c r="L77" s="37" t="s">
        <v>24</v>
      </c>
      <c r="M77" s="37" t="s">
        <v>228</v>
      </c>
      <c r="N77" s="37"/>
      <c r="O77" s="37"/>
    </row>
    <row r="78" spans="2:15">
      <c r="B78" s="47"/>
      <c r="C78" s="47"/>
      <c r="D78" s="37" t="s">
        <v>268</v>
      </c>
      <c r="E78" s="41">
        <v>0.9</v>
      </c>
      <c r="F78" s="42"/>
      <c r="G78" s="42"/>
      <c r="H78" s="42">
        <v>0.9</v>
      </c>
      <c r="I78" s="43">
        <v>0.8</v>
      </c>
      <c r="J78" s="35">
        <v>2018</v>
      </c>
      <c r="K78" s="36" t="s">
        <v>27</v>
      </c>
      <c r="L78" s="37" t="s">
        <v>24</v>
      </c>
      <c r="M78" s="37" t="s">
        <v>21</v>
      </c>
      <c r="N78" s="37"/>
      <c r="O78" s="37"/>
    </row>
    <row r="79" spans="2:15">
      <c r="B79" s="47"/>
      <c r="C79" s="47"/>
      <c r="D79" s="37" t="s">
        <v>268</v>
      </c>
      <c r="E79" s="41">
        <v>0.7</v>
      </c>
      <c r="F79" s="42"/>
      <c r="G79" s="42"/>
      <c r="H79" s="42">
        <v>1</v>
      </c>
      <c r="I79" s="43">
        <v>0.3</v>
      </c>
      <c r="J79" s="35">
        <v>2014</v>
      </c>
      <c r="K79" s="36" t="s">
        <v>27</v>
      </c>
      <c r="L79" s="37" t="s">
        <v>24</v>
      </c>
      <c r="M79" s="37" t="s">
        <v>21</v>
      </c>
      <c r="N79" s="37"/>
      <c r="O79" s="37"/>
    </row>
    <row r="80" spans="2:15">
      <c r="B80" s="47"/>
      <c r="C80" s="47"/>
      <c r="D80" s="37" t="s">
        <v>270</v>
      </c>
      <c r="E80" s="41">
        <v>0.3</v>
      </c>
      <c r="F80" s="42"/>
      <c r="G80" s="42"/>
      <c r="H80" s="42">
        <v>0.4</v>
      </c>
      <c r="I80" s="43">
        <v>0.3</v>
      </c>
      <c r="J80" s="35">
        <v>2012</v>
      </c>
      <c r="K80" s="36" t="s">
        <v>144</v>
      </c>
      <c r="L80" s="37" t="s">
        <v>21</v>
      </c>
      <c r="M80" s="37"/>
      <c r="N80" s="37"/>
      <c r="O80" s="37" t="s">
        <v>699</v>
      </c>
    </row>
    <row r="81" spans="2:15">
      <c r="B81" s="47"/>
      <c r="C81" s="47"/>
      <c r="D81" s="37" t="s">
        <v>278</v>
      </c>
      <c r="E81" s="41">
        <v>0.9</v>
      </c>
      <c r="F81" s="42"/>
      <c r="G81" s="42"/>
      <c r="H81" s="42">
        <v>0.7</v>
      </c>
      <c r="I81" s="43">
        <v>1.2</v>
      </c>
      <c r="J81" s="35">
        <v>2022</v>
      </c>
      <c r="K81" s="36" t="s">
        <v>27</v>
      </c>
      <c r="L81" s="37" t="s">
        <v>24</v>
      </c>
      <c r="M81" s="37" t="s">
        <v>21</v>
      </c>
      <c r="N81" s="37"/>
      <c r="O81" s="37"/>
    </row>
    <row r="82" spans="2:15">
      <c r="B82" s="47"/>
      <c r="C82" s="47"/>
      <c r="D82" s="37" t="s">
        <v>278</v>
      </c>
      <c r="E82" s="41">
        <v>0.45</v>
      </c>
      <c r="F82" s="42"/>
      <c r="G82" s="42"/>
      <c r="H82" s="42">
        <v>0.6</v>
      </c>
      <c r="I82" s="43">
        <v>0.31</v>
      </c>
      <c r="J82" s="35">
        <v>2017</v>
      </c>
      <c r="K82" s="36" t="s">
        <v>27</v>
      </c>
      <c r="L82" s="37" t="s">
        <v>36</v>
      </c>
      <c r="M82" s="37" t="s">
        <v>21</v>
      </c>
      <c r="N82" s="37"/>
      <c r="O82" s="37"/>
    </row>
    <row r="83" spans="2:15">
      <c r="B83" s="47"/>
      <c r="C83" s="47"/>
      <c r="D83" s="37" t="s">
        <v>278</v>
      </c>
      <c r="E83" s="41">
        <v>0.7</v>
      </c>
      <c r="F83" s="42"/>
      <c r="G83" s="42"/>
      <c r="H83" s="42">
        <v>0.9</v>
      </c>
      <c r="I83" s="43">
        <v>0.4</v>
      </c>
      <c r="J83" s="35">
        <v>2013</v>
      </c>
      <c r="K83" s="36" t="s">
        <v>27</v>
      </c>
      <c r="L83" s="37" t="s">
        <v>24</v>
      </c>
      <c r="M83" s="37" t="s">
        <v>21</v>
      </c>
      <c r="N83" s="37"/>
      <c r="O83" s="37" t="s">
        <v>700</v>
      </c>
    </row>
    <row r="84" spans="2:15">
      <c r="B84" s="47"/>
      <c r="C84" s="47"/>
      <c r="D84" s="37" t="s">
        <v>281</v>
      </c>
      <c r="E84" s="41">
        <v>0.4</v>
      </c>
      <c r="F84" s="42"/>
      <c r="G84" s="42"/>
      <c r="H84" s="42">
        <v>0.4</v>
      </c>
      <c r="I84" s="43">
        <v>0.5</v>
      </c>
      <c r="J84" s="35">
        <v>2021</v>
      </c>
      <c r="K84" s="36" t="s">
        <v>27</v>
      </c>
      <c r="L84" s="37" t="s">
        <v>24</v>
      </c>
      <c r="M84" s="37" t="s">
        <v>21</v>
      </c>
      <c r="N84" s="37"/>
      <c r="O84" s="37" t="s">
        <v>688</v>
      </c>
    </row>
    <row r="85" spans="2:15">
      <c r="B85" s="47"/>
      <c r="C85" s="47"/>
      <c r="D85" s="37" t="s">
        <v>589</v>
      </c>
      <c r="E85" s="41">
        <v>0.7</v>
      </c>
      <c r="F85" s="42"/>
      <c r="G85" s="42"/>
      <c r="H85" s="42"/>
      <c r="I85" s="43"/>
      <c r="J85" s="35">
        <v>2022</v>
      </c>
      <c r="K85" s="36" t="s">
        <v>27</v>
      </c>
      <c r="L85" s="37" t="s">
        <v>36</v>
      </c>
      <c r="M85" s="37" t="s">
        <v>51</v>
      </c>
      <c r="N85" s="37"/>
      <c r="O85" s="37" t="s">
        <v>590</v>
      </c>
    </row>
    <row r="86" spans="2:15">
      <c r="B86" s="47"/>
      <c r="C86" s="47"/>
      <c r="D86" s="37" t="s">
        <v>290</v>
      </c>
      <c r="E86" s="41">
        <v>0.1</v>
      </c>
      <c r="F86" s="42"/>
      <c r="G86" s="42"/>
      <c r="H86" s="42">
        <v>0.3</v>
      </c>
      <c r="I86" s="43">
        <v>0</v>
      </c>
      <c r="J86" s="35">
        <v>2019</v>
      </c>
      <c r="K86" s="36" t="s">
        <v>27</v>
      </c>
      <c r="L86" s="37" t="s">
        <v>24</v>
      </c>
      <c r="M86" s="37" t="s">
        <v>21</v>
      </c>
      <c r="N86" s="37"/>
      <c r="O86" s="37" t="s">
        <v>397</v>
      </c>
    </row>
    <row r="87" spans="2:15">
      <c r="B87" s="47"/>
      <c r="C87" s="47"/>
      <c r="D87" s="37" t="s">
        <v>290</v>
      </c>
      <c r="E87" s="41">
        <v>0.1</v>
      </c>
      <c r="F87" s="42"/>
      <c r="G87" s="42"/>
      <c r="H87" s="42">
        <v>0.1</v>
      </c>
      <c r="I87" s="43">
        <v>0</v>
      </c>
      <c r="J87" s="35">
        <v>2012</v>
      </c>
      <c r="K87" s="36" t="s">
        <v>27</v>
      </c>
      <c r="L87" s="37" t="s">
        <v>24</v>
      </c>
      <c r="M87" s="37" t="s">
        <v>21</v>
      </c>
      <c r="N87" s="37"/>
      <c r="O87" s="37"/>
    </row>
    <row r="88" spans="2:15">
      <c r="B88" s="47"/>
      <c r="C88" s="47"/>
      <c r="D88" s="37" t="s">
        <v>299</v>
      </c>
      <c r="E88" s="41">
        <v>0.6</v>
      </c>
      <c r="F88" s="42"/>
      <c r="G88" s="42"/>
      <c r="H88" s="42">
        <v>0.7</v>
      </c>
      <c r="I88" s="43">
        <v>0.5</v>
      </c>
      <c r="J88" s="35">
        <v>2022</v>
      </c>
      <c r="K88" s="36" t="s">
        <v>27</v>
      </c>
      <c r="L88" s="37" t="s">
        <v>24</v>
      </c>
      <c r="M88" s="37" t="s">
        <v>21</v>
      </c>
      <c r="N88" s="37"/>
      <c r="O88" s="37"/>
    </row>
    <row r="89" spans="2:15">
      <c r="B89" s="47"/>
      <c r="C89" s="47"/>
      <c r="D89" s="37" t="s">
        <v>299</v>
      </c>
      <c r="E89" s="41">
        <v>0.6</v>
      </c>
      <c r="F89" s="42"/>
      <c r="G89" s="42"/>
      <c r="H89" s="42">
        <v>0.6</v>
      </c>
      <c r="I89" s="43">
        <v>0.7</v>
      </c>
      <c r="J89" s="35">
        <v>2020</v>
      </c>
      <c r="K89" s="36" t="s">
        <v>27</v>
      </c>
      <c r="L89" s="37" t="s">
        <v>24</v>
      </c>
      <c r="M89" s="37" t="s">
        <v>21</v>
      </c>
      <c r="N89" s="37"/>
      <c r="O89" s="37" t="s">
        <v>701</v>
      </c>
    </row>
    <row r="90" spans="2:15">
      <c r="B90" s="47"/>
      <c r="C90" s="47"/>
      <c r="D90" s="37" t="s">
        <v>302</v>
      </c>
      <c r="E90" s="41">
        <v>2.7</v>
      </c>
      <c r="F90" s="42"/>
      <c r="G90" s="42"/>
      <c r="H90" s="42">
        <v>2.7</v>
      </c>
      <c r="I90" s="43">
        <v>2.6</v>
      </c>
      <c r="J90" s="35">
        <v>2021</v>
      </c>
      <c r="K90" s="36" t="s">
        <v>265</v>
      </c>
      <c r="L90" s="37" t="s">
        <v>38</v>
      </c>
      <c r="M90" s="37" t="s">
        <v>51</v>
      </c>
      <c r="N90" s="37"/>
      <c r="O90" s="37" t="s">
        <v>688</v>
      </c>
    </row>
    <row r="91" spans="2:15">
      <c r="B91" s="47"/>
      <c r="C91" s="47"/>
      <c r="D91" s="37" t="s">
        <v>305</v>
      </c>
      <c r="E91" s="41">
        <v>0.04</v>
      </c>
      <c r="F91" s="42"/>
      <c r="G91" s="42"/>
      <c r="H91" s="42">
        <v>0.06</v>
      </c>
      <c r="I91" s="43">
        <v>0.02</v>
      </c>
      <c r="J91" s="35">
        <v>2019</v>
      </c>
      <c r="K91" s="36" t="s">
        <v>265</v>
      </c>
      <c r="L91" s="37" t="s">
        <v>24</v>
      </c>
      <c r="M91" s="37" t="s">
        <v>21</v>
      </c>
      <c r="N91" s="37"/>
      <c r="O91" s="37" t="s">
        <v>702</v>
      </c>
    </row>
    <row r="92" spans="2:15">
      <c r="B92" s="47"/>
      <c r="C92" s="47"/>
      <c r="D92" s="37" t="s">
        <v>305</v>
      </c>
      <c r="E92" s="41">
        <v>0.06</v>
      </c>
      <c r="F92" s="42"/>
      <c r="G92" s="42"/>
      <c r="H92" s="42">
        <v>7.0000000000000007E-2</v>
      </c>
      <c r="I92" s="43">
        <v>0.04</v>
      </c>
      <c r="J92" s="35">
        <v>2018</v>
      </c>
      <c r="K92" s="36" t="s">
        <v>306</v>
      </c>
      <c r="L92" s="37" t="s">
        <v>36</v>
      </c>
      <c r="M92" s="37" t="s">
        <v>21</v>
      </c>
      <c r="N92" s="37"/>
      <c r="O92" s="37" t="s">
        <v>703</v>
      </c>
    </row>
    <row r="93" spans="2:15">
      <c r="B93" s="47"/>
      <c r="C93" s="47"/>
      <c r="D93" s="37" t="s">
        <v>305</v>
      </c>
      <c r="E93" s="41">
        <v>0.06</v>
      </c>
      <c r="F93" s="42"/>
      <c r="G93" s="42"/>
      <c r="H93" s="42"/>
      <c r="I93" s="43"/>
      <c r="J93" s="35">
        <v>2017</v>
      </c>
      <c r="K93" s="36" t="s">
        <v>306</v>
      </c>
      <c r="L93" s="37" t="s">
        <v>36</v>
      </c>
      <c r="M93" s="37" t="s">
        <v>21</v>
      </c>
      <c r="N93" s="37"/>
      <c r="O93" s="37" t="s">
        <v>704</v>
      </c>
    </row>
    <row r="94" spans="2:15">
      <c r="B94" s="47"/>
      <c r="C94" s="47"/>
      <c r="D94" s="37" t="s">
        <v>305</v>
      </c>
      <c r="E94" s="41">
        <v>0.04</v>
      </c>
      <c r="F94" s="42"/>
      <c r="G94" s="42"/>
      <c r="H94" s="42">
        <v>7.0000000000000007E-2</v>
      </c>
      <c r="I94" s="43">
        <v>0.01</v>
      </c>
      <c r="J94" s="35">
        <v>2016</v>
      </c>
      <c r="K94" s="36" t="s">
        <v>306</v>
      </c>
      <c r="L94" s="37" t="s">
        <v>36</v>
      </c>
      <c r="M94" s="37" t="s">
        <v>21</v>
      </c>
      <c r="N94" s="37"/>
      <c r="O94" s="37" t="s">
        <v>705</v>
      </c>
    </row>
    <row r="95" spans="2:15">
      <c r="B95" s="47"/>
      <c r="C95" s="47"/>
      <c r="D95" s="37" t="s">
        <v>305</v>
      </c>
      <c r="E95" s="41">
        <v>0.08</v>
      </c>
      <c r="F95" s="42"/>
      <c r="G95" s="42"/>
      <c r="H95" s="42">
        <v>0.12</v>
      </c>
      <c r="I95" s="43">
        <v>0.03</v>
      </c>
      <c r="J95" s="35">
        <v>2015</v>
      </c>
      <c r="K95" s="36" t="s">
        <v>306</v>
      </c>
      <c r="L95" s="37" t="s">
        <v>36</v>
      </c>
      <c r="M95" s="37" t="s">
        <v>21</v>
      </c>
      <c r="N95" s="37"/>
      <c r="O95" s="37" t="s">
        <v>706</v>
      </c>
    </row>
    <row r="96" spans="2:15">
      <c r="B96" s="47"/>
      <c r="C96" s="47"/>
      <c r="D96" s="37" t="s">
        <v>305</v>
      </c>
      <c r="E96" s="41">
        <v>0.1</v>
      </c>
      <c r="F96" s="42"/>
      <c r="G96" s="42"/>
      <c r="H96" s="42">
        <v>0.1</v>
      </c>
      <c r="I96" s="43">
        <v>0</v>
      </c>
      <c r="J96" s="35">
        <v>2014</v>
      </c>
      <c r="K96" s="36" t="s">
        <v>306</v>
      </c>
      <c r="L96" s="37" t="s">
        <v>24</v>
      </c>
      <c r="M96" s="37" t="s">
        <v>21</v>
      </c>
      <c r="N96" s="37"/>
      <c r="O96" s="37" t="s">
        <v>707</v>
      </c>
    </row>
    <row r="97" spans="2:15">
      <c r="B97" s="47"/>
      <c r="C97" s="47"/>
      <c r="D97" s="37" t="s">
        <v>323</v>
      </c>
      <c r="E97" s="41">
        <v>0.19</v>
      </c>
      <c r="F97" s="42"/>
      <c r="G97" s="42"/>
      <c r="H97" s="42">
        <v>0.28000000000000003</v>
      </c>
      <c r="I97" s="43">
        <v>0.1</v>
      </c>
      <c r="J97" s="35">
        <v>2014</v>
      </c>
      <c r="K97" s="36" t="s">
        <v>265</v>
      </c>
      <c r="L97" s="37" t="s">
        <v>36</v>
      </c>
      <c r="M97" s="37" t="s">
        <v>21</v>
      </c>
      <c r="N97" s="37"/>
      <c r="O97" s="37" t="s">
        <v>708</v>
      </c>
    </row>
    <row r="98" spans="2:15">
      <c r="B98" s="47" t="s">
        <v>327</v>
      </c>
      <c r="C98" s="47" t="s">
        <v>328</v>
      </c>
      <c r="D98" s="37" t="s">
        <v>329</v>
      </c>
      <c r="E98" s="41">
        <v>4.2</v>
      </c>
      <c r="F98" s="42"/>
      <c r="G98" s="42"/>
      <c r="H98" s="42"/>
      <c r="I98" s="43"/>
      <c r="J98" s="35">
        <v>2019</v>
      </c>
      <c r="K98" s="36" t="s">
        <v>226</v>
      </c>
      <c r="L98" s="37" t="s">
        <v>24</v>
      </c>
      <c r="M98" s="37" t="s">
        <v>21</v>
      </c>
      <c r="N98" s="37"/>
      <c r="O98" s="37"/>
    </row>
    <row r="99" spans="2:15">
      <c r="B99" s="47"/>
      <c r="C99" s="47"/>
      <c r="D99" s="37" t="s">
        <v>329</v>
      </c>
      <c r="E99" s="41">
        <v>3.6</v>
      </c>
      <c r="F99" s="42"/>
      <c r="G99" s="42"/>
      <c r="H99" s="42"/>
      <c r="I99" s="43"/>
      <c r="J99" s="35">
        <v>2016</v>
      </c>
      <c r="K99" s="36" t="s">
        <v>226</v>
      </c>
      <c r="L99" s="37" t="s">
        <v>24</v>
      </c>
      <c r="M99" s="37" t="s">
        <v>21</v>
      </c>
      <c r="N99" s="37"/>
      <c r="O99" s="37"/>
    </row>
    <row r="100" spans="2:15">
      <c r="B100" s="47"/>
      <c r="C100" s="47"/>
      <c r="D100" s="37" t="s">
        <v>329</v>
      </c>
      <c r="E100" s="41">
        <v>3.28</v>
      </c>
      <c r="F100" s="42"/>
      <c r="G100" s="42"/>
      <c r="H100" s="42">
        <v>3.33</v>
      </c>
      <c r="I100" s="43">
        <v>3.23</v>
      </c>
      <c r="J100" s="35">
        <v>2013</v>
      </c>
      <c r="K100" s="36" t="s">
        <v>226</v>
      </c>
      <c r="L100" s="37" t="s">
        <v>36</v>
      </c>
      <c r="M100" s="37" t="s">
        <v>21</v>
      </c>
      <c r="N100" s="37"/>
      <c r="O100" s="37"/>
    </row>
    <row r="101" spans="2:15">
      <c r="B101" s="47"/>
      <c r="C101" s="47"/>
      <c r="D101" s="37" t="s">
        <v>329</v>
      </c>
      <c r="E101" s="41">
        <v>3.1</v>
      </c>
      <c r="F101" s="42"/>
      <c r="G101" s="42"/>
      <c r="H101" s="42"/>
      <c r="I101" s="43"/>
      <c r="J101" s="35">
        <v>2010</v>
      </c>
      <c r="K101" s="36" t="s">
        <v>27</v>
      </c>
      <c r="L101" s="37" t="s">
        <v>36</v>
      </c>
      <c r="M101" s="37" t="s">
        <v>21</v>
      </c>
      <c r="N101" s="37" t="s">
        <v>37</v>
      </c>
      <c r="O101" s="37"/>
    </row>
    <row r="102" spans="2:15">
      <c r="B102" s="47"/>
      <c r="C102" s="47"/>
      <c r="D102" s="37" t="s">
        <v>331</v>
      </c>
      <c r="E102" s="41">
        <v>1</v>
      </c>
      <c r="F102" s="42">
        <v>0.7</v>
      </c>
      <c r="G102" s="42">
        <v>1.3</v>
      </c>
      <c r="H102" s="42">
        <v>1.5</v>
      </c>
      <c r="I102" s="43">
        <v>1</v>
      </c>
      <c r="J102" s="35">
        <v>2008</v>
      </c>
      <c r="K102" s="36" t="s">
        <v>27</v>
      </c>
      <c r="L102" s="37" t="s">
        <v>36</v>
      </c>
      <c r="M102" s="37" t="s">
        <v>21</v>
      </c>
      <c r="N102" s="37"/>
      <c r="O102" s="37" t="s">
        <v>341</v>
      </c>
    </row>
    <row r="103" spans="2:15" ht="240" customHeight="1">
      <c r="B103" s="98" t="s">
        <v>709</v>
      </c>
      <c r="C103" s="98"/>
      <c r="D103" s="98"/>
      <c r="E103" s="98"/>
      <c r="F103" s="98"/>
      <c r="G103" s="98"/>
      <c r="H103" s="98"/>
      <c r="I103" s="98"/>
      <c r="J103" s="98"/>
      <c r="K103" s="98"/>
      <c r="L103" s="98"/>
      <c r="M103" s="98"/>
      <c r="N103" s="98"/>
      <c r="O103" s="98"/>
    </row>
    <row r="108" spans="2:15">
      <c r="J108" s="44"/>
      <c r="K108" s="44"/>
    </row>
  </sheetData>
  <mergeCells count="3">
    <mergeCell ref="B1:O1"/>
    <mergeCell ref="B2:O2"/>
    <mergeCell ref="B103:O103"/>
  </mergeCells>
  <conditionalFormatting sqref="D4:D102">
    <cfRule type="expression" dxfId="9" priority="3">
      <formula>#REF!=-1</formula>
    </cfRule>
  </conditionalFormatting>
  <pageMargins left="0.70866141732283472" right="0.70866141732283472" top="0.74803149606299213" bottom="0.74803149606299213" header="0.31496062992125984" footer="0.31496062992125984"/>
  <pageSetup paperSize="9" scale="29" fitToHeight="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B1:L186"/>
  <sheetViews>
    <sheetView zoomScale="90" zoomScaleNormal="90" zoomScaleSheetLayoutView="70" workbookViewId="0">
      <pane ySplit="3" topLeftCell="A4" activePane="bottomLeft" state="frozen"/>
      <selection activeCell="J84" sqref="J84"/>
      <selection pane="bottomLeft" activeCell="B3" sqref="B3"/>
    </sheetView>
  </sheetViews>
  <sheetFormatPr defaultColWidth="8.875" defaultRowHeight="15.75"/>
  <cols>
    <col min="1" max="1" width="8.875" style="44"/>
    <col min="2" max="2" width="16.125" style="44" customWidth="1"/>
    <col min="3" max="3" width="40.125" style="44" customWidth="1"/>
    <col min="4" max="4" width="38.875" style="44" customWidth="1"/>
    <col min="5" max="7" width="11.5" style="44" customWidth="1"/>
    <col min="8" max="9" width="11.625" style="49" customWidth="1"/>
    <col min="10" max="10" width="49.125" style="44" customWidth="1"/>
    <col min="11" max="11" width="12.375" style="44" customWidth="1"/>
    <col min="12" max="12" width="79.625" style="44" customWidth="1"/>
    <col min="13" max="16384" width="8.875" style="44"/>
  </cols>
  <sheetData>
    <row r="1" spans="2:12" ht="42.75" customHeight="1">
      <c r="B1" s="92" t="s">
        <v>710</v>
      </c>
      <c r="C1" s="97"/>
      <c r="D1" s="97"/>
      <c r="E1" s="97"/>
      <c r="F1" s="97"/>
      <c r="G1" s="97"/>
      <c r="H1" s="97"/>
      <c r="I1" s="97"/>
      <c r="J1" s="97"/>
      <c r="K1" s="97"/>
      <c r="L1" s="97"/>
    </row>
    <row r="2" spans="2:12" ht="23.25" customHeight="1">
      <c r="B2" s="101" t="s">
        <v>711</v>
      </c>
      <c r="C2" s="102"/>
      <c r="D2" s="102"/>
      <c r="E2" s="102"/>
      <c r="F2" s="102"/>
      <c r="G2" s="102"/>
      <c r="H2" s="102"/>
      <c r="I2" s="102"/>
      <c r="J2" s="102"/>
      <c r="K2" s="102"/>
      <c r="L2" s="102"/>
    </row>
    <row r="3" spans="2:12" ht="45.6" customHeight="1">
      <c r="B3" s="45" t="s">
        <v>2</v>
      </c>
      <c r="C3" s="45" t="s">
        <v>3</v>
      </c>
      <c r="D3" s="45" t="s">
        <v>4</v>
      </c>
      <c r="E3" s="46" t="s">
        <v>712</v>
      </c>
      <c r="F3" s="50" t="s">
        <v>8</v>
      </c>
      <c r="G3" s="51" t="s">
        <v>9</v>
      </c>
      <c r="H3" s="45" t="s">
        <v>10</v>
      </c>
      <c r="I3" s="45" t="s">
        <v>11</v>
      </c>
      <c r="J3" s="45" t="s">
        <v>12</v>
      </c>
      <c r="K3" s="52" t="s">
        <v>13</v>
      </c>
      <c r="L3" s="52" t="s">
        <v>15</v>
      </c>
    </row>
    <row r="4" spans="2:12">
      <c r="B4" s="47" t="s">
        <v>16</v>
      </c>
      <c r="C4" s="47" t="s">
        <v>17</v>
      </c>
      <c r="D4" s="37" t="s">
        <v>18</v>
      </c>
      <c r="E4" s="32">
        <v>0</v>
      </c>
      <c r="F4" s="33">
        <v>0</v>
      </c>
      <c r="G4" s="33">
        <v>0</v>
      </c>
      <c r="H4" s="35">
        <v>2016</v>
      </c>
      <c r="I4" s="36" t="s">
        <v>27</v>
      </c>
      <c r="J4" s="37" t="s">
        <v>24</v>
      </c>
      <c r="K4" s="53" t="s">
        <v>21</v>
      </c>
      <c r="L4" s="53"/>
    </row>
    <row r="5" spans="2:12">
      <c r="B5" s="47"/>
      <c r="C5" s="47" t="s">
        <v>39</v>
      </c>
      <c r="D5" s="37" t="s">
        <v>40</v>
      </c>
      <c r="E5" s="32">
        <v>0.59</v>
      </c>
      <c r="F5" s="33">
        <v>0.54</v>
      </c>
      <c r="G5" s="33">
        <v>0.63</v>
      </c>
      <c r="H5" s="35">
        <v>2010</v>
      </c>
      <c r="I5" s="36" t="s">
        <v>41</v>
      </c>
      <c r="J5" s="37" t="s">
        <v>24</v>
      </c>
      <c r="K5" s="53" t="s">
        <v>21</v>
      </c>
      <c r="L5" s="53"/>
    </row>
    <row r="6" spans="2:12">
      <c r="B6" s="47"/>
      <c r="C6" s="47"/>
      <c r="D6" s="37" t="s">
        <v>42</v>
      </c>
      <c r="E6" s="32">
        <v>0.2</v>
      </c>
      <c r="F6" s="33"/>
      <c r="G6" s="33"/>
      <c r="H6" s="35">
        <v>2019</v>
      </c>
      <c r="I6" s="36" t="s">
        <v>27</v>
      </c>
      <c r="J6" s="37" t="s">
        <v>24</v>
      </c>
      <c r="K6" s="53" t="s">
        <v>21</v>
      </c>
      <c r="L6" s="53"/>
    </row>
    <row r="7" spans="2:12">
      <c r="B7" s="47"/>
      <c r="C7" s="47"/>
      <c r="D7" s="37" t="s">
        <v>49</v>
      </c>
      <c r="E7" s="32">
        <v>0.18</v>
      </c>
      <c r="F7" s="33"/>
      <c r="G7" s="33"/>
      <c r="H7" s="35">
        <v>2004</v>
      </c>
      <c r="I7" s="36" t="s">
        <v>50</v>
      </c>
      <c r="J7" s="37" t="s">
        <v>111</v>
      </c>
      <c r="K7" s="53" t="s">
        <v>21</v>
      </c>
      <c r="L7" s="53"/>
    </row>
    <row r="8" spans="2:12">
      <c r="B8" s="47"/>
      <c r="C8" s="47"/>
      <c r="D8" s="37" t="s">
        <v>52</v>
      </c>
      <c r="E8" s="32">
        <v>0.52</v>
      </c>
      <c r="F8" s="33"/>
      <c r="G8" s="33"/>
      <c r="H8" s="35">
        <v>2013</v>
      </c>
      <c r="I8" s="36" t="s">
        <v>27</v>
      </c>
      <c r="J8" s="37" t="s">
        <v>24</v>
      </c>
      <c r="K8" s="53" t="s">
        <v>21</v>
      </c>
      <c r="L8" s="53"/>
    </row>
    <row r="9" spans="2:12">
      <c r="B9" s="47"/>
      <c r="C9" s="47" t="s">
        <v>59</v>
      </c>
      <c r="D9" s="37" t="s">
        <v>71</v>
      </c>
      <c r="E9" s="32">
        <v>0.48699999999999999</v>
      </c>
      <c r="F9" s="33"/>
      <c r="G9" s="33"/>
      <c r="H9" s="35">
        <v>2017</v>
      </c>
      <c r="I9" s="36" t="s">
        <v>27</v>
      </c>
      <c r="J9" s="37" t="s">
        <v>69</v>
      </c>
      <c r="K9" s="53" t="s">
        <v>70</v>
      </c>
      <c r="L9" s="53"/>
    </row>
    <row r="10" spans="2:12">
      <c r="B10" s="47" t="s">
        <v>76</v>
      </c>
      <c r="C10" s="47" t="s">
        <v>77</v>
      </c>
      <c r="D10" s="37" t="s">
        <v>83</v>
      </c>
      <c r="E10" s="32">
        <v>11.7</v>
      </c>
      <c r="F10" s="33">
        <v>11.6</v>
      </c>
      <c r="G10" s="33">
        <v>11.8</v>
      </c>
      <c r="H10" s="35">
        <v>2018</v>
      </c>
      <c r="I10" s="36" t="s">
        <v>27</v>
      </c>
      <c r="J10" s="37" t="s">
        <v>24</v>
      </c>
      <c r="K10" s="53" t="s">
        <v>21</v>
      </c>
      <c r="L10" s="53"/>
    </row>
    <row r="11" spans="2:12">
      <c r="B11" s="47"/>
      <c r="C11" s="47"/>
      <c r="D11" s="37" t="s">
        <v>84</v>
      </c>
      <c r="E11" s="32">
        <v>0.1</v>
      </c>
      <c r="F11" s="33"/>
      <c r="G11" s="33">
        <v>0.2</v>
      </c>
      <c r="H11" s="35">
        <v>2001</v>
      </c>
      <c r="I11" s="36" t="s">
        <v>86</v>
      </c>
      <c r="J11" s="37" t="s">
        <v>24</v>
      </c>
      <c r="K11" s="53" t="s">
        <v>21</v>
      </c>
      <c r="L11" s="53"/>
    </row>
    <row r="12" spans="2:12">
      <c r="B12" s="47"/>
      <c r="C12" s="47" t="s">
        <v>91</v>
      </c>
      <c r="D12" s="37" t="s">
        <v>93</v>
      </c>
      <c r="E12" s="32">
        <v>0.59</v>
      </c>
      <c r="F12" s="33">
        <v>0.56000000000000005</v>
      </c>
      <c r="G12" s="33">
        <v>0.62</v>
      </c>
      <c r="H12" s="35">
        <v>2015</v>
      </c>
      <c r="I12" s="36" t="s">
        <v>713</v>
      </c>
      <c r="J12" s="37" t="s">
        <v>24</v>
      </c>
      <c r="K12" s="53" t="s">
        <v>21</v>
      </c>
      <c r="L12" s="53" t="s">
        <v>714</v>
      </c>
    </row>
    <row r="13" spans="2:12">
      <c r="B13" s="47"/>
      <c r="C13" s="47"/>
      <c r="D13" s="37" t="s">
        <v>93</v>
      </c>
      <c r="E13" s="32">
        <v>0.56999999999999995</v>
      </c>
      <c r="F13" s="33">
        <v>0.54</v>
      </c>
      <c r="G13" s="33">
        <v>0.6</v>
      </c>
      <c r="H13" s="35">
        <v>2015</v>
      </c>
      <c r="I13" s="36" t="s">
        <v>715</v>
      </c>
      <c r="J13" s="37" t="s">
        <v>24</v>
      </c>
      <c r="K13" s="53" t="s">
        <v>21</v>
      </c>
      <c r="L13" s="53" t="s">
        <v>714</v>
      </c>
    </row>
    <row r="14" spans="2:12">
      <c r="B14" s="47"/>
      <c r="C14" s="47"/>
      <c r="D14" s="37" t="s">
        <v>93</v>
      </c>
      <c r="E14" s="32">
        <v>1.1399999999999999</v>
      </c>
      <c r="F14" s="33">
        <v>1.04</v>
      </c>
      <c r="G14" s="33">
        <v>1.24</v>
      </c>
      <c r="H14" s="35">
        <v>2010</v>
      </c>
      <c r="I14" s="36" t="s">
        <v>715</v>
      </c>
      <c r="J14" s="37" t="s">
        <v>24</v>
      </c>
      <c r="K14" s="53" t="s">
        <v>21</v>
      </c>
      <c r="L14" s="53" t="s">
        <v>510</v>
      </c>
    </row>
    <row r="15" spans="2:12">
      <c r="B15" s="47"/>
      <c r="C15" s="47"/>
      <c r="D15" s="37" t="s">
        <v>93</v>
      </c>
      <c r="E15" s="32">
        <v>1.43</v>
      </c>
      <c r="F15" s="33">
        <v>1.41</v>
      </c>
      <c r="G15" s="33">
        <v>1.46</v>
      </c>
      <c r="H15" s="35">
        <v>2006</v>
      </c>
      <c r="I15" s="36" t="s">
        <v>715</v>
      </c>
      <c r="J15" s="37"/>
      <c r="K15" s="53" t="s">
        <v>21</v>
      </c>
      <c r="L15" s="53" t="s">
        <v>510</v>
      </c>
    </row>
    <row r="16" spans="2:12">
      <c r="B16" s="47"/>
      <c r="C16" s="47"/>
      <c r="D16" s="37" t="s">
        <v>95</v>
      </c>
      <c r="E16" s="32">
        <v>1.76</v>
      </c>
      <c r="F16" s="33">
        <v>1.52</v>
      </c>
      <c r="G16" s="33">
        <v>1.94</v>
      </c>
      <c r="H16" s="35">
        <v>2014</v>
      </c>
      <c r="I16" s="36" t="s">
        <v>79</v>
      </c>
      <c r="J16" s="37" t="s">
        <v>24</v>
      </c>
      <c r="K16" s="53" t="s">
        <v>21</v>
      </c>
      <c r="L16" s="53"/>
    </row>
    <row r="17" spans="2:12">
      <c r="B17" s="47"/>
      <c r="C17" s="47"/>
      <c r="D17" s="37" t="s">
        <v>95</v>
      </c>
      <c r="E17" s="32">
        <v>1.42</v>
      </c>
      <c r="F17" s="33"/>
      <c r="G17" s="33">
        <v>1.42</v>
      </c>
      <c r="H17" s="35">
        <v>2006</v>
      </c>
      <c r="I17" s="36" t="s">
        <v>94</v>
      </c>
      <c r="J17" s="37" t="s">
        <v>24</v>
      </c>
      <c r="K17" s="53" t="s">
        <v>21</v>
      </c>
      <c r="L17" s="53"/>
    </row>
    <row r="18" spans="2:12">
      <c r="B18" s="47"/>
      <c r="C18" s="47"/>
      <c r="D18" s="37" t="s">
        <v>96</v>
      </c>
      <c r="E18" s="32">
        <v>2.9</v>
      </c>
      <c r="F18" s="33"/>
      <c r="G18" s="33">
        <v>3.16</v>
      </c>
      <c r="H18" s="35">
        <v>2005</v>
      </c>
      <c r="I18" s="36" t="s">
        <v>27</v>
      </c>
      <c r="J18" s="37" t="s">
        <v>24</v>
      </c>
      <c r="K18" s="53" t="s">
        <v>21</v>
      </c>
      <c r="L18" s="53"/>
    </row>
    <row r="19" spans="2:12">
      <c r="B19" s="47"/>
      <c r="C19" s="47"/>
      <c r="D19" s="37" t="s">
        <v>102</v>
      </c>
      <c r="E19" s="32">
        <v>0.75</v>
      </c>
      <c r="F19" s="33">
        <v>0.67</v>
      </c>
      <c r="G19" s="33">
        <v>0.82</v>
      </c>
      <c r="H19" s="35">
        <v>2015</v>
      </c>
      <c r="I19" s="36" t="s">
        <v>79</v>
      </c>
      <c r="J19" s="37" t="s">
        <v>24</v>
      </c>
      <c r="K19" s="53" t="s">
        <v>21</v>
      </c>
      <c r="L19" s="53" t="s">
        <v>358</v>
      </c>
    </row>
    <row r="20" spans="2:12">
      <c r="B20" s="47"/>
      <c r="C20" s="47" t="s">
        <v>104</v>
      </c>
      <c r="D20" s="37" t="s">
        <v>107</v>
      </c>
      <c r="E20" s="32">
        <v>0.88074718600000002</v>
      </c>
      <c r="F20" s="33">
        <v>0.66503116500000004</v>
      </c>
      <c r="G20" s="33">
        <v>1.0917283280000001</v>
      </c>
      <c r="H20" s="35">
        <v>2023</v>
      </c>
      <c r="I20" s="36" t="s">
        <v>50</v>
      </c>
      <c r="J20" s="37" t="s">
        <v>36</v>
      </c>
      <c r="K20" s="53" t="s">
        <v>21</v>
      </c>
      <c r="L20" s="53" t="s">
        <v>716</v>
      </c>
    </row>
    <row r="21" spans="2:12">
      <c r="B21" s="47"/>
      <c r="C21" s="47"/>
      <c r="D21" s="37" t="s">
        <v>107</v>
      </c>
      <c r="E21" s="32">
        <v>0.2</v>
      </c>
      <c r="F21" s="33">
        <v>0.2</v>
      </c>
      <c r="G21" s="33"/>
      <c r="H21" s="35">
        <v>2017</v>
      </c>
      <c r="I21" s="36" t="s">
        <v>50</v>
      </c>
      <c r="J21" s="37" t="s">
        <v>24</v>
      </c>
      <c r="K21" s="53" t="s">
        <v>21</v>
      </c>
      <c r="L21" s="53"/>
    </row>
    <row r="22" spans="2:12">
      <c r="B22" s="47"/>
      <c r="C22" s="47"/>
      <c r="D22" s="37" t="s">
        <v>107</v>
      </c>
      <c r="E22" s="32">
        <v>0.35</v>
      </c>
      <c r="F22" s="33"/>
      <c r="G22" s="33"/>
      <c r="H22" s="35">
        <v>2015</v>
      </c>
      <c r="I22" s="36" t="s">
        <v>27</v>
      </c>
      <c r="J22" s="37" t="s">
        <v>24</v>
      </c>
      <c r="K22" s="53" t="s">
        <v>21</v>
      </c>
      <c r="L22" s="53"/>
    </row>
    <row r="23" spans="2:12">
      <c r="B23" s="47"/>
      <c r="C23" s="47"/>
      <c r="D23" s="37" t="s">
        <v>107</v>
      </c>
      <c r="E23" s="32">
        <v>0.2</v>
      </c>
      <c r="F23" s="33"/>
      <c r="G23" s="33">
        <v>0.2</v>
      </c>
      <c r="H23" s="35">
        <v>2009</v>
      </c>
      <c r="I23" s="36" t="s">
        <v>27</v>
      </c>
      <c r="J23" s="37" t="s">
        <v>24</v>
      </c>
      <c r="K23" s="53" t="s">
        <v>21</v>
      </c>
      <c r="L23" s="53"/>
    </row>
    <row r="24" spans="2:12">
      <c r="B24" s="47"/>
      <c r="C24" s="47"/>
      <c r="D24" s="37" t="s">
        <v>110</v>
      </c>
      <c r="E24" s="32">
        <v>0.3</v>
      </c>
      <c r="F24" s="33">
        <v>0.3</v>
      </c>
      <c r="G24" s="33">
        <v>0.3</v>
      </c>
      <c r="H24" s="35">
        <v>2016</v>
      </c>
      <c r="I24" s="36" t="s">
        <v>79</v>
      </c>
      <c r="J24" s="37" t="s">
        <v>24</v>
      </c>
      <c r="K24" s="53" t="s">
        <v>21</v>
      </c>
      <c r="L24" s="53" t="s">
        <v>717</v>
      </c>
    </row>
    <row r="25" spans="2:12">
      <c r="B25" s="47"/>
      <c r="C25" s="47"/>
      <c r="D25" s="37" t="s">
        <v>110</v>
      </c>
      <c r="E25" s="32">
        <v>0.3</v>
      </c>
      <c r="F25" s="33">
        <v>0.3</v>
      </c>
      <c r="G25" s="33">
        <v>0.2</v>
      </c>
      <c r="H25" s="35">
        <v>2011</v>
      </c>
      <c r="I25" s="36" t="s">
        <v>79</v>
      </c>
      <c r="J25" s="37" t="s">
        <v>24</v>
      </c>
      <c r="K25" s="53" t="s">
        <v>21</v>
      </c>
      <c r="L25" s="53"/>
    </row>
    <row r="26" spans="2:12">
      <c r="B26" s="47"/>
      <c r="C26" s="47"/>
      <c r="D26" s="37" t="s">
        <v>110</v>
      </c>
      <c r="E26" s="32">
        <v>6.8</v>
      </c>
      <c r="F26" s="33"/>
      <c r="G26" s="33"/>
      <c r="H26" s="35">
        <v>2008</v>
      </c>
      <c r="I26" s="36" t="s">
        <v>79</v>
      </c>
      <c r="J26" s="37" t="s">
        <v>24</v>
      </c>
      <c r="K26" s="53" t="s">
        <v>21</v>
      </c>
      <c r="L26" s="53"/>
    </row>
    <row r="27" spans="2:12">
      <c r="B27" s="47"/>
      <c r="C27" s="47"/>
      <c r="D27" s="37" t="s">
        <v>113</v>
      </c>
      <c r="E27" s="32">
        <v>2.0700190570000001</v>
      </c>
      <c r="F27" s="33">
        <v>1.9666151890000001</v>
      </c>
      <c r="G27" s="33">
        <v>2.0539487439999999</v>
      </c>
      <c r="H27" s="35">
        <v>2023</v>
      </c>
      <c r="I27" s="36" t="s">
        <v>27</v>
      </c>
      <c r="J27" s="37" t="s">
        <v>97</v>
      </c>
      <c r="K27" s="53" t="s">
        <v>21</v>
      </c>
      <c r="L27" s="53" t="s">
        <v>114</v>
      </c>
    </row>
    <row r="28" spans="2:12">
      <c r="B28" s="47"/>
      <c r="C28" s="47"/>
      <c r="D28" s="37" t="s">
        <v>113</v>
      </c>
      <c r="E28" s="32">
        <v>2.0700190570000001</v>
      </c>
      <c r="F28" s="33">
        <v>1.84370174</v>
      </c>
      <c r="G28" s="33">
        <v>2.2955897730000001</v>
      </c>
      <c r="H28" s="35">
        <v>2022</v>
      </c>
      <c r="I28" s="36" t="s">
        <v>27</v>
      </c>
      <c r="J28" s="37" t="s">
        <v>97</v>
      </c>
      <c r="K28" s="53" t="s">
        <v>21</v>
      </c>
      <c r="L28" s="53" t="s">
        <v>115</v>
      </c>
    </row>
    <row r="29" spans="2:12">
      <c r="B29" s="47"/>
      <c r="C29" s="47"/>
      <c r="D29" s="37" t="s">
        <v>113</v>
      </c>
      <c r="E29" s="32">
        <v>2.09</v>
      </c>
      <c r="F29" s="33">
        <v>2.1081952519999998</v>
      </c>
      <c r="G29" s="33">
        <v>2.2076920640000002</v>
      </c>
      <c r="H29" s="35">
        <v>2021</v>
      </c>
      <c r="I29" s="36" t="s">
        <v>27</v>
      </c>
      <c r="J29" s="37" t="s">
        <v>97</v>
      </c>
      <c r="K29" s="53" t="s">
        <v>21</v>
      </c>
      <c r="L29" s="53" t="s">
        <v>116</v>
      </c>
    </row>
    <row r="30" spans="2:12">
      <c r="B30" s="47"/>
      <c r="C30" s="47"/>
      <c r="D30" s="37" t="s">
        <v>113</v>
      </c>
      <c r="E30" s="32">
        <v>2.7</v>
      </c>
      <c r="F30" s="33">
        <v>2.5</v>
      </c>
      <c r="G30" s="33">
        <v>2.9</v>
      </c>
      <c r="H30" s="35">
        <v>2020</v>
      </c>
      <c r="I30" s="36" t="s">
        <v>27</v>
      </c>
      <c r="J30" s="37" t="s">
        <v>24</v>
      </c>
      <c r="K30" s="53" t="s">
        <v>21</v>
      </c>
      <c r="L30" s="53"/>
    </row>
    <row r="31" spans="2:12">
      <c r="B31" s="47"/>
      <c r="C31" s="47"/>
      <c r="D31" s="37" t="s">
        <v>113</v>
      </c>
      <c r="E31" s="32">
        <v>2.9</v>
      </c>
      <c r="F31" s="33">
        <v>3</v>
      </c>
      <c r="G31" s="33">
        <v>2.7</v>
      </c>
      <c r="H31" s="35">
        <v>2018</v>
      </c>
      <c r="I31" s="36" t="s">
        <v>27</v>
      </c>
      <c r="J31" s="37" t="s">
        <v>24</v>
      </c>
      <c r="K31" s="53" t="s">
        <v>21</v>
      </c>
      <c r="L31" s="53"/>
    </row>
    <row r="32" spans="2:12">
      <c r="B32" s="47"/>
      <c r="C32" s="47"/>
      <c r="D32" s="37" t="s">
        <v>113</v>
      </c>
      <c r="E32" s="32">
        <v>3</v>
      </c>
      <c r="F32" s="33">
        <v>3.1</v>
      </c>
      <c r="G32" s="33">
        <v>2.9</v>
      </c>
      <c r="H32" s="35">
        <v>2017</v>
      </c>
      <c r="I32" s="36" t="s">
        <v>27</v>
      </c>
      <c r="J32" s="37" t="s">
        <v>24</v>
      </c>
      <c r="K32" s="53" t="s">
        <v>21</v>
      </c>
      <c r="L32" s="53"/>
    </row>
    <row r="33" spans="2:12">
      <c r="B33" s="47"/>
      <c r="C33" s="47"/>
      <c r="D33" s="37" t="s">
        <v>113</v>
      </c>
      <c r="E33" s="32">
        <v>3.1</v>
      </c>
      <c r="F33" s="33">
        <v>3</v>
      </c>
      <c r="G33" s="33">
        <v>3.2</v>
      </c>
      <c r="H33" s="35">
        <v>2016</v>
      </c>
      <c r="I33" s="36" t="s">
        <v>27</v>
      </c>
      <c r="J33" s="37" t="s">
        <v>24</v>
      </c>
      <c r="K33" s="53" t="s">
        <v>21</v>
      </c>
      <c r="L33" s="53"/>
    </row>
    <row r="34" spans="2:12">
      <c r="B34" s="47"/>
      <c r="C34" s="47"/>
      <c r="D34" s="37" t="s">
        <v>113</v>
      </c>
      <c r="E34" s="32">
        <v>3.1</v>
      </c>
      <c r="F34" s="33">
        <v>3.2</v>
      </c>
      <c r="G34" s="33">
        <v>3.1</v>
      </c>
      <c r="H34" s="35">
        <v>2015</v>
      </c>
      <c r="I34" s="36" t="s">
        <v>27</v>
      </c>
      <c r="J34" s="37" t="s">
        <v>24</v>
      </c>
      <c r="K34" s="53" t="s">
        <v>21</v>
      </c>
      <c r="L34" s="53" t="s">
        <v>718</v>
      </c>
    </row>
    <row r="35" spans="2:12">
      <c r="B35" s="47"/>
      <c r="C35" s="47"/>
      <c r="D35" s="37" t="s">
        <v>113</v>
      </c>
      <c r="E35" s="32">
        <v>2.6</v>
      </c>
      <c r="F35" s="33">
        <v>2.7</v>
      </c>
      <c r="G35" s="33">
        <v>2.5</v>
      </c>
      <c r="H35" s="35">
        <v>2014</v>
      </c>
      <c r="I35" s="36" t="s">
        <v>27</v>
      </c>
      <c r="J35" s="37" t="s">
        <v>24</v>
      </c>
      <c r="K35" s="53" t="s">
        <v>21</v>
      </c>
      <c r="L35" s="53"/>
    </row>
    <row r="36" spans="2:12">
      <c r="B36" s="47"/>
      <c r="C36" s="47" t="s">
        <v>117</v>
      </c>
      <c r="D36" s="37" t="s">
        <v>118</v>
      </c>
      <c r="E36" s="32">
        <v>0.6</v>
      </c>
      <c r="F36" s="33">
        <v>0.5</v>
      </c>
      <c r="G36" s="33">
        <v>0.8</v>
      </c>
      <c r="H36" s="35">
        <v>2022</v>
      </c>
      <c r="I36" s="36" t="s">
        <v>119</v>
      </c>
      <c r="J36" s="37" t="s">
        <v>24</v>
      </c>
      <c r="K36" s="53" t="s">
        <v>21</v>
      </c>
      <c r="L36" s="53"/>
    </row>
    <row r="37" spans="2:12">
      <c r="B37" s="47"/>
      <c r="C37" s="47"/>
      <c r="D37" s="37" t="s">
        <v>118</v>
      </c>
      <c r="E37" s="32">
        <v>0.75</v>
      </c>
      <c r="F37" s="33">
        <v>0.6</v>
      </c>
      <c r="G37" s="33">
        <v>0.89</v>
      </c>
      <c r="H37" s="35">
        <v>2017</v>
      </c>
      <c r="I37" s="36" t="s">
        <v>27</v>
      </c>
      <c r="J37" s="37" t="s">
        <v>24</v>
      </c>
      <c r="K37" s="53" t="s">
        <v>21</v>
      </c>
      <c r="L37" s="53"/>
    </row>
    <row r="38" spans="2:12">
      <c r="B38" s="47"/>
      <c r="C38" s="47"/>
      <c r="D38" s="37" t="s">
        <v>118</v>
      </c>
      <c r="E38" s="32">
        <v>1.3</v>
      </c>
      <c r="F38" s="33">
        <v>1.2</v>
      </c>
      <c r="G38" s="33">
        <v>1.4</v>
      </c>
      <c r="H38" s="35">
        <v>2011</v>
      </c>
      <c r="I38" s="36" t="s">
        <v>106</v>
      </c>
      <c r="J38" s="37" t="s">
        <v>24</v>
      </c>
      <c r="K38" s="53" t="s">
        <v>21</v>
      </c>
      <c r="L38" s="53"/>
    </row>
    <row r="39" spans="2:12">
      <c r="B39" s="47"/>
      <c r="C39" s="47"/>
      <c r="D39" s="37" t="s">
        <v>118</v>
      </c>
      <c r="E39" s="32">
        <v>1.3</v>
      </c>
      <c r="F39" s="33">
        <v>1</v>
      </c>
      <c r="G39" s="33">
        <v>1.6</v>
      </c>
      <c r="H39" s="35">
        <v>2010</v>
      </c>
      <c r="I39" s="36" t="s">
        <v>79</v>
      </c>
      <c r="J39" s="37" t="s">
        <v>24</v>
      </c>
      <c r="K39" s="53" t="s">
        <v>21</v>
      </c>
      <c r="L39" s="53"/>
    </row>
    <row r="40" spans="2:12">
      <c r="B40" s="47"/>
      <c r="C40" s="47"/>
      <c r="D40" s="37" t="s">
        <v>120</v>
      </c>
      <c r="E40" s="32">
        <v>3.4</v>
      </c>
      <c r="F40" s="33">
        <v>3.1</v>
      </c>
      <c r="G40" s="33">
        <v>3.7</v>
      </c>
      <c r="H40" s="35">
        <v>2023</v>
      </c>
      <c r="I40" s="36" t="s">
        <v>79</v>
      </c>
      <c r="J40" s="37" t="s">
        <v>24</v>
      </c>
      <c r="K40" s="53" t="s">
        <v>51</v>
      </c>
      <c r="L40" s="53"/>
    </row>
    <row r="41" spans="2:12">
      <c r="B41" s="47"/>
      <c r="C41" s="47"/>
      <c r="D41" s="37" t="s">
        <v>120</v>
      </c>
      <c r="E41" s="32">
        <v>2.02</v>
      </c>
      <c r="F41" s="33">
        <v>1.92</v>
      </c>
      <c r="G41" s="33">
        <v>2.12</v>
      </c>
      <c r="H41" s="35">
        <v>2018</v>
      </c>
      <c r="I41" s="36" t="s">
        <v>27</v>
      </c>
      <c r="J41" s="37" t="s">
        <v>24</v>
      </c>
      <c r="K41" s="53" t="s">
        <v>21</v>
      </c>
      <c r="L41" s="53"/>
    </row>
    <row r="42" spans="2:12">
      <c r="B42" s="47"/>
      <c r="C42" s="47"/>
      <c r="D42" s="37" t="s">
        <v>120</v>
      </c>
      <c r="E42" s="32">
        <v>1.87</v>
      </c>
      <c r="F42" s="33">
        <v>2.0699999999999998</v>
      </c>
      <c r="G42" s="33">
        <v>1.71</v>
      </c>
      <c r="H42" s="35">
        <v>2014</v>
      </c>
      <c r="I42" s="36" t="s">
        <v>79</v>
      </c>
      <c r="J42" s="37" t="s">
        <v>24</v>
      </c>
      <c r="K42" s="53" t="s">
        <v>21</v>
      </c>
      <c r="L42" s="53"/>
    </row>
    <row r="43" spans="2:12">
      <c r="B43" s="47"/>
      <c r="C43" s="47"/>
      <c r="D43" s="37" t="s">
        <v>120</v>
      </c>
      <c r="E43" s="32">
        <v>1.87</v>
      </c>
      <c r="F43" s="33">
        <v>2.0699999999999998</v>
      </c>
      <c r="G43" s="33">
        <v>1.71</v>
      </c>
      <c r="H43" s="35">
        <v>2013</v>
      </c>
      <c r="I43" s="36" t="s">
        <v>79</v>
      </c>
      <c r="J43" s="37" t="s">
        <v>24</v>
      </c>
      <c r="K43" s="53" t="s">
        <v>21</v>
      </c>
      <c r="L43" s="53"/>
    </row>
    <row r="44" spans="2:12">
      <c r="B44" s="47"/>
      <c r="C44" s="47"/>
      <c r="D44" s="37" t="s">
        <v>120</v>
      </c>
      <c r="E44" s="32">
        <v>2.0499999999999998</v>
      </c>
      <c r="F44" s="33">
        <v>1.97</v>
      </c>
      <c r="G44" s="33">
        <v>2.11</v>
      </c>
      <c r="H44" s="35">
        <v>2018</v>
      </c>
      <c r="I44" s="36" t="s">
        <v>79</v>
      </c>
      <c r="J44" s="37" t="s">
        <v>24</v>
      </c>
      <c r="K44" s="53" t="s">
        <v>21</v>
      </c>
      <c r="L44" s="53" t="s">
        <v>719</v>
      </c>
    </row>
    <row r="45" spans="2:12">
      <c r="B45" s="47"/>
      <c r="C45" s="47"/>
      <c r="D45" s="37" t="s">
        <v>120</v>
      </c>
      <c r="E45" s="32">
        <v>2.6</v>
      </c>
      <c r="F45" s="33">
        <v>2</v>
      </c>
      <c r="G45" s="33">
        <v>3.1</v>
      </c>
      <c r="H45" s="35">
        <v>2007</v>
      </c>
      <c r="I45" s="36" t="s">
        <v>79</v>
      </c>
      <c r="J45" s="37" t="s">
        <v>24</v>
      </c>
      <c r="K45" s="53" t="s">
        <v>21</v>
      </c>
      <c r="L45" s="53"/>
    </row>
    <row r="46" spans="2:12">
      <c r="B46" s="47"/>
      <c r="C46" s="47"/>
      <c r="D46" s="37" t="s">
        <v>124</v>
      </c>
      <c r="E46" s="32">
        <v>5.68</v>
      </c>
      <c r="F46" s="33">
        <v>3.18</v>
      </c>
      <c r="G46" s="33">
        <v>8.0299999999999994</v>
      </c>
      <c r="H46" s="35">
        <v>2012</v>
      </c>
      <c r="I46" s="36" t="s">
        <v>27</v>
      </c>
      <c r="J46" s="37" t="s">
        <v>36</v>
      </c>
      <c r="K46" s="53" t="s">
        <v>21</v>
      </c>
      <c r="L46" s="53"/>
    </row>
    <row r="47" spans="2:12">
      <c r="B47" s="47"/>
      <c r="C47" s="47"/>
      <c r="D47" s="37" t="s">
        <v>124</v>
      </c>
      <c r="E47" s="32">
        <v>2.1</v>
      </c>
      <c r="F47" s="33"/>
      <c r="G47" s="33"/>
      <c r="H47" s="35">
        <v>2005</v>
      </c>
      <c r="I47" s="36" t="s">
        <v>27</v>
      </c>
      <c r="J47" s="37" t="s">
        <v>24</v>
      </c>
      <c r="K47" s="53" t="s">
        <v>21</v>
      </c>
      <c r="L47" s="53" t="s">
        <v>717</v>
      </c>
    </row>
    <row r="48" spans="2:12">
      <c r="B48" s="47"/>
      <c r="C48" s="47"/>
      <c r="D48" s="37" t="s">
        <v>126</v>
      </c>
      <c r="E48" s="32">
        <v>1.89</v>
      </c>
      <c r="F48" s="33">
        <v>1.78</v>
      </c>
      <c r="G48" s="33">
        <v>1.99</v>
      </c>
      <c r="H48" s="35">
        <v>2023</v>
      </c>
      <c r="I48" s="36" t="s">
        <v>27</v>
      </c>
      <c r="J48" s="37" t="s">
        <v>24</v>
      </c>
      <c r="K48" s="53" t="s">
        <v>21</v>
      </c>
      <c r="L48" s="53" t="s">
        <v>127</v>
      </c>
    </row>
    <row r="49" spans="2:12">
      <c r="B49" s="47"/>
      <c r="C49" s="47"/>
      <c r="D49" s="37" t="s">
        <v>126</v>
      </c>
      <c r="E49" s="32">
        <v>2.06</v>
      </c>
      <c r="F49" s="33">
        <v>2.36</v>
      </c>
      <c r="G49" s="33">
        <v>1.77</v>
      </c>
      <c r="H49" s="35">
        <v>2020</v>
      </c>
      <c r="I49" s="36" t="s">
        <v>27</v>
      </c>
      <c r="J49" s="37" t="s">
        <v>24</v>
      </c>
      <c r="K49" s="53" t="s">
        <v>21</v>
      </c>
      <c r="L49" s="53"/>
    </row>
    <row r="50" spans="2:12">
      <c r="B50" s="47"/>
      <c r="C50" s="47"/>
      <c r="D50" s="37" t="s">
        <v>126</v>
      </c>
      <c r="E50" s="32">
        <v>1.44</v>
      </c>
      <c r="F50" s="33">
        <v>1.18</v>
      </c>
      <c r="G50" s="33">
        <v>1.69</v>
      </c>
      <c r="H50" s="35">
        <v>2018</v>
      </c>
      <c r="I50" s="36" t="s">
        <v>27</v>
      </c>
      <c r="J50" s="37" t="s">
        <v>24</v>
      </c>
      <c r="K50" s="53" t="s">
        <v>21</v>
      </c>
      <c r="L50" s="53"/>
    </row>
    <row r="51" spans="2:12">
      <c r="B51" s="47"/>
      <c r="C51" s="47"/>
      <c r="D51" s="37" t="s">
        <v>126</v>
      </c>
      <c r="E51" s="32">
        <v>1.77</v>
      </c>
      <c r="F51" s="33">
        <v>1.54</v>
      </c>
      <c r="G51" s="33">
        <v>2.0099999999999998</v>
      </c>
      <c r="H51" s="35">
        <v>2016</v>
      </c>
      <c r="I51" s="36" t="s">
        <v>27</v>
      </c>
      <c r="J51" s="37" t="s">
        <v>24</v>
      </c>
      <c r="K51" s="53" t="s">
        <v>21</v>
      </c>
      <c r="L51" s="53" t="s">
        <v>717</v>
      </c>
    </row>
    <row r="52" spans="2:12">
      <c r="B52" s="47"/>
      <c r="C52" s="47"/>
      <c r="D52" s="37" t="s">
        <v>126</v>
      </c>
      <c r="E52" s="32">
        <v>1.2</v>
      </c>
      <c r="F52" s="33">
        <v>0.97</v>
      </c>
      <c r="G52" s="33">
        <v>1.43</v>
      </c>
      <c r="H52" s="35">
        <v>2014</v>
      </c>
      <c r="I52" s="36" t="s">
        <v>27</v>
      </c>
      <c r="J52" s="37" t="s">
        <v>24</v>
      </c>
      <c r="K52" s="53" t="s">
        <v>21</v>
      </c>
      <c r="L52" s="53"/>
    </row>
    <row r="53" spans="2:12">
      <c r="B53" s="47"/>
      <c r="C53" s="47"/>
      <c r="D53" s="37" t="s">
        <v>126</v>
      </c>
      <c r="E53" s="32">
        <v>1.53</v>
      </c>
      <c r="F53" s="33">
        <v>1.33</v>
      </c>
      <c r="G53" s="33">
        <v>1.71</v>
      </c>
      <c r="H53" s="35">
        <v>2012</v>
      </c>
      <c r="I53" s="36" t="s">
        <v>27</v>
      </c>
      <c r="J53" s="37" t="s">
        <v>24</v>
      </c>
      <c r="K53" s="53" t="s">
        <v>21</v>
      </c>
      <c r="L53" s="53"/>
    </row>
    <row r="54" spans="2:12">
      <c r="B54" s="47"/>
      <c r="C54" s="47"/>
      <c r="D54" s="37" t="s">
        <v>129</v>
      </c>
      <c r="E54" s="32">
        <v>0.61</v>
      </c>
      <c r="F54" s="33">
        <v>0.64</v>
      </c>
      <c r="G54" s="33">
        <v>0.57999999999999996</v>
      </c>
      <c r="H54" s="35">
        <v>2019</v>
      </c>
      <c r="I54" s="36" t="s">
        <v>79</v>
      </c>
      <c r="J54" s="37" t="s">
        <v>36</v>
      </c>
      <c r="K54" s="53" t="s">
        <v>21</v>
      </c>
      <c r="L54" s="53"/>
    </row>
    <row r="55" spans="2:12">
      <c r="B55" s="47"/>
      <c r="C55" s="47"/>
      <c r="D55" s="37" t="s">
        <v>129</v>
      </c>
      <c r="E55" s="32">
        <v>0.53</v>
      </c>
      <c r="F55" s="33">
        <v>0.55000000000000004</v>
      </c>
      <c r="G55" s="33">
        <v>0.51</v>
      </c>
      <c r="H55" s="35">
        <v>2013</v>
      </c>
      <c r="I55" s="36" t="s">
        <v>79</v>
      </c>
      <c r="J55" s="37" t="s">
        <v>36</v>
      </c>
      <c r="K55" s="53" t="s">
        <v>21</v>
      </c>
      <c r="L55" s="53"/>
    </row>
    <row r="56" spans="2:12">
      <c r="B56" s="47"/>
      <c r="C56" s="47"/>
      <c r="D56" s="37" t="s">
        <v>129</v>
      </c>
      <c r="E56" s="32">
        <v>0.52</v>
      </c>
      <c r="F56" s="33">
        <v>0.52</v>
      </c>
      <c r="G56" s="33">
        <v>0.52</v>
      </c>
      <c r="H56" s="35">
        <v>2008</v>
      </c>
      <c r="I56" s="36" t="s">
        <v>79</v>
      </c>
      <c r="J56" s="37" t="s">
        <v>111</v>
      </c>
      <c r="K56" s="53" t="s">
        <v>21</v>
      </c>
      <c r="L56" s="53"/>
    </row>
    <row r="57" spans="2:12">
      <c r="B57" s="47"/>
      <c r="C57" s="47"/>
      <c r="D57" s="37" t="s">
        <v>129</v>
      </c>
      <c r="E57" s="32">
        <v>1.2</v>
      </c>
      <c r="F57" s="33">
        <v>1.7</v>
      </c>
      <c r="G57" s="33">
        <v>0.9</v>
      </c>
      <c r="H57" s="35">
        <v>2003</v>
      </c>
      <c r="I57" s="36" t="s">
        <v>202</v>
      </c>
      <c r="J57" s="37" t="s">
        <v>720</v>
      </c>
      <c r="K57" s="53" t="s">
        <v>21</v>
      </c>
      <c r="L57" s="53"/>
    </row>
    <row r="58" spans="2:12">
      <c r="B58" s="47"/>
      <c r="C58" s="47"/>
      <c r="D58" s="37" t="s">
        <v>131</v>
      </c>
      <c r="E58" s="32">
        <v>1.5</v>
      </c>
      <c r="F58" s="33"/>
      <c r="G58" s="33"/>
      <c r="H58" s="35">
        <v>2007</v>
      </c>
      <c r="I58" s="36" t="s">
        <v>79</v>
      </c>
      <c r="J58" s="37" t="s">
        <v>24</v>
      </c>
      <c r="K58" s="53" t="s">
        <v>21</v>
      </c>
      <c r="L58" s="53"/>
    </row>
    <row r="59" spans="2:12">
      <c r="B59" s="47"/>
      <c r="C59" s="47"/>
      <c r="D59" s="37" t="s">
        <v>134</v>
      </c>
      <c r="E59" s="32">
        <v>1.29</v>
      </c>
      <c r="F59" s="33">
        <v>1.08</v>
      </c>
      <c r="G59" s="33">
        <v>1.46</v>
      </c>
      <c r="H59" s="35">
        <v>2010</v>
      </c>
      <c r="I59" s="36" t="s">
        <v>79</v>
      </c>
      <c r="J59" s="37" t="s">
        <v>24</v>
      </c>
      <c r="K59" s="53" t="s">
        <v>21</v>
      </c>
      <c r="L59" s="53"/>
    </row>
    <row r="60" spans="2:12">
      <c r="B60" s="47"/>
      <c r="C60" s="47"/>
      <c r="D60" s="37" t="s">
        <v>134</v>
      </c>
      <c r="E60" s="32">
        <v>2.98</v>
      </c>
      <c r="F60" s="33">
        <v>2.44</v>
      </c>
      <c r="G60" s="33">
        <v>3.4</v>
      </c>
      <c r="H60" s="35">
        <v>2006</v>
      </c>
      <c r="I60" s="36" t="s">
        <v>79</v>
      </c>
      <c r="J60" s="37" t="s">
        <v>24</v>
      </c>
      <c r="K60" s="53" t="s">
        <v>21</v>
      </c>
      <c r="L60" s="53"/>
    </row>
    <row r="61" spans="2:12">
      <c r="B61" s="47"/>
      <c r="C61" s="47"/>
      <c r="D61" s="37" t="s">
        <v>135</v>
      </c>
      <c r="E61" s="32">
        <v>1.2</v>
      </c>
      <c r="F61" s="33">
        <v>1.2</v>
      </c>
      <c r="G61" s="33">
        <v>1.1000000000000001</v>
      </c>
      <c r="H61" s="35">
        <v>2013</v>
      </c>
      <c r="I61" s="36" t="s">
        <v>79</v>
      </c>
      <c r="J61" s="37" t="s">
        <v>24</v>
      </c>
      <c r="K61" s="53" t="s">
        <v>21</v>
      </c>
      <c r="L61" s="53" t="s">
        <v>717</v>
      </c>
    </row>
    <row r="62" spans="2:12">
      <c r="B62" s="47"/>
      <c r="C62" s="47"/>
      <c r="D62" s="37" t="s">
        <v>135</v>
      </c>
      <c r="E62" s="32">
        <v>1.35</v>
      </c>
      <c r="F62" s="33"/>
      <c r="G62" s="33"/>
      <c r="H62" s="35">
        <v>2013</v>
      </c>
      <c r="I62" s="36" t="s">
        <v>79</v>
      </c>
      <c r="J62" s="37" t="s">
        <v>373</v>
      </c>
      <c r="K62" s="53" t="s">
        <v>21</v>
      </c>
      <c r="L62" s="53" t="s">
        <v>721</v>
      </c>
    </row>
    <row r="63" spans="2:12">
      <c r="B63" s="47"/>
      <c r="C63" s="47"/>
      <c r="D63" s="37" t="s">
        <v>137</v>
      </c>
      <c r="E63" s="32">
        <v>2.7</v>
      </c>
      <c r="F63" s="33">
        <v>2.2999999999999998</v>
      </c>
      <c r="G63" s="33">
        <v>3.1</v>
      </c>
      <c r="H63" s="35">
        <v>2018</v>
      </c>
      <c r="I63" s="36" t="s">
        <v>19</v>
      </c>
      <c r="J63" s="37" t="s">
        <v>24</v>
      </c>
      <c r="K63" s="53" t="s">
        <v>21</v>
      </c>
      <c r="L63" s="53" t="s">
        <v>717</v>
      </c>
    </row>
    <row r="64" spans="2:12">
      <c r="B64" s="47"/>
      <c r="C64" s="47"/>
      <c r="D64" s="37" t="s">
        <v>137</v>
      </c>
      <c r="E64" s="32">
        <v>2.2000000000000002</v>
      </c>
      <c r="F64" s="33">
        <v>2</v>
      </c>
      <c r="G64" s="33">
        <v>2.5</v>
      </c>
      <c r="H64" s="35">
        <v>2014</v>
      </c>
      <c r="I64" s="36" t="s">
        <v>19</v>
      </c>
      <c r="J64" s="37" t="s">
        <v>24</v>
      </c>
      <c r="K64" s="53" t="s">
        <v>21</v>
      </c>
      <c r="L64" s="53" t="s">
        <v>717</v>
      </c>
    </row>
    <row r="65" spans="2:12">
      <c r="B65" s="47"/>
      <c r="C65" s="47"/>
      <c r="D65" s="37" t="s">
        <v>137</v>
      </c>
      <c r="E65" s="32">
        <v>1.3</v>
      </c>
      <c r="F65" s="33">
        <v>1.2</v>
      </c>
      <c r="G65" s="33">
        <v>1.03</v>
      </c>
      <c r="H65" s="35">
        <v>2011</v>
      </c>
      <c r="I65" s="36" t="s">
        <v>19</v>
      </c>
      <c r="J65" s="37" t="s">
        <v>24</v>
      </c>
      <c r="K65" s="53" t="s">
        <v>21</v>
      </c>
      <c r="L65" s="53"/>
    </row>
    <row r="66" spans="2:12">
      <c r="B66" s="47"/>
      <c r="C66" s="47"/>
      <c r="D66" s="37" t="s">
        <v>138</v>
      </c>
      <c r="E66" s="32">
        <v>2.13</v>
      </c>
      <c r="F66" s="33">
        <v>1.76</v>
      </c>
      <c r="G66" s="33">
        <v>2.5</v>
      </c>
      <c r="H66" s="35">
        <v>2011</v>
      </c>
      <c r="I66" s="36" t="s">
        <v>79</v>
      </c>
      <c r="J66" s="37" t="s">
        <v>24</v>
      </c>
      <c r="K66" s="53" t="s">
        <v>21</v>
      </c>
      <c r="L66" s="53"/>
    </row>
    <row r="67" spans="2:12">
      <c r="B67" s="47" t="s">
        <v>139</v>
      </c>
      <c r="C67" s="47" t="s">
        <v>140</v>
      </c>
      <c r="D67" s="37" t="s">
        <v>143</v>
      </c>
      <c r="E67" s="32">
        <v>2.1</v>
      </c>
      <c r="F67" s="33">
        <v>2</v>
      </c>
      <c r="G67" s="33">
        <v>1.2</v>
      </c>
      <c r="H67" s="35">
        <v>2022</v>
      </c>
      <c r="I67" s="36" t="s">
        <v>144</v>
      </c>
      <c r="J67" s="37" t="s">
        <v>36</v>
      </c>
      <c r="K67" s="53" t="s">
        <v>21</v>
      </c>
      <c r="L67" s="53"/>
    </row>
    <row r="68" spans="2:12">
      <c r="B68" s="47"/>
      <c r="C68" s="47" t="s">
        <v>152</v>
      </c>
      <c r="D68" s="37" t="s">
        <v>170</v>
      </c>
      <c r="E68" s="32">
        <v>0.44</v>
      </c>
      <c r="F68" s="33"/>
      <c r="G68" s="33"/>
      <c r="H68" s="35" t="s">
        <v>171</v>
      </c>
      <c r="I68" s="36" t="s">
        <v>27</v>
      </c>
      <c r="J68" s="37" t="s">
        <v>172</v>
      </c>
      <c r="K68" s="53" t="s">
        <v>51</v>
      </c>
      <c r="L68" s="53" t="s">
        <v>722</v>
      </c>
    </row>
    <row r="69" spans="2:12">
      <c r="B69" s="47"/>
      <c r="C69" s="47"/>
      <c r="D69" s="37" t="s">
        <v>161</v>
      </c>
      <c r="E69" s="32">
        <v>0.30499999999999999</v>
      </c>
      <c r="F69" s="33"/>
      <c r="G69" s="33"/>
      <c r="H69" s="35">
        <v>2019</v>
      </c>
      <c r="I69" s="36" t="s">
        <v>27</v>
      </c>
      <c r="J69" s="37" t="s">
        <v>425</v>
      </c>
      <c r="K69" s="53" t="s">
        <v>21</v>
      </c>
      <c r="L69" s="53" t="s">
        <v>723</v>
      </c>
    </row>
    <row r="70" spans="2:12">
      <c r="B70" s="47"/>
      <c r="C70" s="47"/>
      <c r="D70" s="37" t="s">
        <v>161</v>
      </c>
      <c r="E70" s="32">
        <v>0.19</v>
      </c>
      <c r="F70" s="33">
        <v>0.35</v>
      </c>
      <c r="G70" s="33">
        <v>0.05</v>
      </c>
      <c r="H70" s="35">
        <v>2015</v>
      </c>
      <c r="I70" s="36" t="s">
        <v>164</v>
      </c>
      <c r="J70" s="37" t="s">
        <v>24</v>
      </c>
      <c r="K70" s="53" t="s">
        <v>21</v>
      </c>
      <c r="L70" s="53" t="s">
        <v>724</v>
      </c>
    </row>
    <row r="71" spans="2:12">
      <c r="B71" s="47"/>
      <c r="C71" s="47"/>
      <c r="D71" s="37" t="s">
        <v>161</v>
      </c>
      <c r="E71" s="32">
        <v>0.84</v>
      </c>
      <c r="F71" s="33">
        <v>0.76</v>
      </c>
      <c r="G71" s="33">
        <v>1.1499999999999999</v>
      </c>
      <c r="H71" s="35">
        <v>2012</v>
      </c>
      <c r="I71" s="36" t="s">
        <v>725</v>
      </c>
      <c r="J71" s="37" t="s">
        <v>24</v>
      </c>
      <c r="K71" s="53" t="s">
        <v>21</v>
      </c>
      <c r="L71" s="53"/>
    </row>
    <row r="72" spans="2:12">
      <c r="B72" s="47"/>
      <c r="C72" s="47"/>
      <c r="D72" s="37" t="s">
        <v>166</v>
      </c>
      <c r="E72" s="32">
        <v>6.1</v>
      </c>
      <c r="F72" s="33">
        <v>5.3</v>
      </c>
      <c r="G72" s="33">
        <v>6.9</v>
      </c>
      <c r="H72" s="35">
        <v>2023</v>
      </c>
      <c r="I72" s="36" t="s">
        <v>27</v>
      </c>
      <c r="J72" s="37" t="s">
        <v>36</v>
      </c>
      <c r="K72" s="53" t="s">
        <v>21</v>
      </c>
      <c r="L72" s="53" t="s">
        <v>726</v>
      </c>
    </row>
    <row r="73" spans="2:12">
      <c r="B73" s="47"/>
      <c r="C73" s="47"/>
      <c r="D73" s="37" t="s">
        <v>166</v>
      </c>
      <c r="E73" s="32"/>
      <c r="F73" s="33"/>
      <c r="G73" s="33"/>
      <c r="H73" s="35">
        <v>2021</v>
      </c>
      <c r="I73" s="36" t="s">
        <v>27</v>
      </c>
      <c r="J73" s="37" t="s">
        <v>36</v>
      </c>
      <c r="K73" s="53" t="s">
        <v>21</v>
      </c>
      <c r="L73" s="53" t="s">
        <v>726</v>
      </c>
    </row>
    <row r="74" spans="2:12">
      <c r="B74" s="47"/>
      <c r="C74" s="47"/>
      <c r="D74" s="37" t="s">
        <v>166</v>
      </c>
      <c r="E74" s="32"/>
      <c r="F74" s="33"/>
      <c r="G74" s="33"/>
      <c r="H74" s="35">
        <v>2019</v>
      </c>
      <c r="I74" s="36" t="s">
        <v>27</v>
      </c>
      <c r="J74" s="37" t="s">
        <v>36</v>
      </c>
      <c r="K74" s="53" t="s">
        <v>21</v>
      </c>
      <c r="L74" s="53" t="s">
        <v>726</v>
      </c>
    </row>
    <row r="75" spans="2:12">
      <c r="B75" s="47"/>
      <c r="C75" s="47"/>
      <c r="D75" s="37" t="s">
        <v>166</v>
      </c>
      <c r="E75" s="32">
        <v>5.6</v>
      </c>
      <c r="F75" s="33"/>
      <c r="G75" s="33"/>
      <c r="H75" s="35">
        <v>2017</v>
      </c>
      <c r="I75" s="36" t="s">
        <v>27</v>
      </c>
      <c r="J75" s="37" t="s">
        <v>24</v>
      </c>
      <c r="K75" s="53" t="s">
        <v>21</v>
      </c>
      <c r="L75" s="53"/>
    </row>
    <row r="76" spans="2:12">
      <c r="B76" s="47"/>
      <c r="C76" s="47"/>
      <c r="D76" s="37" t="s">
        <v>166</v>
      </c>
      <c r="E76" s="32">
        <v>5.6</v>
      </c>
      <c r="F76" s="33"/>
      <c r="G76" s="33"/>
      <c r="H76" s="35">
        <v>2015</v>
      </c>
      <c r="I76" s="36" t="s">
        <v>27</v>
      </c>
      <c r="J76" s="37" t="s">
        <v>24</v>
      </c>
      <c r="K76" s="53" t="s">
        <v>21</v>
      </c>
      <c r="L76" s="53"/>
    </row>
    <row r="77" spans="2:12">
      <c r="B77" s="47"/>
      <c r="C77" s="47"/>
      <c r="D77" s="37" t="s">
        <v>174</v>
      </c>
      <c r="E77" s="32">
        <v>0.13</v>
      </c>
      <c r="F77" s="33"/>
      <c r="G77" s="33"/>
      <c r="H77" s="35">
        <v>2002</v>
      </c>
      <c r="I77" s="36" t="s">
        <v>27</v>
      </c>
      <c r="J77" s="37" t="s">
        <v>24</v>
      </c>
      <c r="K77" s="53" t="s">
        <v>21</v>
      </c>
      <c r="L77" s="53"/>
    </row>
    <row r="78" spans="2:12">
      <c r="B78" s="47"/>
      <c r="C78" s="47" t="s">
        <v>188</v>
      </c>
      <c r="D78" s="37" t="s">
        <v>189</v>
      </c>
      <c r="E78" s="32">
        <v>1.4</v>
      </c>
      <c r="F78" s="33">
        <v>1.4</v>
      </c>
      <c r="G78" s="33">
        <v>1.4</v>
      </c>
      <c r="H78" s="35">
        <v>2015</v>
      </c>
      <c r="I78" s="36" t="s">
        <v>50</v>
      </c>
      <c r="J78" s="37" t="s">
        <v>190</v>
      </c>
      <c r="K78" s="53" t="s">
        <v>21</v>
      </c>
      <c r="L78" s="53" t="s">
        <v>717</v>
      </c>
    </row>
    <row r="79" spans="2:12">
      <c r="B79" s="47"/>
      <c r="C79" s="47"/>
      <c r="D79" s="37" t="s">
        <v>189</v>
      </c>
      <c r="E79" s="32">
        <v>0.8</v>
      </c>
      <c r="F79" s="33"/>
      <c r="G79" s="33">
        <v>0.1</v>
      </c>
      <c r="H79" s="35">
        <v>2003</v>
      </c>
      <c r="I79" s="36" t="s">
        <v>27</v>
      </c>
      <c r="J79" s="37" t="s">
        <v>191</v>
      </c>
      <c r="K79" s="53" t="s">
        <v>21</v>
      </c>
      <c r="L79" s="53"/>
    </row>
    <row r="80" spans="2:12">
      <c r="B80" s="47"/>
      <c r="C80" s="47"/>
      <c r="D80" s="37" t="s">
        <v>200</v>
      </c>
      <c r="E80" s="32">
        <v>1</v>
      </c>
      <c r="F80" s="33">
        <v>1</v>
      </c>
      <c r="G80" s="33">
        <v>0.9</v>
      </c>
      <c r="H80" s="35">
        <v>2016</v>
      </c>
      <c r="I80" s="36" t="s">
        <v>202</v>
      </c>
      <c r="J80" s="37" t="s">
        <v>24</v>
      </c>
      <c r="K80" s="53" t="s">
        <v>21</v>
      </c>
      <c r="L80" s="53" t="s">
        <v>717</v>
      </c>
    </row>
    <row r="81" spans="2:12">
      <c r="B81" s="47"/>
      <c r="C81" s="47"/>
      <c r="D81" s="37" t="s">
        <v>200</v>
      </c>
      <c r="E81" s="32">
        <v>2.79</v>
      </c>
      <c r="F81" s="33">
        <v>3.1</v>
      </c>
      <c r="G81" s="33">
        <v>2.67</v>
      </c>
      <c r="H81" s="35">
        <v>2009</v>
      </c>
      <c r="I81" s="36" t="s">
        <v>203</v>
      </c>
      <c r="J81" s="37" t="s">
        <v>24</v>
      </c>
      <c r="K81" s="53" t="s">
        <v>21</v>
      </c>
      <c r="L81" s="53"/>
    </row>
    <row r="82" spans="2:12">
      <c r="B82" s="47"/>
      <c r="C82" s="47"/>
      <c r="D82" s="37" t="s">
        <v>200</v>
      </c>
      <c r="E82" s="32">
        <v>1.9</v>
      </c>
      <c r="F82" s="33"/>
      <c r="G82" s="33"/>
      <c r="H82" s="35">
        <v>2005</v>
      </c>
      <c r="I82" s="36" t="s">
        <v>203</v>
      </c>
      <c r="J82" s="37" t="s">
        <v>24</v>
      </c>
      <c r="K82" s="53" t="s">
        <v>21</v>
      </c>
      <c r="L82" s="53"/>
    </row>
    <row r="83" spans="2:12">
      <c r="B83" s="47"/>
      <c r="C83" s="47"/>
      <c r="D83" s="37" t="s">
        <v>208</v>
      </c>
      <c r="E83" s="32">
        <v>1.4</v>
      </c>
      <c r="F83" s="33">
        <v>1.3</v>
      </c>
      <c r="G83" s="33">
        <v>1.5</v>
      </c>
      <c r="H83" s="35">
        <v>2012</v>
      </c>
      <c r="I83" s="36" t="s">
        <v>27</v>
      </c>
      <c r="J83" s="37" t="s">
        <v>69</v>
      </c>
      <c r="K83" s="53" t="s">
        <v>70</v>
      </c>
      <c r="L83" s="53"/>
    </row>
    <row r="84" spans="2:12">
      <c r="B84" s="47"/>
      <c r="C84" s="47"/>
      <c r="D84" s="37" t="s">
        <v>208</v>
      </c>
      <c r="E84" s="32">
        <v>2</v>
      </c>
      <c r="F84" s="33"/>
      <c r="G84" s="33"/>
      <c r="H84" s="35">
        <v>2001</v>
      </c>
      <c r="I84" s="36" t="s">
        <v>203</v>
      </c>
      <c r="J84" s="37" t="s">
        <v>24</v>
      </c>
      <c r="K84" s="53" t="s">
        <v>21</v>
      </c>
      <c r="L84" s="53"/>
    </row>
    <row r="85" spans="2:12">
      <c r="B85" s="47"/>
      <c r="C85" s="47" t="s">
        <v>213</v>
      </c>
      <c r="D85" s="37" t="s">
        <v>219</v>
      </c>
      <c r="E85" s="32">
        <v>1.08</v>
      </c>
      <c r="F85" s="33">
        <v>2.0699999999999998</v>
      </c>
      <c r="G85" s="33">
        <v>0.09</v>
      </c>
      <c r="H85" s="35">
        <v>2018</v>
      </c>
      <c r="I85" s="36" t="s">
        <v>27</v>
      </c>
      <c r="J85" s="37" t="s">
        <v>24</v>
      </c>
      <c r="K85" s="53" t="s">
        <v>21</v>
      </c>
      <c r="L85" s="53"/>
    </row>
    <row r="86" spans="2:12">
      <c r="B86" s="47"/>
      <c r="C86" s="47"/>
      <c r="D86" s="37" t="s">
        <v>223</v>
      </c>
      <c r="E86" s="32">
        <v>0.629</v>
      </c>
      <c r="F86" s="33"/>
      <c r="G86" s="33"/>
      <c r="H86" s="35">
        <v>2019</v>
      </c>
      <c r="I86" s="36" t="s">
        <v>224</v>
      </c>
      <c r="J86" s="37" t="s">
        <v>97</v>
      </c>
      <c r="K86" s="53" t="s">
        <v>21</v>
      </c>
      <c r="L86" s="53"/>
    </row>
    <row r="87" spans="2:12">
      <c r="B87" s="47" t="s">
        <v>231</v>
      </c>
      <c r="C87" s="47" t="s">
        <v>232</v>
      </c>
      <c r="D87" s="37" t="s">
        <v>236</v>
      </c>
      <c r="E87" s="32">
        <v>0.5</v>
      </c>
      <c r="F87" s="33">
        <v>0.49</v>
      </c>
      <c r="G87" s="33">
        <v>0.01</v>
      </c>
      <c r="H87" s="35">
        <v>2011</v>
      </c>
      <c r="I87" s="36" t="s">
        <v>727</v>
      </c>
      <c r="J87" s="37" t="s">
        <v>24</v>
      </c>
      <c r="K87" s="53" t="s">
        <v>21</v>
      </c>
      <c r="L87" s="53"/>
    </row>
    <row r="88" spans="2:12">
      <c r="B88" s="47"/>
      <c r="C88" s="47" t="s">
        <v>242</v>
      </c>
      <c r="D88" s="37" t="s">
        <v>243</v>
      </c>
      <c r="E88" s="32">
        <v>8.5</v>
      </c>
      <c r="F88" s="33">
        <v>7.7</v>
      </c>
      <c r="G88" s="33">
        <v>9.1999999999999993</v>
      </c>
      <c r="H88" s="35">
        <v>2014</v>
      </c>
      <c r="I88" s="36" t="s">
        <v>27</v>
      </c>
      <c r="J88" s="37" t="s">
        <v>24</v>
      </c>
      <c r="K88" s="53" t="s">
        <v>21</v>
      </c>
      <c r="L88" s="53"/>
    </row>
    <row r="89" spans="2:12">
      <c r="B89" s="47"/>
      <c r="C89" s="47"/>
      <c r="D89" s="37" t="s">
        <v>247</v>
      </c>
      <c r="E89" s="32">
        <v>7.7</v>
      </c>
      <c r="F89" s="33">
        <v>10.6</v>
      </c>
      <c r="G89" s="33">
        <v>5</v>
      </c>
      <c r="H89" s="35">
        <v>2016</v>
      </c>
      <c r="I89" s="36" t="s">
        <v>27</v>
      </c>
      <c r="J89" s="37" t="s">
        <v>24</v>
      </c>
      <c r="K89" s="53" t="s">
        <v>21</v>
      </c>
      <c r="L89" s="53"/>
    </row>
    <row r="90" spans="2:12">
      <c r="B90" s="47"/>
      <c r="C90" s="47"/>
      <c r="D90" s="37" t="s">
        <v>247</v>
      </c>
      <c r="E90" s="32">
        <v>4.8</v>
      </c>
      <c r="F90" s="33">
        <v>3</v>
      </c>
      <c r="G90" s="33">
        <v>6.7</v>
      </c>
      <c r="H90" s="35">
        <v>2012</v>
      </c>
      <c r="I90" s="36" t="s">
        <v>27</v>
      </c>
      <c r="J90" s="37" t="s">
        <v>24</v>
      </c>
      <c r="K90" s="53" t="s">
        <v>21</v>
      </c>
      <c r="L90" s="53"/>
    </row>
    <row r="91" spans="2:12">
      <c r="B91" s="47"/>
      <c r="C91" s="47"/>
      <c r="D91" s="37" t="s">
        <v>247</v>
      </c>
      <c r="E91" s="32">
        <v>5.2</v>
      </c>
      <c r="F91" s="33">
        <v>3.2</v>
      </c>
      <c r="G91" s="33">
        <v>7.2</v>
      </c>
      <c r="H91" s="35">
        <v>2008</v>
      </c>
      <c r="I91" s="36" t="s">
        <v>27</v>
      </c>
      <c r="J91" s="37" t="s">
        <v>24</v>
      </c>
      <c r="K91" s="53" t="s">
        <v>21</v>
      </c>
      <c r="L91" s="53"/>
    </row>
    <row r="92" spans="2:12">
      <c r="B92" s="47"/>
      <c r="C92" s="47"/>
      <c r="D92" s="37" t="s">
        <v>248</v>
      </c>
      <c r="E92" s="32">
        <v>17.3</v>
      </c>
      <c r="F92" s="33">
        <v>13.1</v>
      </c>
      <c r="G92" s="33">
        <v>21.5</v>
      </c>
      <c r="H92" s="35">
        <v>2015</v>
      </c>
      <c r="I92" s="36" t="s">
        <v>27</v>
      </c>
      <c r="J92" s="37" t="s">
        <v>24</v>
      </c>
      <c r="K92" s="53" t="s">
        <v>21</v>
      </c>
      <c r="L92" s="53"/>
    </row>
    <row r="93" spans="2:12">
      <c r="B93" s="47"/>
      <c r="C93" s="47"/>
      <c r="D93" s="37" t="s">
        <v>248</v>
      </c>
      <c r="E93" s="32">
        <v>16.2</v>
      </c>
      <c r="F93" s="33">
        <v>11.4</v>
      </c>
      <c r="G93" s="33">
        <v>20.9</v>
      </c>
      <c r="H93" s="35">
        <v>2011</v>
      </c>
      <c r="I93" s="36" t="s">
        <v>27</v>
      </c>
      <c r="J93" s="37" t="s">
        <v>24</v>
      </c>
      <c r="K93" s="53" t="s">
        <v>21</v>
      </c>
      <c r="L93" s="53"/>
    </row>
    <row r="94" spans="2:12">
      <c r="B94" s="47"/>
      <c r="C94" s="47"/>
      <c r="D94" s="37" t="s">
        <v>251</v>
      </c>
      <c r="E94" s="32">
        <v>11.6</v>
      </c>
      <c r="F94" s="33">
        <v>12.5</v>
      </c>
      <c r="G94" s="33">
        <v>10.6</v>
      </c>
      <c r="H94" s="35">
        <v>2017</v>
      </c>
      <c r="I94" s="36" t="s">
        <v>27</v>
      </c>
      <c r="J94" s="37" t="s">
        <v>24</v>
      </c>
      <c r="K94" s="53" t="s">
        <v>21</v>
      </c>
      <c r="L94" s="53"/>
    </row>
    <row r="95" spans="2:12">
      <c r="B95" s="47"/>
      <c r="C95" s="47"/>
      <c r="D95" s="37" t="s">
        <v>252</v>
      </c>
      <c r="E95" s="32">
        <v>10</v>
      </c>
      <c r="F95" s="33"/>
      <c r="G95" s="33">
        <v>70</v>
      </c>
      <c r="H95" s="35">
        <v>2008</v>
      </c>
      <c r="I95" s="36" t="s">
        <v>27</v>
      </c>
      <c r="J95" s="37" t="s">
        <v>24</v>
      </c>
      <c r="K95" s="53" t="s">
        <v>21</v>
      </c>
      <c r="L95" s="53"/>
    </row>
    <row r="96" spans="2:12">
      <c r="B96" s="47"/>
      <c r="C96" s="47"/>
      <c r="D96" s="37" t="s">
        <v>253</v>
      </c>
      <c r="E96" s="32">
        <v>0.7</v>
      </c>
      <c r="F96" s="33">
        <v>0.8</v>
      </c>
      <c r="G96" s="33">
        <v>0.6</v>
      </c>
      <c r="H96" s="35">
        <v>2019</v>
      </c>
      <c r="I96" s="36" t="s">
        <v>27</v>
      </c>
      <c r="J96" s="37" t="s">
        <v>24</v>
      </c>
      <c r="K96" s="53" t="s">
        <v>21</v>
      </c>
      <c r="L96" s="53"/>
    </row>
    <row r="97" spans="2:12">
      <c r="B97" s="47"/>
      <c r="C97" s="47"/>
      <c r="D97" s="37" t="s">
        <v>253</v>
      </c>
      <c r="E97" s="32">
        <v>1.9</v>
      </c>
      <c r="F97" s="33">
        <v>1.6</v>
      </c>
      <c r="G97" s="33">
        <v>2.2000000000000002</v>
      </c>
      <c r="H97" s="35">
        <v>2016</v>
      </c>
      <c r="I97" s="36" t="s">
        <v>27</v>
      </c>
      <c r="J97" s="37" t="s">
        <v>24</v>
      </c>
      <c r="K97" s="53" t="s">
        <v>21</v>
      </c>
      <c r="L97" s="53"/>
    </row>
    <row r="98" spans="2:12">
      <c r="B98" s="47"/>
      <c r="C98" s="47"/>
      <c r="D98" s="37" t="s">
        <v>253</v>
      </c>
      <c r="E98" s="32">
        <v>0.7</v>
      </c>
      <c r="F98" s="33">
        <v>1.1000000000000001</v>
      </c>
      <c r="G98" s="33">
        <v>0.4</v>
      </c>
      <c r="H98" s="35">
        <v>2013</v>
      </c>
      <c r="I98" s="36" t="s">
        <v>27</v>
      </c>
      <c r="J98" s="37" t="s">
        <v>24</v>
      </c>
      <c r="K98" s="53" t="s">
        <v>21</v>
      </c>
      <c r="L98" s="53"/>
    </row>
    <row r="99" spans="2:12">
      <c r="B99" s="47"/>
      <c r="C99" s="47"/>
      <c r="D99" s="37" t="s">
        <v>253</v>
      </c>
      <c r="E99" s="32">
        <v>2.1</v>
      </c>
      <c r="F99" s="33">
        <v>1.2</v>
      </c>
      <c r="G99" s="33">
        <v>3</v>
      </c>
      <c r="H99" s="35">
        <v>2010</v>
      </c>
      <c r="I99" s="36"/>
      <c r="J99" s="37" t="s">
        <v>24</v>
      </c>
      <c r="K99" s="53" t="s">
        <v>21</v>
      </c>
      <c r="L99" s="53"/>
    </row>
    <row r="100" spans="2:12">
      <c r="B100" s="47"/>
      <c r="C100" s="47"/>
      <c r="D100" s="37" t="s">
        <v>256</v>
      </c>
      <c r="E100" s="32">
        <v>5.0999999999999996</v>
      </c>
      <c r="F100" s="33">
        <v>3</v>
      </c>
      <c r="G100" s="33">
        <v>7.2</v>
      </c>
      <c r="H100" s="35">
        <v>2011</v>
      </c>
      <c r="I100" s="36" t="s">
        <v>27</v>
      </c>
      <c r="J100" s="37" t="s">
        <v>24</v>
      </c>
      <c r="K100" s="53" t="s">
        <v>21</v>
      </c>
      <c r="L100" s="53"/>
    </row>
    <row r="101" spans="2:12">
      <c r="B101" s="47"/>
      <c r="C101" s="47" t="s">
        <v>257</v>
      </c>
      <c r="D101" s="37" t="s">
        <v>258</v>
      </c>
      <c r="E101" s="32">
        <v>8.9</v>
      </c>
      <c r="F101" s="33">
        <v>8.1</v>
      </c>
      <c r="G101" s="33">
        <v>9.8000000000000007</v>
      </c>
      <c r="H101" s="35">
        <v>2015</v>
      </c>
      <c r="I101" s="36" t="s">
        <v>27</v>
      </c>
      <c r="J101" s="37" t="s">
        <v>36</v>
      </c>
      <c r="K101" s="53" t="s">
        <v>21</v>
      </c>
      <c r="L101" s="53"/>
    </row>
    <row r="102" spans="2:12">
      <c r="B102" s="47"/>
      <c r="C102" s="47"/>
      <c r="D102" s="37" t="s">
        <v>262</v>
      </c>
      <c r="E102" s="32">
        <v>3.9</v>
      </c>
      <c r="F102" s="33">
        <v>2.8</v>
      </c>
      <c r="G102" s="33">
        <v>5</v>
      </c>
      <c r="H102" s="35">
        <v>2019</v>
      </c>
      <c r="I102" s="36" t="s">
        <v>27</v>
      </c>
      <c r="J102" s="37" t="s">
        <v>24</v>
      </c>
      <c r="K102" s="53" t="s">
        <v>21</v>
      </c>
      <c r="L102" s="53"/>
    </row>
    <row r="103" spans="2:12">
      <c r="B103" s="47"/>
      <c r="C103" s="47"/>
      <c r="D103" s="37" t="s">
        <v>262</v>
      </c>
      <c r="E103" s="32">
        <v>4</v>
      </c>
      <c r="F103" s="33">
        <v>2.9</v>
      </c>
      <c r="G103" s="33">
        <v>4.9000000000000004</v>
      </c>
      <c r="H103" s="35">
        <v>2016</v>
      </c>
      <c r="I103" s="36" t="s">
        <v>27</v>
      </c>
      <c r="J103" s="37" t="s">
        <v>24</v>
      </c>
      <c r="K103" s="53" t="s">
        <v>21</v>
      </c>
      <c r="L103" s="53"/>
    </row>
    <row r="104" spans="2:12">
      <c r="B104" s="47"/>
      <c r="C104" s="47"/>
      <c r="D104" s="37" t="s">
        <v>262</v>
      </c>
      <c r="E104" s="32">
        <v>4.2</v>
      </c>
      <c r="F104" s="33">
        <v>3</v>
      </c>
      <c r="G104" s="33">
        <v>5.3</v>
      </c>
      <c r="H104" s="35">
        <v>2012</v>
      </c>
      <c r="I104" s="36" t="s">
        <v>27</v>
      </c>
      <c r="J104" s="37" t="s">
        <v>24</v>
      </c>
      <c r="K104" s="53" t="s">
        <v>21</v>
      </c>
      <c r="L104" s="53"/>
    </row>
    <row r="105" spans="2:12">
      <c r="B105" s="47"/>
      <c r="C105" s="47"/>
      <c r="D105" s="37" t="s">
        <v>263</v>
      </c>
      <c r="E105" s="32">
        <v>13.9</v>
      </c>
      <c r="F105" s="33">
        <v>13.2</v>
      </c>
      <c r="G105" s="33">
        <v>14.6</v>
      </c>
      <c r="H105" s="35">
        <v>2022</v>
      </c>
      <c r="I105" s="36" t="s">
        <v>27</v>
      </c>
      <c r="J105" s="37" t="s">
        <v>38</v>
      </c>
      <c r="K105" s="53" t="s">
        <v>51</v>
      </c>
      <c r="L105" s="53"/>
    </row>
    <row r="106" spans="2:12">
      <c r="B106" s="47"/>
      <c r="C106" s="47"/>
      <c r="D106" s="37" t="s">
        <v>263</v>
      </c>
      <c r="E106" s="32">
        <v>11.9</v>
      </c>
      <c r="F106" s="33">
        <v>10.4</v>
      </c>
      <c r="G106" s="33">
        <v>13.2</v>
      </c>
      <c r="H106" s="35">
        <v>2021</v>
      </c>
      <c r="I106" s="36" t="s">
        <v>27</v>
      </c>
      <c r="J106" s="37" t="s">
        <v>24</v>
      </c>
      <c r="K106" s="53" t="s">
        <v>21</v>
      </c>
      <c r="L106" s="53"/>
    </row>
    <row r="107" spans="2:12">
      <c r="B107" s="47"/>
      <c r="C107" s="47"/>
      <c r="D107" s="37" t="s">
        <v>263</v>
      </c>
      <c r="E107" s="32">
        <v>12.5</v>
      </c>
      <c r="F107" s="33">
        <v>10.1</v>
      </c>
      <c r="G107" s="33">
        <v>14.9</v>
      </c>
      <c r="H107" s="35">
        <v>2019</v>
      </c>
      <c r="I107" s="36" t="s">
        <v>27</v>
      </c>
      <c r="J107" s="37" t="s">
        <v>24</v>
      </c>
      <c r="K107" s="53" t="s">
        <v>21</v>
      </c>
      <c r="L107" s="53"/>
    </row>
    <row r="108" spans="2:12">
      <c r="B108" s="47"/>
      <c r="C108" s="47"/>
      <c r="D108" s="37" t="s">
        <v>263</v>
      </c>
      <c r="E108" s="32">
        <v>12.8</v>
      </c>
      <c r="F108" s="33">
        <v>10.8</v>
      </c>
      <c r="G108" s="33">
        <v>14.8</v>
      </c>
      <c r="H108" s="35">
        <v>2018</v>
      </c>
      <c r="I108" s="36" t="s">
        <v>27</v>
      </c>
      <c r="J108" s="37" t="s">
        <v>24</v>
      </c>
      <c r="K108" s="53" t="s">
        <v>21</v>
      </c>
      <c r="L108" s="53"/>
    </row>
    <row r="109" spans="2:12">
      <c r="B109" s="47"/>
      <c r="C109" s="47"/>
      <c r="D109" s="37" t="s">
        <v>263</v>
      </c>
      <c r="E109" s="32">
        <v>19.5</v>
      </c>
      <c r="F109" s="33">
        <v>17.3</v>
      </c>
      <c r="G109" s="33">
        <v>21.9</v>
      </c>
      <c r="H109" s="35">
        <v>2015</v>
      </c>
      <c r="I109" s="36" t="s">
        <v>27</v>
      </c>
      <c r="J109" s="37" t="s">
        <v>24</v>
      </c>
      <c r="K109" s="53" t="s">
        <v>21</v>
      </c>
      <c r="L109" s="53"/>
    </row>
    <row r="110" spans="2:12">
      <c r="B110" s="47"/>
      <c r="C110" s="47"/>
      <c r="D110" s="37" t="s">
        <v>263</v>
      </c>
      <c r="E110" s="32">
        <v>18.3</v>
      </c>
      <c r="F110" s="33">
        <v>15.5</v>
      </c>
      <c r="G110" s="33">
        <v>21.2</v>
      </c>
      <c r="H110" s="35">
        <v>2014</v>
      </c>
      <c r="I110" s="36" t="s">
        <v>27</v>
      </c>
      <c r="J110" s="37" t="s">
        <v>24</v>
      </c>
      <c r="K110" s="53" t="s">
        <v>21</v>
      </c>
      <c r="L110" s="53"/>
    </row>
    <row r="111" spans="2:12">
      <c r="B111" s="47"/>
      <c r="C111" s="47"/>
      <c r="D111" s="37" t="s">
        <v>263</v>
      </c>
      <c r="E111" s="32">
        <v>12.3</v>
      </c>
      <c r="F111" s="33">
        <v>12.6</v>
      </c>
      <c r="G111" s="33">
        <v>12.1</v>
      </c>
      <c r="H111" s="35">
        <v>2013</v>
      </c>
      <c r="I111" s="36" t="s">
        <v>27</v>
      </c>
      <c r="J111" s="37" t="s">
        <v>24</v>
      </c>
      <c r="K111" s="53" t="s">
        <v>21</v>
      </c>
      <c r="L111" s="53"/>
    </row>
    <row r="112" spans="2:12">
      <c r="B112" s="47"/>
      <c r="C112" s="47"/>
      <c r="D112" s="37" t="s">
        <v>267</v>
      </c>
      <c r="E112" s="32">
        <v>0.49</v>
      </c>
      <c r="F112" s="33">
        <v>0.88</v>
      </c>
      <c r="G112" s="33">
        <v>0.23</v>
      </c>
      <c r="H112" s="35">
        <v>2018</v>
      </c>
      <c r="I112" s="36" t="s">
        <v>265</v>
      </c>
      <c r="J112" s="37" t="s">
        <v>24</v>
      </c>
      <c r="K112" s="53" t="s">
        <v>21</v>
      </c>
      <c r="L112" s="53"/>
    </row>
    <row r="113" spans="2:12">
      <c r="B113" s="47"/>
      <c r="C113" s="47"/>
      <c r="D113" s="37" t="s">
        <v>268</v>
      </c>
      <c r="E113" s="32">
        <v>2.2000000000000002</v>
      </c>
      <c r="F113" s="33">
        <v>2.4</v>
      </c>
      <c r="G113" s="33">
        <v>1.9</v>
      </c>
      <c r="H113" s="35">
        <v>2022</v>
      </c>
      <c r="I113" s="36" t="s">
        <v>27</v>
      </c>
      <c r="J113" s="37" t="s">
        <v>24</v>
      </c>
      <c r="K113" s="53" t="s">
        <v>21</v>
      </c>
      <c r="L113" s="53"/>
    </row>
    <row r="114" spans="2:12">
      <c r="B114" s="47"/>
      <c r="C114" s="47"/>
      <c r="D114" s="37" t="s">
        <v>268</v>
      </c>
      <c r="E114" s="32">
        <v>1.8</v>
      </c>
      <c r="F114" s="33">
        <v>2.2000000000000002</v>
      </c>
      <c r="G114" s="33">
        <v>1.4</v>
      </c>
      <c r="H114" s="35">
        <v>2014</v>
      </c>
      <c r="I114" s="36" t="s">
        <v>27</v>
      </c>
      <c r="J114" s="37" t="s">
        <v>24</v>
      </c>
      <c r="K114" s="53" t="s">
        <v>21</v>
      </c>
      <c r="L114" s="53"/>
    </row>
    <row r="115" spans="2:12">
      <c r="B115" s="47"/>
      <c r="C115" s="47"/>
      <c r="D115" s="37" t="s">
        <v>268</v>
      </c>
      <c r="E115" s="32">
        <v>2.2999999999999998</v>
      </c>
      <c r="F115" s="33">
        <v>2.2000000000000002</v>
      </c>
      <c r="G115" s="33">
        <v>2.4</v>
      </c>
      <c r="H115" s="35">
        <v>2010</v>
      </c>
      <c r="I115" s="36" t="s">
        <v>27</v>
      </c>
      <c r="J115" s="37" t="s">
        <v>24</v>
      </c>
      <c r="K115" s="53" t="s">
        <v>21</v>
      </c>
      <c r="L115" s="53"/>
    </row>
    <row r="116" spans="2:12">
      <c r="B116" s="47"/>
      <c r="C116" s="47"/>
      <c r="D116" s="37" t="s">
        <v>270</v>
      </c>
      <c r="E116" s="32">
        <v>5.4</v>
      </c>
      <c r="F116" s="33">
        <v>4.5999999999999996</v>
      </c>
      <c r="G116" s="33">
        <v>6.2</v>
      </c>
      <c r="H116" s="35">
        <v>2012</v>
      </c>
      <c r="I116" s="36" t="s">
        <v>144</v>
      </c>
      <c r="J116" s="37" t="s">
        <v>24</v>
      </c>
      <c r="K116" s="53" t="s">
        <v>21</v>
      </c>
      <c r="L116" s="53"/>
    </row>
    <row r="117" spans="2:12">
      <c r="B117" s="47"/>
      <c r="C117" s="47"/>
      <c r="D117" s="37" t="s">
        <v>270</v>
      </c>
      <c r="E117" s="32">
        <v>4.3</v>
      </c>
      <c r="F117" s="33">
        <v>3.7</v>
      </c>
      <c r="G117" s="33">
        <v>4.9000000000000004</v>
      </c>
      <c r="H117" s="35">
        <v>2009</v>
      </c>
      <c r="I117" s="36" t="s">
        <v>144</v>
      </c>
      <c r="J117" s="37" t="s">
        <v>24</v>
      </c>
      <c r="K117" s="53" t="s">
        <v>21</v>
      </c>
      <c r="L117" s="53"/>
    </row>
    <row r="118" spans="2:12">
      <c r="B118" s="47"/>
      <c r="C118" s="47"/>
      <c r="D118" s="37" t="s">
        <v>272</v>
      </c>
      <c r="E118" s="32">
        <v>0.7</v>
      </c>
      <c r="F118" s="33"/>
      <c r="G118" s="33">
        <v>1</v>
      </c>
      <c r="H118" s="35">
        <v>2004</v>
      </c>
      <c r="I118" s="36" t="s">
        <v>27</v>
      </c>
      <c r="J118" s="37" t="s">
        <v>24</v>
      </c>
      <c r="K118" s="53" t="s">
        <v>21</v>
      </c>
      <c r="L118" s="53"/>
    </row>
    <row r="119" spans="2:12">
      <c r="B119" s="47"/>
      <c r="C119" s="47"/>
      <c r="D119" s="37" t="s">
        <v>272</v>
      </c>
      <c r="E119" s="32">
        <v>0.3</v>
      </c>
      <c r="F119" s="33"/>
      <c r="G119" s="33">
        <v>0.1</v>
      </c>
      <c r="H119" s="35">
        <v>1998</v>
      </c>
      <c r="I119" s="36" t="s">
        <v>27</v>
      </c>
      <c r="J119" s="37" t="s">
        <v>24</v>
      </c>
      <c r="K119" s="53" t="s">
        <v>21</v>
      </c>
      <c r="L119" s="53"/>
    </row>
    <row r="120" spans="2:12">
      <c r="B120" s="47"/>
      <c r="C120" s="47"/>
      <c r="D120" s="37" t="s">
        <v>273</v>
      </c>
      <c r="E120" s="32">
        <v>7.5</v>
      </c>
      <c r="F120" s="33">
        <v>4.8</v>
      </c>
      <c r="G120" s="33">
        <v>9.8000000000000007</v>
      </c>
      <c r="H120" s="35">
        <v>2019</v>
      </c>
      <c r="I120" s="36" t="s">
        <v>144</v>
      </c>
      <c r="J120" s="37" t="s">
        <v>24</v>
      </c>
      <c r="K120" s="53" t="s">
        <v>21</v>
      </c>
      <c r="L120" s="53"/>
    </row>
    <row r="121" spans="2:12">
      <c r="B121" s="47"/>
      <c r="C121" s="47"/>
      <c r="D121" s="37" t="s">
        <v>273</v>
      </c>
      <c r="E121" s="32">
        <v>9.52</v>
      </c>
      <c r="F121" s="33">
        <v>6.07</v>
      </c>
      <c r="G121" s="33">
        <v>12.29</v>
      </c>
      <c r="H121" s="35">
        <v>2015</v>
      </c>
      <c r="I121" s="36" t="s">
        <v>144</v>
      </c>
      <c r="J121" s="37" t="s">
        <v>36</v>
      </c>
      <c r="K121" s="53" t="s">
        <v>21</v>
      </c>
      <c r="L121" s="53"/>
    </row>
    <row r="122" spans="2:12">
      <c r="B122" s="47"/>
      <c r="C122" s="47"/>
      <c r="D122" s="37" t="s">
        <v>273</v>
      </c>
      <c r="E122" s="32">
        <v>13.1</v>
      </c>
      <c r="F122" s="33"/>
      <c r="G122" s="33">
        <v>19</v>
      </c>
      <c r="H122" s="35">
        <v>2007</v>
      </c>
      <c r="I122" s="36" t="s">
        <v>144</v>
      </c>
      <c r="J122" s="37" t="s">
        <v>24</v>
      </c>
      <c r="K122" s="53" t="s">
        <v>21</v>
      </c>
      <c r="L122" s="53"/>
    </row>
    <row r="123" spans="2:12">
      <c r="B123" s="47"/>
      <c r="C123" s="47"/>
      <c r="D123" s="37" t="s">
        <v>276</v>
      </c>
      <c r="E123" s="32">
        <v>4.9000000000000004</v>
      </c>
      <c r="F123" s="33">
        <v>5</v>
      </c>
      <c r="G123" s="33">
        <v>4.8</v>
      </c>
      <c r="H123" s="35">
        <v>2019</v>
      </c>
      <c r="I123" s="36" t="s">
        <v>27</v>
      </c>
      <c r="J123" s="37" t="s">
        <v>24</v>
      </c>
      <c r="K123" s="53" t="s">
        <v>21</v>
      </c>
      <c r="L123" s="53"/>
    </row>
    <row r="124" spans="2:12">
      <c r="B124" s="47"/>
      <c r="C124" s="47"/>
      <c r="D124" s="37" t="s">
        <v>276</v>
      </c>
      <c r="E124" s="32">
        <v>6.1</v>
      </c>
      <c r="F124" s="33">
        <v>4.4000000000000004</v>
      </c>
      <c r="G124" s="33">
        <v>7.7</v>
      </c>
      <c r="H124" s="35">
        <v>2015</v>
      </c>
      <c r="I124" s="36" t="s">
        <v>27</v>
      </c>
      <c r="J124" s="37" t="s">
        <v>24</v>
      </c>
      <c r="K124" s="53" t="s">
        <v>21</v>
      </c>
      <c r="L124" s="53" t="s">
        <v>728</v>
      </c>
    </row>
    <row r="125" spans="2:12">
      <c r="B125" s="47"/>
      <c r="C125" s="47"/>
      <c r="D125" s="37" t="s">
        <v>278</v>
      </c>
      <c r="E125" s="32">
        <v>13.8</v>
      </c>
      <c r="F125" s="33">
        <v>10.4</v>
      </c>
      <c r="G125" s="33">
        <v>17.100000000000001</v>
      </c>
      <c r="H125" s="35">
        <v>2013</v>
      </c>
      <c r="I125" s="36" t="s">
        <v>27</v>
      </c>
      <c r="J125" s="37" t="s">
        <v>36</v>
      </c>
      <c r="K125" s="53" t="s">
        <v>21</v>
      </c>
      <c r="L125" s="53" t="s">
        <v>700</v>
      </c>
    </row>
    <row r="126" spans="2:12">
      <c r="B126" s="47"/>
      <c r="C126" s="47"/>
      <c r="D126" s="37" t="s">
        <v>278</v>
      </c>
      <c r="E126" s="32">
        <v>3.85</v>
      </c>
      <c r="F126" s="33">
        <v>2.94</v>
      </c>
      <c r="G126" s="33">
        <v>4.63</v>
      </c>
      <c r="H126" s="35">
        <v>2012</v>
      </c>
      <c r="I126" s="36" t="s">
        <v>27</v>
      </c>
      <c r="J126" s="37" t="s">
        <v>24</v>
      </c>
      <c r="K126" s="53" t="s">
        <v>21</v>
      </c>
      <c r="L126" s="53"/>
    </row>
    <row r="127" spans="2:12">
      <c r="B127" s="47"/>
      <c r="C127" s="47"/>
      <c r="D127" s="37" t="s">
        <v>280</v>
      </c>
      <c r="E127" s="32">
        <v>4.9000000000000004</v>
      </c>
      <c r="F127" s="33">
        <v>3.4</v>
      </c>
      <c r="G127" s="33">
        <v>6.4</v>
      </c>
      <c r="H127" s="35">
        <v>2020</v>
      </c>
      <c r="I127" s="36" t="s">
        <v>27</v>
      </c>
      <c r="J127" s="37" t="s">
        <v>24</v>
      </c>
      <c r="K127" s="53" t="s">
        <v>21</v>
      </c>
      <c r="L127" s="53"/>
    </row>
    <row r="128" spans="2:12">
      <c r="B128" s="47"/>
      <c r="C128" s="47"/>
      <c r="D128" s="37" t="s">
        <v>280</v>
      </c>
      <c r="E128" s="32">
        <v>7.2</v>
      </c>
      <c r="F128" s="33">
        <v>4.3</v>
      </c>
      <c r="G128" s="33">
        <v>10</v>
      </c>
      <c r="H128" s="35">
        <v>2011</v>
      </c>
      <c r="I128" s="36" t="s">
        <v>27</v>
      </c>
      <c r="J128" s="37" t="s">
        <v>24</v>
      </c>
      <c r="K128" s="53" t="s">
        <v>21</v>
      </c>
      <c r="L128" s="53"/>
    </row>
    <row r="129" spans="2:12">
      <c r="B129" s="47"/>
      <c r="C129" s="47"/>
      <c r="D129" s="37" t="s">
        <v>280</v>
      </c>
      <c r="E129" s="32">
        <v>6.5</v>
      </c>
      <c r="F129" s="33">
        <v>5.0999999999999996</v>
      </c>
      <c r="G129" s="33">
        <v>7.8</v>
      </c>
      <c r="H129" s="35">
        <v>2007</v>
      </c>
      <c r="I129" s="36" t="s">
        <v>27</v>
      </c>
      <c r="J129" s="37" t="s">
        <v>24</v>
      </c>
      <c r="K129" s="53" t="s">
        <v>21</v>
      </c>
      <c r="L129" s="53"/>
    </row>
    <row r="130" spans="2:12">
      <c r="B130" s="47"/>
      <c r="C130" s="47"/>
      <c r="D130" s="37" t="s">
        <v>281</v>
      </c>
      <c r="E130" s="32">
        <v>1.4</v>
      </c>
      <c r="F130" s="33">
        <v>1</v>
      </c>
      <c r="G130" s="33">
        <v>1.7</v>
      </c>
      <c r="H130" s="35">
        <v>2021</v>
      </c>
      <c r="I130" s="36" t="s">
        <v>27</v>
      </c>
      <c r="J130" s="37" t="s">
        <v>24</v>
      </c>
      <c r="K130" s="53" t="s">
        <v>21</v>
      </c>
      <c r="L130" s="53" t="s">
        <v>717</v>
      </c>
    </row>
    <row r="131" spans="2:12">
      <c r="B131" s="47"/>
      <c r="C131" s="47"/>
      <c r="D131" s="37" t="s">
        <v>281</v>
      </c>
      <c r="E131" s="32">
        <v>13.4</v>
      </c>
      <c r="F131" s="33">
        <v>7.7</v>
      </c>
      <c r="G131" s="33">
        <v>18.7</v>
      </c>
      <c r="H131" s="35">
        <v>2016</v>
      </c>
      <c r="I131" s="36" t="s">
        <v>27</v>
      </c>
      <c r="J131" s="37" t="s">
        <v>24</v>
      </c>
      <c r="K131" s="53" t="s">
        <v>21</v>
      </c>
      <c r="L131" s="53"/>
    </row>
    <row r="132" spans="2:12">
      <c r="B132" s="47"/>
      <c r="C132" s="47"/>
      <c r="D132" s="37" t="s">
        <v>281</v>
      </c>
      <c r="E132" s="32">
        <v>11.1</v>
      </c>
      <c r="F132" s="33">
        <v>6.5</v>
      </c>
      <c r="G132" s="33">
        <v>15.5</v>
      </c>
      <c r="H132" s="35">
        <v>2012</v>
      </c>
      <c r="I132" s="36" t="s">
        <v>27</v>
      </c>
      <c r="J132" s="37" t="s">
        <v>24</v>
      </c>
      <c r="K132" s="53" t="s">
        <v>21</v>
      </c>
      <c r="L132" s="53"/>
    </row>
    <row r="133" spans="2:12">
      <c r="B133" s="47"/>
      <c r="C133" s="47"/>
      <c r="D133" s="37" t="s">
        <v>281</v>
      </c>
      <c r="E133" s="32">
        <v>11.85</v>
      </c>
      <c r="F133" s="33">
        <v>7.5</v>
      </c>
      <c r="G133" s="33">
        <v>15.6</v>
      </c>
      <c r="H133" s="35">
        <v>2008</v>
      </c>
      <c r="I133" s="36" t="s">
        <v>27</v>
      </c>
      <c r="J133" s="37" t="s">
        <v>24</v>
      </c>
      <c r="K133" s="53" t="s">
        <v>21</v>
      </c>
      <c r="L133" s="53"/>
    </row>
    <row r="134" spans="2:12">
      <c r="B134" s="47"/>
      <c r="C134" s="47"/>
      <c r="D134" s="37" t="s">
        <v>281</v>
      </c>
      <c r="E134" s="32">
        <v>11.2</v>
      </c>
      <c r="F134" s="33">
        <v>7.3</v>
      </c>
      <c r="G134" s="33">
        <v>14.8</v>
      </c>
      <c r="H134" s="35">
        <v>2004</v>
      </c>
      <c r="I134" s="36" t="s">
        <v>27</v>
      </c>
      <c r="J134" s="37" t="s">
        <v>24</v>
      </c>
      <c r="K134" s="53" t="s">
        <v>21</v>
      </c>
      <c r="L134" s="53"/>
    </row>
    <row r="135" spans="2:12">
      <c r="B135" s="47"/>
      <c r="C135" s="47"/>
      <c r="D135" s="37" t="s">
        <v>284</v>
      </c>
      <c r="E135" s="32">
        <v>0.9</v>
      </c>
      <c r="F135" s="33"/>
      <c r="G135" s="33">
        <v>1</v>
      </c>
      <c r="H135" s="35">
        <v>2008</v>
      </c>
      <c r="I135" s="36" t="s">
        <v>27</v>
      </c>
      <c r="J135" s="37" t="s">
        <v>24</v>
      </c>
      <c r="K135" s="53" t="s">
        <v>21</v>
      </c>
      <c r="L135" s="53"/>
    </row>
    <row r="136" spans="2:12">
      <c r="B136" s="47"/>
      <c r="C136" s="47"/>
      <c r="D136" s="37" t="s">
        <v>286</v>
      </c>
      <c r="E136" s="32">
        <v>3.6</v>
      </c>
      <c r="F136" s="33">
        <v>2.7</v>
      </c>
      <c r="G136" s="33">
        <v>4.4000000000000004</v>
      </c>
      <c r="H136" s="35">
        <v>2022</v>
      </c>
      <c r="I136" s="36" t="s">
        <v>27</v>
      </c>
      <c r="J136" s="37" t="s">
        <v>24</v>
      </c>
      <c r="K136" s="53" t="s">
        <v>21</v>
      </c>
      <c r="L136" s="53"/>
    </row>
    <row r="137" spans="2:12">
      <c r="B137" s="47"/>
      <c r="C137" s="47"/>
      <c r="D137" s="37" t="s">
        <v>286</v>
      </c>
      <c r="E137" s="32">
        <v>3.5</v>
      </c>
      <c r="F137" s="33">
        <v>2.9</v>
      </c>
      <c r="G137" s="33">
        <v>4.0999999999999996</v>
      </c>
      <c r="H137" s="35">
        <v>2020</v>
      </c>
      <c r="I137" s="36" t="s">
        <v>27</v>
      </c>
      <c r="J137" s="37" t="s">
        <v>24</v>
      </c>
      <c r="K137" s="53" t="s">
        <v>21</v>
      </c>
      <c r="L137" s="53"/>
    </row>
    <row r="138" spans="2:12">
      <c r="B138" s="47"/>
      <c r="C138" s="47"/>
      <c r="D138" s="37" t="s">
        <v>286</v>
      </c>
      <c r="E138" s="32">
        <v>10.199999999999999</v>
      </c>
      <c r="F138" s="33">
        <v>7</v>
      </c>
      <c r="G138" s="33">
        <v>13.3</v>
      </c>
      <c r="H138" s="35">
        <v>2018</v>
      </c>
      <c r="I138" s="36" t="s">
        <v>195</v>
      </c>
      <c r="J138" s="37" t="s">
        <v>24</v>
      </c>
      <c r="K138" s="53" t="s">
        <v>21</v>
      </c>
      <c r="L138" s="53"/>
    </row>
    <row r="139" spans="2:12">
      <c r="B139" s="47"/>
      <c r="C139" s="47"/>
      <c r="D139" s="37" t="s">
        <v>286</v>
      </c>
      <c r="E139" s="32">
        <v>10.5</v>
      </c>
      <c r="F139" s="33">
        <v>7.5</v>
      </c>
      <c r="G139" s="33">
        <v>13.4</v>
      </c>
      <c r="H139" s="35">
        <v>2016</v>
      </c>
      <c r="I139" s="36" t="s">
        <v>195</v>
      </c>
      <c r="J139" s="37" t="s">
        <v>24</v>
      </c>
      <c r="K139" s="53" t="s">
        <v>21</v>
      </c>
      <c r="L139" s="53"/>
    </row>
    <row r="140" spans="2:12">
      <c r="B140" s="47"/>
      <c r="C140" s="47"/>
      <c r="D140" s="37" t="s">
        <v>286</v>
      </c>
      <c r="E140" s="32">
        <v>0.5</v>
      </c>
      <c r="F140" s="33">
        <v>0.2</v>
      </c>
      <c r="G140" s="33">
        <v>0.8</v>
      </c>
      <c r="H140" s="35">
        <v>2015</v>
      </c>
      <c r="I140" s="36" t="s">
        <v>195</v>
      </c>
      <c r="J140" s="37" t="s">
        <v>24</v>
      </c>
      <c r="K140" s="53" t="s">
        <v>21</v>
      </c>
      <c r="L140" s="53"/>
    </row>
    <row r="141" spans="2:12">
      <c r="B141" s="47"/>
      <c r="C141" s="47"/>
      <c r="D141" s="37" t="s">
        <v>286</v>
      </c>
      <c r="E141" s="32">
        <v>0.5</v>
      </c>
      <c r="F141" s="33">
        <v>0.2</v>
      </c>
      <c r="G141" s="33">
        <v>0.8</v>
      </c>
      <c r="H141" s="35">
        <v>2014</v>
      </c>
      <c r="I141" s="36" t="s">
        <v>27</v>
      </c>
      <c r="J141" s="37" t="s">
        <v>24</v>
      </c>
      <c r="K141" s="53" t="s">
        <v>21</v>
      </c>
      <c r="L141" s="53"/>
    </row>
    <row r="142" spans="2:12">
      <c r="B142" s="47"/>
      <c r="C142" s="47"/>
      <c r="D142" s="37" t="s">
        <v>286</v>
      </c>
      <c r="E142" s="32">
        <v>10.1</v>
      </c>
      <c r="F142" s="33">
        <v>7.2</v>
      </c>
      <c r="G142" s="33">
        <v>13.1</v>
      </c>
      <c r="H142" s="35">
        <v>2009</v>
      </c>
      <c r="I142" s="36" t="s">
        <v>27</v>
      </c>
      <c r="J142" s="37" t="s">
        <v>24</v>
      </c>
      <c r="K142" s="53" t="s">
        <v>21</v>
      </c>
      <c r="L142" s="53"/>
    </row>
    <row r="143" spans="2:12">
      <c r="B143" s="47"/>
      <c r="C143" s="47"/>
      <c r="D143" s="37" t="s">
        <v>287</v>
      </c>
      <c r="E143" s="32">
        <v>0.1</v>
      </c>
      <c r="F143" s="33">
        <v>0</v>
      </c>
      <c r="G143" s="33">
        <v>0.2</v>
      </c>
      <c r="H143" s="35">
        <v>2021</v>
      </c>
      <c r="I143" s="36" t="s">
        <v>265</v>
      </c>
      <c r="J143" s="37" t="s">
        <v>24</v>
      </c>
      <c r="K143" s="53" t="s">
        <v>21</v>
      </c>
      <c r="L143" s="53" t="s">
        <v>729</v>
      </c>
    </row>
    <row r="144" spans="2:12">
      <c r="B144" s="47"/>
      <c r="C144" s="47"/>
      <c r="D144" s="37" t="s">
        <v>287</v>
      </c>
      <c r="E144" s="32">
        <v>4.3</v>
      </c>
      <c r="F144" s="33">
        <v>3.1</v>
      </c>
      <c r="G144" s="33">
        <v>5.5</v>
      </c>
      <c r="H144" s="35">
        <v>2015</v>
      </c>
      <c r="I144" s="36" t="s">
        <v>265</v>
      </c>
      <c r="J144" s="37" t="s">
        <v>24</v>
      </c>
      <c r="K144" s="53" t="s">
        <v>21</v>
      </c>
      <c r="L144" s="53" t="s">
        <v>717</v>
      </c>
    </row>
    <row r="145" spans="2:12">
      <c r="B145" s="47"/>
      <c r="C145" s="47"/>
      <c r="D145" s="37" t="s">
        <v>287</v>
      </c>
      <c r="E145" s="32">
        <v>4.5</v>
      </c>
      <c r="F145" s="33">
        <v>3.9</v>
      </c>
      <c r="G145" s="33">
        <v>5.2</v>
      </c>
      <c r="H145" s="35">
        <v>2014</v>
      </c>
      <c r="I145" s="36" t="s">
        <v>265</v>
      </c>
      <c r="J145" s="37" t="s">
        <v>24</v>
      </c>
      <c r="K145" s="53" t="s">
        <v>21</v>
      </c>
      <c r="L145" s="53"/>
    </row>
    <row r="146" spans="2:12">
      <c r="B146" s="47"/>
      <c r="C146" s="47"/>
      <c r="D146" s="37" t="s">
        <v>290</v>
      </c>
      <c r="E146" s="32">
        <v>3.4</v>
      </c>
      <c r="F146" s="33">
        <v>2.5</v>
      </c>
      <c r="G146" s="33">
        <v>4.3</v>
      </c>
      <c r="H146" s="35">
        <v>2019</v>
      </c>
      <c r="I146" s="36" t="s">
        <v>27</v>
      </c>
      <c r="J146" s="37" t="s">
        <v>24</v>
      </c>
      <c r="K146" s="53" t="s">
        <v>21</v>
      </c>
      <c r="L146" s="53" t="s">
        <v>397</v>
      </c>
    </row>
    <row r="147" spans="2:12">
      <c r="B147" s="47"/>
      <c r="C147" s="47"/>
      <c r="D147" s="37" t="s">
        <v>290</v>
      </c>
      <c r="E147" s="32">
        <v>1.9</v>
      </c>
      <c r="F147" s="33">
        <v>1.4</v>
      </c>
      <c r="G147" s="33">
        <v>2.4</v>
      </c>
      <c r="H147" s="35">
        <v>2016</v>
      </c>
      <c r="I147" s="36" t="s">
        <v>27</v>
      </c>
      <c r="J147" s="37" t="s">
        <v>24</v>
      </c>
      <c r="K147" s="53" t="s">
        <v>21</v>
      </c>
      <c r="L147" s="53"/>
    </row>
    <row r="148" spans="2:12">
      <c r="B148" s="47"/>
      <c r="C148" s="47"/>
      <c r="D148" s="37" t="s">
        <v>290</v>
      </c>
      <c r="E148" s="32">
        <v>2.2000000000000002</v>
      </c>
      <c r="F148" s="33">
        <v>1.4</v>
      </c>
      <c r="G148" s="33">
        <v>3</v>
      </c>
      <c r="H148" s="35">
        <v>2012</v>
      </c>
      <c r="I148" s="36" t="s">
        <v>27</v>
      </c>
      <c r="J148" s="37" t="s">
        <v>24</v>
      </c>
      <c r="K148" s="53" t="s">
        <v>21</v>
      </c>
      <c r="L148" s="53"/>
    </row>
    <row r="149" spans="2:12">
      <c r="B149" s="47"/>
      <c r="C149" s="47"/>
      <c r="D149" s="37" t="s">
        <v>290</v>
      </c>
      <c r="E149" s="32">
        <v>3.3</v>
      </c>
      <c r="F149" s="33">
        <v>2.2000000000000002</v>
      </c>
      <c r="G149" s="33">
        <v>4.3</v>
      </c>
      <c r="H149" s="35">
        <v>2010</v>
      </c>
      <c r="I149" s="36" t="s">
        <v>27</v>
      </c>
      <c r="J149" s="37" t="s">
        <v>24</v>
      </c>
      <c r="K149" s="53" t="s">
        <v>21</v>
      </c>
      <c r="L149" s="53"/>
    </row>
    <row r="150" spans="2:12">
      <c r="B150" s="47"/>
      <c r="C150" s="47"/>
      <c r="D150" s="37" t="s">
        <v>293</v>
      </c>
      <c r="E150" s="32">
        <v>0.6</v>
      </c>
      <c r="F150" s="33">
        <v>0.5</v>
      </c>
      <c r="G150" s="33">
        <v>0.6</v>
      </c>
      <c r="H150" s="35">
        <v>2017</v>
      </c>
      <c r="I150" s="36" t="s">
        <v>27</v>
      </c>
      <c r="J150" s="37" t="s">
        <v>24</v>
      </c>
      <c r="K150" s="53" t="s">
        <v>21</v>
      </c>
      <c r="L150" s="53" t="s">
        <v>730</v>
      </c>
    </row>
    <row r="151" spans="2:12">
      <c r="B151" s="47"/>
      <c r="C151" s="47"/>
      <c r="D151" s="37" t="s">
        <v>293</v>
      </c>
      <c r="E151" s="32">
        <v>0.6</v>
      </c>
      <c r="F151" s="33">
        <v>0.6</v>
      </c>
      <c r="G151" s="33">
        <v>0.6</v>
      </c>
      <c r="H151" s="35">
        <v>2012</v>
      </c>
      <c r="I151" s="36" t="s">
        <v>27</v>
      </c>
      <c r="J151" s="37" t="s">
        <v>24</v>
      </c>
      <c r="K151" s="53" t="s">
        <v>21</v>
      </c>
      <c r="L151" s="53"/>
    </row>
    <row r="152" spans="2:12">
      <c r="B152" s="47"/>
      <c r="C152" s="47"/>
      <c r="D152" s="37" t="s">
        <v>293</v>
      </c>
      <c r="E152" s="32">
        <v>12</v>
      </c>
      <c r="F152" s="33">
        <v>6.3</v>
      </c>
      <c r="G152" s="33">
        <v>17.5</v>
      </c>
      <c r="H152" s="35">
        <v>2007</v>
      </c>
      <c r="I152" s="36" t="s">
        <v>27</v>
      </c>
      <c r="J152" s="37" t="s">
        <v>24</v>
      </c>
      <c r="K152" s="53" t="s">
        <v>21</v>
      </c>
      <c r="L152" s="53" t="s">
        <v>731</v>
      </c>
    </row>
    <row r="153" spans="2:12">
      <c r="B153" s="47"/>
      <c r="C153" s="47"/>
      <c r="D153" s="37" t="s">
        <v>296</v>
      </c>
      <c r="E153" s="32">
        <v>8.5</v>
      </c>
      <c r="F153" s="33">
        <v>4.9000000000000004</v>
      </c>
      <c r="G153" s="33">
        <v>12.2</v>
      </c>
      <c r="H153" s="35">
        <v>2019</v>
      </c>
      <c r="I153" s="36" t="s">
        <v>27</v>
      </c>
      <c r="J153" s="37" t="s">
        <v>24</v>
      </c>
      <c r="K153" s="53" t="s">
        <v>21</v>
      </c>
      <c r="L153" s="53"/>
    </row>
    <row r="154" spans="2:12">
      <c r="B154" s="47"/>
      <c r="C154" s="47"/>
      <c r="D154" s="37" t="s">
        <v>296</v>
      </c>
      <c r="E154" s="32">
        <v>4</v>
      </c>
      <c r="F154" s="33"/>
      <c r="G154" s="33">
        <v>4.2</v>
      </c>
      <c r="H154" s="35">
        <v>2006</v>
      </c>
      <c r="I154" s="36" t="s">
        <v>27</v>
      </c>
      <c r="J154" s="37" t="s">
        <v>24</v>
      </c>
      <c r="K154" s="53" t="s">
        <v>21</v>
      </c>
      <c r="L154" s="53"/>
    </row>
    <row r="155" spans="2:12">
      <c r="B155" s="47"/>
      <c r="C155" s="47"/>
      <c r="D155" s="37" t="s">
        <v>296</v>
      </c>
      <c r="E155" s="32">
        <v>6.1</v>
      </c>
      <c r="F155" s="33"/>
      <c r="G155" s="33">
        <v>6.4</v>
      </c>
      <c r="H155" s="35">
        <v>2004</v>
      </c>
      <c r="I155" s="36" t="s">
        <v>27</v>
      </c>
      <c r="J155" s="37" t="s">
        <v>24</v>
      </c>
      <c r="K155" s="53" t="s">
        <v>21</v>
      </c>
      <c r="L155" s="53"/>
    </row>
    <row r="156" spans="2:12">
      <c r="B156" s="47"/>
      <c r="C156" s="47"/>
      <c r="D156" s="37" t="s">
        <v>299</v>
      </c>
      <c r="E156" s="32">
        <v>1.4</v>
      </c>
      <c r="F156" s="33">
        <v>1.5</v>
      </c>
      <c r="G156" s="33">
        <v>1.3</v>
      </c>
      <c r="H156" s="35">
        <v>2022</v>
      </c>
      <c r="I156" s="36" t="s">
        <v>27</v>
      </c>
      <c r="J156" s="37" t="s">
        <v>24</v>
      </c>
      <c r="K156" s="53" t="s">
        <v>21</v>
      </c>
      <c r="L156" s="53"/>
    </row>
    <row r="157" spans="2:12">
      <c r="B157" s="47"/>
      <c r="C157" s="47"/>
      <c r="D157" s="37" t="s">
        <v>299</v>
      </c>
      <c r="E157" s="32">
        <v>1.3</v>
      </c>
      <c r="F157" s="33">
        <v>1.3</v>
      </c>
      <c r="G157" s="33">
        <v>1.2</v>
      </c>
      <c r="H157" s="35">
        <v>2020</v>
      </c>
      <c r="I157" s="36" t="s">
        <v>27</v>
      </c>
      <c r="J157" s="37" t="s">
        <v>24</v>
      </c>
      <c r="K157" s="53" t="s">
        <v>21</v>
      </c>
      <c r="L157" s="53" t="s">
        <v>301</v>
      </c>
    </row>
    <row r="158" spans="2:12">
      <c r="B158" s="47"/>
      <c r="C158" s="47"/>
      <c r="D158" s="37" t="s">
        <v>299</v>
      </c>
      <c r="E158" s="32">
        <v>1.3</v>
      </c>
      <c r="F158" s="33">
        <v>1.2</v>
      </c>
      <c r="G158" s="33">
        <v>1.4</v>
      </c>
      <c r="H158" s="35">
        <v>2017</v>
      </c>
      <c r="I158" s="36" t="s">
        <v>27</v>
      </c>
      <c r="J158" s="37" t="s">
        <v>24</v>
      </c>
      <c r="K158" s="53" t="s">
        <v>21</v>
      </c>
      <c r="L158" s="53"/>
    </row>
    <row r="159" spans="2:12">
      <c r="B159" s="47"/>
      <c r="C159" s="47"/>
      <c r="D159" s="37" t="s">
        <v>299</v>
      </c>
      <c r="E159" s="32">
        <v>2.2999999999999998</v>
      </c>
      <c r="F159" s="33">
        <v>1.6</v>
      </c>
      <c r="G159" s="33">
        <v>2.9</v>
      </c>
      <c r="H159" s="35">
        <v>2015</v>
      </c>
      <c r="I159" s="36" t="s">
        <v>27</v>
      </c>
      <c r="J159" s="37" t="s">
        <v>24</v>
      </c>
      <c r="K159" s="53" t="s">
        <v>21</v>
      </c>
      <c r="L159" s="53"/>
    </row>
    <row r="160" spans="2:12">
      <c r="B160" s="47"/>
      <c r="C160" s="47"/>
      <c r="D160" s="37" t="s">
        <v>299</v>
      </c>
      <c r="E160" s="32">
        <v>1.2</v>
      </c>
      <c r="F160" s="33">
        <v>1.1000000000000001</v>
      </c>
      <c r="G160" s="33">
        <v>1.3</v>
      </c>
      <c r="H160" s="35">
        <v>2013</v>
      </c>
      <c r="I160" s="36" t="s">
        <v>27</v>
      </c>
      <c r="J160" s="37" t="s">
        <v>24</v>
      </c>
      <c r="K160" s="53" t="s">
        <v>21</v>
      </c>
      <c r="L160" s="53"/>
    </row>
    <row r="161" spans="2:12">
      <c r="B161" s="47"/>
      <c r="C161" s="47"/>
      <c r="D161" s="37" t="s">
        <v>299</v>
      </c>
      <c r="E161" s="32">
        <v>1.2</v>
      </c>
      <c r="F161" s="33">
        <v>1.1000000000000001</v>
      </c>
      <c r="G161" s="33">
        <v>1.2</v>
      </c>
      <c r="H161" s="35">
        <v>2011</v>
      </c>
      <c r="I161" s="36" t="s">
        <v>27</v>
      </c>
      <c r="J161" s="37" t="s">
        <v>24</v>
      </c>
      <c r="K161" s="53" t="s">
        <v>21</v>
      </c>
      <c r="L161" s="53"/>
    </row>
    <row r="162" spans="2:12">
      <c r="B162" s="47"/>
      <c r="C162" s="47"/>
      <c r="D162" s="37" t="s">
        <v>302</v>
      </c>
      <c r="E162" s="32">
        <v>2.2999999999999998</v>
      </c>
      <c r="F162" s="33">
        <v>1.9</v>
      </c>
      <c r="G162" s="33">
        <v>2.6</v>
      </c>
      <c r="H162" s="35">
        <v>2021</v>
      </c>
      <c r="I162" s="36" t="s">
        <v>265</v>
      </c>
      <c r="J162" s="37" t="s">
        <v>38</v>
      </c>
      <c r="K162" s="53" t="s">
        <v>51</v>
      </c>
      <c r="L162" s="53" t="s">
        <v>732</v>
      </c>
    </row>
    <row r="163" spans="2:12">
      <c r="B163" s="47"/>
      <c r="C163" s="47"/>
      <c r="D163" s="37" t="s">
        <v>302</v>
      </c>
      <c r="E163" s="32">
        <v>2.78</v>
      </c>
      <c r="F163" s="33">
        <v>2.7</v>
      </c>
      <c r="G163" s="33">
        <v>2.86</v>
      </c>
      <c r="H163" s="35">
        <v>2013</v>
      </c>
      <c r="I163" s="36" t="s">
        <v>303</v>
      </c>
      <c r="J163" s="37" t="s">
        <v>24</v>
      </c>
      <c r="K163" s="53" t="s">
        <v>21</v>
      </c>
      <c r="L163" s="53"/>
    </row>
    <row r="164" spans="2:12">
      <c r="B164" s="47"/>
      <c r="C164" s="47"/>
      <c r="D164" s="37" t="s">
        <v>302</v>
      </c>
      <c r="E164" s="32">
        <v>2</v>
      </c>
      <c r="F164" s="33"/>
      <c r="G164" s="33">
        <v>2</v>
      </c>
      <c r="H164" s="35">
        <v>2003</v>
      </c>
      <c r="I164" s="36" t="s">
        <v>656</v>
      </c>
      <c r="J164" s="37" t="s">
        <v>24</v>
      </c>
      <c r="K164" s="53" t="s">
        <v>21</v>
      </c>
      <c r="L164" s="53"/>
    </row>
    <row r="165" spans="2:12">
      <c r="B165" s="47"/>
      <c r="C165" s="47"/>
      <c r="D165" s="37" t="s">
        <v>305</v>
      </c>
      <c r="E165" s="32">
        <v>0.4344042952390802</v>
      </c>
      <c r="F165" s="33"/>
      <c r="G165" s="33"/>
      <c r="H165" s="35">
        <v>2023</v>
      </c>
      <c r="I165" s="36" t="s">
        <v>306</v>
      </c>
      <c r="J165" s="37" t="s">
        <v>36</v>
      </c>
      <c r="K165" s="53" t="s">
        <v>21</v>
      </c>
      <c r="L165" s="53" t="s">
        <v>307</v>
      </c>
    </row>
    <row r="166" spans="2:12">
      <c r="B166" s="47"/>
      <c r="C166" s="47"/>
      <c r="D166" s="37" t="s">
        <v>305</v>
      </c>
      <c r="E166" s="32">
        <v>0.45</v>
      </c>
      <c r="F166" s="33"/>
      <c r="G166" s="33"/>
      <c r="H166" s="35">
        <v>2022</v>
      </c>
      <c r="I166" s="36" t="s">
        <v>306</v>
      </c>
      <c r="J166" s="37" t="s">
        <v>36</v>
      </c>
      <c r="K166" s="53" t="s">
        <v>21</v>
      </c>
      <c r="L166" s="53" t="s">
        <v>308</v>
      </c>
    </row>
    <row r="167" spans="2:12">
      <c r="B167" s="47"/>
      <c r="C167" s="47"/>
      <c r="D167" s="37" t="s">
        <v>305</v>
      </c>
      <c r="E167" s="32">
        <v>0.38621217428177601</v>
      </c>
      <c r="F167" s="33"/>
      <c r="G167" s="33"/>
      <c r="H167" s="35">
        <v>2021</v>
      </c>
      <c r="I167" s="36" t="s">
        <v>306</v>
      </c>
      <c r="J167" s="37" t="s">
        <v>36</v>
      </c>
      <c r="K167" s="53" t="s">
        <v>21</v>
      </c>
      <c r="L167" s="53" t="s">
        <v>309</v>
      </c>
    </row>
    <row r="168" spans="2:12">
      <c r="B168" s="47"/>
      <c r="C168" s="47"/>
      <c r="D168" s="37" t="s">
        <v>305</v>
      </c>
      <c r="E168" s="32">
        <v>0.47</v>
      </c>
      <c r="F168" s="33">
        <v>0.53</v>
      </c>
      <c r="G168" s="33">
        <v>0.42</v>
      </c>
      <c r="H168" s="35">
        <v>2019</v>
      </c>
      <c r="I168" s="36" t="s">
        <v>265</v>
      </c>
      <c r="J168" s="37" t="s">
        <v>24</v>
      </c>
      <c r="K168" s="53" t="s">
        <v>21</v>
      </c>
      <c r="L168" s="53" t="s">
        <v>310</v>
      </c>
    </row>
    <row r="169" spans="2:12">
      <c r="B169" s="47"/>
      <c r="C169" s="47"/>
      <c r="D169" s="37" t="s">
        <v>305</v>
      </c>
      <c r="E169" s="32">
        <v>0.4</v>
      </c>
      <c r="F169" s="33">
        <v>0.56999999999999995</v>
      </c>
      <c r="G169" s="33">
        <v>0.23</v>
      </c>
      <c r="H169" s="35">
        <v>2018</v>
      </c>
      <c r="I169" s="36" t="s">
        <v>306</v>
      </c>
      <c r="J169" s="37" t="s">
        <v>36</v>
      </c>
      <c r="K169" s="53" t="s">
        <v>21</v>
      </c>
      <c r="L169" s="53" t="s">
        <v>311</v>
      </c>
    </row>
    <row r="170" spans="2:12">
      <c r="B170" s="47"/>
      <c r="C170" s="47"/>
      <c r="D170" s="37" t="s">
        <v>305</v>
      </c>
      <c r="E170" s="32">
        <v>0.6</v>
      </c>
      <c r="F170" s="33">
        <v>0.75</v>
      </c>
      <c r="G170" s="33">
        <v>0.46</v>
      </c>
      <c r="H170" s="35">
        <v>2017</v>
      </c>
      <c r="I170" s="36" t="s">
        <v>306</v>
      </c>
      <c r="J170" s="37" t="s">
        <v>36</v>
      </c>
      <c r="K170" s="53" t="s">
        <v>21</v>
      </c>
      <c r="L170" s="53" t="s">
        <v>733</v>
      </c>
    </row>
    <row r="171" spans="2:12">
      <c r="B171" s="47"/>
      <c r="C171" s="47"/>
      <c r="D171" s="37" t="s">
        <v>305</v>
      </c>
      <c r="E171" s="32">
        <v>0.4</v>
      </c>
      <c r="F171" s="33">
        <v>0.5</v>
      </c>
      <c r="G171" s="33">
        <v>0.4</v>
      </c>
      <c r="H171" s="35">
        <v>2016</v>
      </c>
      <c r="I171" s="36" t="s">
        <v>306</v>
      </c>
      <c r="J171" s="37" t="s">
        <v>36</v>
      </c>
      <c r="K171" s="53" t="s">
        <v>21</v>
      </c>
      <c r="L171" s="53" t="s">
        <v>734</v>
      </c>
    </row>
    <row r="172" spans="2:12">
      <c r="B172" s="47"/>
      <c r="C172" s="47"/>
      <c r="D172" s="37" t="s">
        <v>305</v>
      </c>
      <c r="E172" s="32">
        <v>0.4</v>
      </c>
      <c r="F172" s="33">
        <v>0.5</v>
      </c>
      <c r="G172" s="33">
        <v>0.3</v>
      </c>
      <c r="H172" s="35">
        <v>2015</v>
      </c>
      <c r="I172" s="36" t="s">
        <v>306</v>
      </c>
      <c r="J172" s="37" t="s">
        <v>24</v>
      </c>
      <c r="K172" s="53" t="s">
        <v>21</v>
      </c>
      <c r="L172" s="53" t="s">
        <v>735</v>
      </c>
    </row>
    <row r="173" spans="2:12">
      <c r="B173" s="47"/>
      <c r="C173" s="47"/>
      <c r="D173" s="37" t="s">
        <v>305</v>
      </c>
      <c r="E173" s="32">
        <v>0.5</v>
      </c>
      <c r="F173" s="33">
        <v>0.7</v>
      </c>
      <c r="G173" s="33">
        <v>0.4</v>
      </c>
      <c r="H173" s="35">
        <v>2014</v>
      </c>
      <c r="I173" s="36" t="s">
        <v>306</v>
      </c>
      <c r="J173" s="37" t="s">
        <v>24</v>
      </c>
      <c r="K173" s="53" t="s">
        <v>21</v>
      </c>
      <c r="L173" s="53" t="s">
        <v>315</v>
      </c>
    </row>
    <row r="174" spans="2:12">
      <c r="B174" s="47"/>
      <c r="C174" s="47"/>
      <c r="D174" s="37" t="s">
        <v>320</v>
      </c>
      <c r="E174" s="32">
        <v>10.3</v>
      </c>
      <c r="F174" s="33">
        <v>9.6</v>
      </c>
      <c r="G174" s="33">
        <v>10.9</v>
      </c>
      <c r="H174" s="35">
        <v>2014</v>
      </c>
      <c r="I174" s="36" t="s">
        <v>27</v>
      </c>
      <c r="J174" s="37" t="s">
        <v>36</v>
      </c>
      <c r="K174" s="53" t="s">
        <v>21</v>
      </c>
      <c r="L174" s="53" t="s">
        <v>736</v>
      </c>
    </row>
    <row r="175" spans="2:12">
      <c r="B175" s="47"/>
      <c r="C175" s="47"/>
      <c r="D175" s="37" t="s">
        <v>323</v>
      </c>
      <c r="E175" s="32">
        <v>0.6</v>
      </c>
      <c r="F175" s="33">
        <v>0.93</v>
      </c>
      <c r="G175" s="33">
        <v>0.28000000000000003</v>
      </c>
      <c r="H175" s="35">
        <v>2014</v>
      </c>
      <c r="I175" s="36" t="s">
        <v>265</v>
      </c>
      <c r="J175" s="37" t="s">
        <v>36</v>
      </c>
      <c r="K175" s="53" t="s">
        <v>21</v>
      </c>
      <c r="L175" s="53" t="s">
        <v>321</v>
      </c>
    </row>
    <row r="176" spans="2:12">
      <c r="B176" s="47"/>
      <c r="C176" s="47"/>
      <c r="D176" s="37" t="s">
        <v>323</v>
      </c>
      <c r="E176" s="32">
        <v>0.8</v>
      </c>
      <c r="F176" s="33">
        <v>1.4</v>
      </c>
      <c r="G176" s="33">
        <v>0.2</v>
      </c>
      <c r="H176" s="35">
        <v>2012</v>
      </c>
      <c r="I176" s="36" t="s">
        <v>265</v>
      </c>
      <c r="J176" s="37" t="s">
        <v>36</v>
      </c>
      <c r="K176" s="53" t="s">
        <v>21</v>
      </c>
      <c r="L176" s="53" t="s">
        <v>325</v>
      </c>
    </row>
    <row r="177" spans="2:12">
      <c r="B177" s="47" t="s">
        <v>327</v>
      </c>
      <c r="C177" s="47" t="s">
        <v>328</v>
      </c>
      <c r="D177" s="37" t="s">
        <v>329</v>
      </c>
      <c r="E177" s="32">
        <v>1.6</v>
      </c>
      <c r="F177" s="33">
        <v>1.7</v>
      </c>
      <c r="G177" s="33">
        <v>1.4</v>
      </c>
      <c r="H177" s="35" t="s">
        <v>330</v>
      </c>
      <c r="I177" s="36" t="s">
        <v>226</v>
      </c>
      <c r="J177" s="37" t="s">
        <v>24</v>
      </c>
      <c r="K177" s="53" t="s">
        <v>21</v>
      </c>
      <c r="L177" s="53"/>
    </row>
    <row r="178" spans="2:12">
      <c r="B178" s="47"/>
      <c r="C178" s="47"/>
      <c r="D178" s="37" t="s">
        <v>329</v>
      </c>
      <c r="E178" s="32">
        <v>1.8</v>
      </c>
      <c r="F178" s="33"/>
      <c r="G178" s="33"/>
      <c r="H178" s="35">
        <v>2019</v>
      </c>
      <c r="I178" s="36" t="s">
        <v>226</v>
      </c>
      <c r="J178" s="37" t="s">
        <v>24</v>
      </c>
      <c r="K178" s="53" t="s">
        <v>21</v>
      </c>
      <c r="L178" s="53"/>
    </row>
    <row r="179" spans="2:12">
      <c r="B179" s="47"/>
      <c r="C179" s="47"/>
      <c r="D179" s="37" t="s">
        <v>329</v>
      </c>
      <c r="E179" s="32">
        <v>1.6</v>
      </c>
      <c r="F179" s="33"/>
      <c r="G179" s="33"/>
      <c r="H179" s="35">
        <v>2016</v>
      </c>
      <c r="I179" s="36" t="s">
        <v>226</v>
      </c>
      <c r="J179" s="37" t="s">
        <v>24</v>
      </c>
      <c r="K179" s="53" t="s">
        <v>21</v>
      </c>
      <c r="L179" s="53"/>
    </row>
    <row r="180" spans="2:12">
      <c r="B180" s="47"/>
      <c r="C180" s="47"/>
      <c r="D180" s="37" t="s">
        <v>329</v>
      </c>
      <c r="E180" s="32">
        <v>1.6</v>
      </c>
      <c r="F180" s="33">
        <v>1.8</v>
      </c>
      <c r="G180" s="33">
        <v>1.5</v>
      </c>
      <c r="H180" s="35">
        <v>2014</v>
      </c>
      <c r="I180" s="36" t="s">
        <v>226</v>
      </c>
      <c r="J180" s="37" t="s">
        <v>36</v>
      </c>
      <c r="K180" s="53" t="s">
        <v>21</v>
      </c>
      <c r="L180" s="53"/>
    </row>
    <row r="181" spans="2:12">
      <c r="B181" s="47"/>
      <c r="C181" s="47"/>
      <c r="D181" s="37" t="s">
        <v>329</v>
      </c>
      <c r="E181" s="32">
        <v>1.5</v>
      </c>
      <c r="F181" s="33">
        <v>1.4</v>
      </c>
      <c r="G181" s="33">
        <v>1.5</v>
      </c>
      <c r="H181" s="35">
        <v>2010</v>
      </c>
      <c r="I181" s="36" t="s">
        <v>226</v>
      </c>
      <c r="J181" s="37" t="s">
        <v>24</v>
      </c>
      <c r="K181" s="53" t="s">
        <v>21</v>
      </c>
      <c r="L181" s="53"/>
    </row>
    <row r="182" spans="2:12">
      <c r="B182" s="47"/>
      <c r="C182" s="47"/>
      <c r="D182" s="37" t="s">
        <v>331</v>
      </c>
      <c r="E182" s="32">
        <v>1.6</v>
      </c>
      <c r="F182" s="33">
        <v>1.3</v>
      </c>
      <c r="G182" s="33">
        <v>2</v>
      </c>
      <c r="H182" s="35" t="s">
        <v>332</v>
      </c>
      <c r="I182" s="36" t="s">
        <v>50</v>
      </c>
      <c r="J182" s="37" t="s">
        <v>36</v>
      </c>
      <c r="K182" s="53" t="s">
        <v>21</v>
      </c>
      <c r="L182" s="53"/>
    </row>
    <row r="183" spans="2:12">
      <c r="B183" s="47"/>
      <c r="C183" s="47"/>
      <c r="D183" s="37" t="s">
        <v>331</v>
      </c>
      <c r="E183" s="32">
        <v>1.3</v>
      </c>
      <c r="F183" s="33">
        <v>1.2</v>
      </c>
      <c r="G183" s="33">
        <v>1.3</v>
      </c>
      <c r="H183" s="35" t="s">
        <v>330</v>
      </c>
      <c r="I183" s="36" t="s">
        <v>50</v>
      </c>
      <c r="J183" s="37" t="s">
        <v>24</v>
      </c>
      <c r="K183" s="53" t="s">
        <v>21</v>
      </c>
      <c r="L183" s="53"/>
    </row>
    <row r="184" spans="2:12">
      <c r="B184" s="47"/>
      <c r="C184" s="47"/>
      <c r="D184" s="37" t="s">
        <v>331</v>
      </c>
      <c r="E184" s="32">
        <v>1.7</v>
      </c>
      <c r="F184" s="33">
        <v>2.4</v>
      </c>
      <c r="G184" s="33">
        <v>1.1000000000000001</v>
      </c>
      <c r="H184" s="35">
        <v>2008</v>
      </c>
      <c r="I184" s="36" t="s">
        <v>265</v>
      </c>
      <c r="J184" s="37" t="s">
        <v>36</v>
      </c>
      <c r="K184" s="53" t="s">
        <v>21</v>
      </c>
      <c r="L184" s="53" t="s">
        <v>737</v>
      </c>
    </row>
    <row r="185" spans="2:12" ht="78" customHeight="1">
      <c r="B185" s="99" t="s">
        <v>738</v>
      </c>
      <c r="C185" s="100"/>
      <c r="D185" s="100"/>
      <c r="E185" s="100"/>
      <c r="F185" s="100"/>
      <c r="G185" s="100"/>
      <c r="H185" s="100"/>
      <c r="I185" s="100"/>
      <c r="J185" s="100"/>
      <c r="K185" s="100"/>
      <c r="L185" s="100"/>
    </row>
    <row r="186" spans="2:12" ht="27.75" customHeight="1">
      <c r="B186" s="99"/>
      <c r="C186" s="100"/>
      <c r="D186" s="100"/>
      <c r="E186" s="100"/>
      <c r="F186" s="100"/>
      <c r="G186" s="100"/>
      <c r="H186" s="100"/>
      <c r="I186" s="100"/>
      <c r="J186" s="100"/>
      <c r="K186" s="100"/>
      <c r="L186" s="100"/>
    </row>
  </sheetData>
  <mergeCells count="3">
    <mergeCell ref="B185:L186"/>
    <mergeCell ref="B2:L2"/>
    <mergeCell ref="B1:L1"/>
  </mergeCells>
  <phoneticPr fontId="71" type="noConversion"/>
  <conditionalFormatting sqref="D4:D184">
    <cfRule type="expression" dxfId="6" priority="7">
      <formula>#REF!=-1</formula>
    </cfRule>
  </conditionalFormatting>
  <pageMargins left="0.7" right="0.7" top="0.75" bottom="0.75" header="0.3" footer="0.3"/>
  <pageSetup paperSize="9" scale="3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71425-D79C-4713-A252-B490EDD858C7}">
  <dimension ref="A1:PM313"/>
  <sheetViews>
    <sheetView zoomScale="90" zoomScaleNormal="90" workbookViewId="0"/>
  </sheetViews>
  <sheetFormatPr defaultColWidth="10.625" defaultRowHeight="15.75"/>
  <cols>
    <col min="1" max="1" width="10.625" style="113"/>
    <col min="2" max="2" width="16.125" style="49" customWidth="1"/>
    <col min="3" max="3" width="16.125" style="44" customWidth="1"/>
    <col min="4" max="4" width="40.125" style="44" customWidth="1"/>
    <col min="5" max="5" width="38.875" style="44" customWidth="1"/>
    <col min="6" max="6" width="64.125" style="44" customWidth="1"/>
    <col min="7" max="17" width="11.625" style="44" customWidth="1"/>
    <col min="18" max="18" width="114.375" style="44" customWidth="1"/>
    <col min="19" max="429" width="10.625" style="113"/>
    <col min="430" max="16384" width="10.625" style="44"/>
  </cols>
  <sheetData>
    <row r="1" spans="1:429" ht="36" customHeight="1">
      <c r="B1" s="93" t="s">
        <v>739</v>
      </c>
      <c r="C1" s="93"/>
      <c r="D1" s="93"/>
      <c r="E1" s="93"/>
      <c r="F1" s="93"/>
      <c r="G1" s="93"/>
      <c r="H1" s="93"/>
      <c r="I1" s="93"/>
      <c r="J1" s="93"/>
      <c r="K1" s="93"/>
      <c r="L1" s="93"/>
      <c r="M1" s="93"/>
      <c r="N1" s="93"/>
      <c r="O1" s="93"/>
      <c r="P1" s="93"/>
      <c r="Q1" s="93"/>
      <c r="R1" s="93"/>
    </row>
    <row r="2" spans="1:429" ht="30" customHeight="1">
      <c r="B2" s="103" t="s">
        <v>740</v>
      </c>
      <c r="C2" s="103"/>
      <c r="D2" s="103"/>
      <c r="E2" s="103"/>
      <c r="F2" s="103"/>
      <c r="G2" s="103"/>
      <c r="H2" s="103"/>
      <c r="I2" s="103"/>
      <c r="J2" s="103"/>
      <c r="K2" s="103"/>
      <c r="L2" s="103"/>
      <c r="M2" s="103"/>
      <c r="N2" s="103"/>
      <c r="O2" s="103"/>
      <c r="P2" s="103"/>
      <c r="Q2" s="103"/>
      <c r="R2" s="103"/>
    </row>
    <row r="3" spans="1:429" s="54" customFormat="1" ht="22.5" customHeight="1">
      <c r="A3" s="114"/>
      <c r="B3" s="55" t="s">
        <v>741</v>
      </c>
      <c r="C3" s="56" t="s">
        <v>2</v>
      </c>
      <c r="D3" s="56" t="s">
        <v>3</v>
      </c>
      <c r="E3" s="56" t="s">
        <v>4</v>
      </c>
      <c r="F3" s="56" t="s">
        <v>742</v>
      </c>
      <c r="G3" s="57" t="s">
        <v>743</v>
      </c>
      <c r="H3" s="58"/>
      <c r="I3" s="59"/>
      <c r="J3" s="60" t="s">
        <v>744</v>
      </c>
      <c r="K3" s="58"/>
      <c r="L3" s="61"/>
      <c r="M3" s="57" t="s">
        <v>745</v>
      </c>
      <c r="N3" s="58"/>
      <c r="O3" s="58"/>
      <c r="P3" s="55" t="s">
        <v>10</v>
      </c>
      <c r="Q3" s="62" t="s">
        <v>11</v>
      </c>
      <c r="R3" s="63" t="s">
        <v>12</v>
      </c>
      <c r="S3" s="114"/>
      <c r="T3" s="114"/>
      <c r="U3" s="114"/>
      <c r="V3" s="114"/>
      <c r="W3" s="114"/>
      <c r="X3" s="114"/>
      <c r="Y3" s="114"/>
      <c r="Z3" s="114"/>
      <c r="AA3" s="114"/>
      <c r="AB3" s="114"/>
      <c r="AC3" s="114"/>
      <c r="AD3" s="114"/>
      <c r="AE3" s="114"/>
      <c r="AF3" s="114"/>
      <c r="AG3" s="114"/>
      <c r="AH3" s="114"/>
      <c r="AI3" s="114"/>
      <c r="AJ3" s="114"/>
      <c r="AK3" s="114"/>
      <c r="AL3" s="114"/>
      <c r="AM3" s="114"/>
      <c r="AN3" s="114"/>
      <c r="AO3" s="114"/>
      <c r="AP3" s="114"/>
      <c r="AQ3" s="114"/>
      <c r="AR3" s="114"/>
      <c r="AS3" s="114"/>
      <c r="AT3" s="114"/>
      <c r="AU3" s="114"/>
      <c r="AV3" s="114"/>
      <c r="AW3" s="114"/>
      <c r="AX3" s="114"/>
      <c r="AY3" s="114"/>
      <c r="AZ3" s="114"/>
      <c r="BA3" s="114"/>
      <c r="BB3" s="114"/>
      <c r="BC3" s="114"/>
      <c r="BD3" s="114"/>
      <c r="BE3" s="114"/>
      <c r="BF3" s="114"/>
      <c r="BG3" s="114"/>
      <c r="BH3" s="114"/>
      <c r="BI3" s="114"/>
      <c r="BJ3" s="114"/>
      <c r="BK3" s="114"/>
      <c r="BL3" s="114"/>
      <c r="BM3" s="114"/>
      <c r="BN3" s="114"/>
      <c r="BO3" s="114"/>
      <c r="BP3" s="114"/>
      <c r="BQ3" s="114"/>
      <c r="BR3" s="114"/>
      <c r="BS3" s="114"/>
      <c r="BT3" s="114"/>
      <c r="BU3" s="114"/>
      <c r="BV3" s="114"/>
      <c r="BW3" s="114"/>
      <c r="BX3" s="114"/>
      <c r="BY3" s="114"/>
      <c r="BZ3" s="114"/>
      <c r="CA3" s="114"/>
      <c r="CB3" s="114"/>
      <c r="CC3" s="114"/>
      <c r="CD3" s="114"/>
      <c r="CE3" s="114"/>
      <c r="CF3" s="114"/>
      <c r="CG3" s="114"/>
      <c r="CH3" s="114"/>
      <c r="CI3" s="114"/>
      <c r="CJ3" s="114"/>
      <c r="CK3" s="114"/>
      <c r="CL3" s="114"/>
      <c r="CM3" s="114"/>
      <c r="CN3" s="114"/>
      <c r="CO3" s="114"/>
      <c r="CP3" s="114"/>
      <c r="CQ3" s="114"/>
      <c r="CR3" s="114"/>
      <c r="CS3" s="114"/>
      <c r="CT3" s="114"/>
      <c r="CU3" s="114"/>
      <c r="CV3" s="114"/>
      <c r="CW3" s="114"/>
      <c r="CX3" s="114"/>
      <c r="CY3" s="114"/>
      <c r="CZ3" s="114"/>
      <c r="DA3" s="114"/>
      <c r="DB3" s="114"/>
      <c r="DC3" s="114"/>
      <c r="DD3" s="114"/>
      <c r="DE3" s="114"/>
      <c r="DF3" s="114"/>
      <c r="DG3" s="114"/>
      <c r="DH3" s="114"/>
      <c r="DI3" s="114"/>
      <c r="DJ3" s="114"/>
      <c r="DK3" s="114"/>
      <c r="DL3" s="114"/>
      <c r="DM3" s="114"/>
      <c r="DN3" s="114"/>
      <c r="DO3" s="114"/>
      <c r="DP3" s="114"/>
      <c r="DQ3" s="114"/>
      <c r="DR3" s="114"/>
      <c r="DS3" s="114"/>
      <c r="DT3" s="114"/>
      <c r="DU3" s="114"/>
      <c r="DV3" s="114"/>
      <c r="DW3" s="114"/>
      <c r="DX3" s="114"/>
      <c r="DY3" s="114"/>
      <c r="DZ3" s="114"/>
      <c r="EA3" s="114"/>
      <c r="EB3" s="114"/>
      <c r="EC3" s="114"/>
      <c r="ED3" s="114"/>
      <c r="EE3" s="114"/>
      <c r="EF3" s="114"/>
      <c r="EG3" s="114"/>
      <c r="EH3" s="114"/>
      <c r="EI3" s="114"/>
      <c r="EJ3" s="114"/>
      <c r="EK3" s="114"/>
      <c r="EL3" s="114"/>
      <c r="EM3" s="114"/>
      <c r="EN3" s="114"/>
      <c r="EO3" s="114"/>
      <c r="EP3" s="114"/>
      <c r="EQ3" s="114"/>
      <c r="ER3" s="114"/>
      <c r="ES3" s="114"/>
      <c r="ET3" s="114"/>
      <c r="EU3" s="114"/>
      <c r="EV3" s="114"/>
      <c r="EW3" s="114"/>
      <c r="EX3" s="114"/>
      <c r="EY3" s="114"/>
      <c r="EZ3" s="114"/>
      <c r="FA3" s="114"/>
      <c r="FB3" s="114"/>
      <c r="FC3" s="114"/>
      <c r="FD3" s="114"/>
      <c r="FE3" s="114"/>
      <c r="FF3" s="114"/>
      <c r="FG3" s="114"/>
      <c r="FH3" s="114"/>
      <c r="FI3" s="114"/>
      <c r="FJ3" s="114"/>
      <c r="FK3" s="114"/>
      <c r="FL3" s="114"/>
      <c r="FM3" s="114"/>
      <c r="FN3" s="114"/>
      <c r="FO3" s="114"/>
      <c r="FP3" s="114"/>
      <c r="FQ3" s="114"/>
      <c r="FR3" s="114"/>
      <c r="FS3" s="114"/>
      <c r="FT3" s="114"/>
      <c r="FU3" s="114"/>
      <c r="FV3" s="114"/>
      <c r="FW3" s="114"/>
      <c r="FX3" s="114"/>
      <c r="FY3" s="114"/>
      <c r="FZ3" s="114"/>
      <c r="GA3" s="114"/>
      <c r="GB3" s="114"/>
      <c r="GC3" s="114"/>
      <c r="GD3" s="114"/>
      <c r="GE3" s="114"/>
      <c r="GF3" s="114"/>
      <c r="GG3" s="114"/>
      <c r="GH3" s="114"/>
      <c r="GI3" s="114"/>
      <c r="GJ3" s="114"/>
      <c r="GK3" s="114"/>
      <c r="GL3" s="114"/>
      <c r="GM3" s="114"/>
      <c r="GN3" s="114"/>
      <c r="GO3" s="114"/>
      <c r="GP3" s="114"/>
      <c r="GQ3" s="114"/>
      <c r="GR3" s="114"/>
      <c r="GS3" s="114"/>
      <c r="GT3" s="114"/>
      <c r="GU3" s="114"/>
      <c r="GV3" s="114"/>
      <c r="GW3" s="114"/>
      <c r="GX3" s="114"/>
      <c r="GY3" s="114"/>
      <c r="GZ3" s="114"/>
      <c r="HA3" s="114"/>
      <c r="HB3" s="114"/>
      <c r="HC3" s="114"/>
      <c r="HD3" s="114"/>
      <c r="HE3" s="114"/>
      <c r="HF3" s="114"/>
      <c r="HG3" s="114"/>
      <c r="HH3" s="114"/>
      <c r="HI3" s="114"/>
      <c r="HJ3" s="114"/>
      <c r="HK3" s="114"/>
      <c r="HL3" s="114"/>
      <c r="HM3" s="114"/>
      <c r="HN3" s="114"/>
      <c r="HO3" s="114"/>
      <c r="HP3" s="114"/>
      <c r="HQ3" s="114"/>
      <c r="HR3" s="114"/>
      <c r="HS3" s="114"/>
      <c r="HT3" s="114"/>
      <c r="HU3" s="114"/>
      <c r="HV3" s="114"/>
      <c r="HW3" s="114"/>
      <c r="HX3" s="114"/>
      <c r="HY3" s="114"/>
      <c r="HZ3" s="114"/>
      <c r="IA3" s="114"/>
      <c r="IB3" s="114"/>
      <c r="IC3" s="114"/>
      <c r="ID3" s="114"/>
      <c r="IE3" s="114"/>
      <c r="IF3" s="114"/>
      <c r="IG3" s="114"/>
      <c r="IH3" s="114"/>
      <c r="II3" s="114"/>
      <c r="IJ3" s="114"/>
      <c r="IK3" s="114"/>
      <c r="IL3" s="114"/>
      <c r="IM3" s="114"/>
      <c r="IN3" s="114"/>
      <c r="IO3" s="114"/>
      <c r="IP3" s="114"/>
      <c r="IQ3" s="114"/>
      <c r="IR3" s="114"/>
      <c r="IS3" s="114"/>
      <c r="IT3" s="114"/>
      <c r="IU3" s="114"/>
      <c r="IV3" s="114"/>
      <c r="IW3" s="114"/>
      <c r="IX3" s="114"/>
      <c r="IY3" s="114"/>
      <c r="IZ3" s="114"/>
      <c r="JA3" s="114"/>
      <c r="JB3" s="114"/>
      <c r="JC3" s="114"/>
      <c r="JD3" s="114"/>
      <c r="JE3" s="114"/>
      <c r="JF3" s="114"/>
      <c r="JG3" s="114"/>
      <c r="JH3" s="114"/>
      <c r="JI3" s="114"/>
      <c r="JJ3" s="114"/>
      <c r="JK3" s="114"/>
      <c r="JL3" s="114"/>
      <c r="JM3" s="114"/>
      <c r="JN3" s="114"/>
      <c r="JO3" s="114"/>
      <c r="JP3" s="114"/>
      <c r="JQ3" s="114"/>
      <c r="JR3" s="114"/>
      <c r="JS3" s="114"/>
      <c r="JT3" s="114"/>
      <c r="JU3" s="114"/>
      <c r="JV3" s="114"/>
      <c r="JW3" s="114"/>
      <c r="JX3" s="114"/>
      <c r="JY3" s="114"/>
      <c r="JZ3" s="114"/>
      <c r="KA3" s="114"/>
      <c r="KB3" s="114"/>
      <c r="KC3" s="114"/>
      <c r="KD3" s="114"/>
      <c r="KE3" s="114"/>
      <c r="KF3" s="114"/>
      <c r="KG3" s="114"/>
      <c r="KH3" s="114"/>
      <c r="KI3" s="114"/>
      <c r="KJ3" s="114"/>
      <c r="KK3" s="114"/>
      <c r="KL3" s="114"/>
      <c r="KM3" s="114"/>
      <c r="KN3" s="114"/>
      <c r="KO3" s="114"/>
      <c r="KP3" s="114"/>
      <c r="KQ3" s="114"/>
      <c r="KR3" s="114"/>
      <c r="KS3" s="114"/>
      <c r="KT3" s="114"/>
      <c r="KU3" s="114"/>
      <c r="KV3" s="114"/>
      <c r="KW3" s="114"/>
      <c r="KX3" s="114"/>
      <c r="KY3" s="114"/>
      <c r="KZ3" s="114"/>
      <c r="LA3" s="114"/>
      <c r="LB3" s="114"/>
      <c r="LC3" s="114"/>
      <c r="LD3" s="114"/>
      <c r="LE3" s="114"/>
      <c r="LF3" s="114"/>
      <c r="LG3" s="114"/>
      <c r="LH3" s="114"/>
      <c r="LI3" s="114"/>
      <c r="LJ3" s="114"/>
      <c r="LK3" s="114"/>
      <c r="LL3" s="114"/>
      <c r="LM3" s="114"/>
      <c r="LN3" s="114"/>
      <c r="LO3" s="114"/>
      <c r="LP3" s="114"/>
      <c r="LQ3" s="114"/>
      <c r="LR3" s="114"/>
      <c r="LS3" s="114"/>
      <c r="LT3" s="114"/>
      <c r="LU3" s="114"/>
      <c r="LV3" s="114"/>
      <c r="LW3" s="114"/>
      <c r="LX3" s="114"/>
      <c r="LY3" s="114"/>
      <c r="LZ3" s="114"/>
      <c r="MA3" s="114"/>
      <c r="MB3" s="114"/>
      <c r="MC3" s="114"/>
      <c r="MD3" s="114"/>
      <c r="ME3" s="114"/>
      <c r="MF3" s="114"/>
      <c r="MG3" s="114"/>
      <c r="MH3" s="114"/>
      <c r="MI3" s="114"/>
      <c r="MJ3" s="114"/>
      <c r="MK3" s="114"/>
      <c r="ML3" s="114"/>
      <c r="MM3" s="114"/>
      <c r="MN3" s="114"/>
      <c r="MO3" s="114"/>
      <c r="MP3" s="114"/>
      <c r="MQ3" s="114"/>
      <c r="MR3" s="114"/>
      <c r="MS3" s="114"/>
      <c r="MT3" s="114"/>
      <c r="MU3" s="114"/>
      <c r="MV3" s="114"/>
      <c r="MW3" s="114"/>
      <c r="MX3" s="114"/>
      <c r="MY3" s="114"/>
      <c r="MZ3" s="114"/>
      <c r="NA3" s="114"/>
      <c r="NB3" s="114"/>
      <c r="NC3" s="114"/>
      <c r="ND3" s="114"/>
      <c r="NE3" s="114"/>
      <c r="NF3" s="114"/>
      <c r="NG3" s="114"/>
      <c r="NH3" s="114"/>
      <c r="NI3" s="114"/>
      <c r="NJ3" s="114"/>
      <c r="NK3" s="114"/>
      <c r="NL3" s="114"/>
      <c r="NM3" s="114"/>
      <c r="NN3" s="114"/>
      <c r="NO3" s="114"/>
      <c r="NP3" s="114"/>
      <c r="NQ3" s="114"/>
      <c r="NR3" s="114"/>
      <c r="NS3" s="114"/>
      <c r="NT3" s="114"/>
      <c r="NU3" s="114"/>
      <c r="NV3" s="114"/>
      <c r="NW3" s="114"/>
      <c r="NX3" s="114"/>
      <c r="NY3" s="114"/>
      <c r="NZ3" s="114"/>
      <c r="OA3" s="114"/>
      <c r="OB3" s="114"/>
      <c r="OC3" s="114"/>
      <c r="OD3" s="114"/>
      <c r="OE3" s="114"/>
      <c r="OF3" s="114"/>
      <c r="OG3" s="114"/>
      <c r="OH3" s="114"/>
      <c r="OI3" s="114"/>
      <c r="OJ3" s="114"/>
      <c r="OK3" s="114"/>
      <c r="OL3" s="114"/>
      <c r="OM3" s="114"/>
      <c r="ON3" s="114"/>
      <c r="OO3" s="114"/>
      <c r="OP3" s="114"/>
      <c r="OQ3" s="114"/>
      <c r="OR3" s="114"/>
      <c r="OS3" s="114"/>
      <c r="OT3" s="114"/>
      <c r="OU3" s="114"/>
      <c r="OV3" s="114"/>
      <c r="OW3" s="114"/>
      <c r="OX3" s="114"/>
      <c r="OY3" s="114"/>
      <c r="OZ3" s="114"/>
      <c r="PA3" s="114"/>
      <c r="PB3" s="114"/>
      <c r="PC3" s="114"/>
      <c r="PD3" s="114"/>
      <c r="PE3" s="114"/>
      <c r="PF3" s="114"/>
      <c r="PG3" s="114"/>
      <c r="PH3" s="114"/>
      <c r="PI3" s="114"/>
      <c r="PJ3" s="114"/>
      <c r="PK3" s="114"/>
      <c r="PL3" s="114"/>
      <c r="PM3" s="114"/>
    </row>
    <row r="4" spans="1:429" s="54" customFormat="1" ht="22.7" customHeight="1">
      <c r="A4" s="114"/>
      <c r="B4" s="64"/>
      <c r="C4" s="65"/>
      <c r="D4" s="65"/>
      <c r="E4" s="66"/>
      <c r="F4" s="65"/>
      <c r="G4" s="67" t="s">
        <v>712</v>
      </c>
      <c r="H4" s="68" t="s">
        <v>8</v>
      </c>
      <c r="I4" s="69" t="s">
        <v>9</v>
      </c>
      <c r="J4" s="68" t="s">
        <v>712</v>
      </c>
      <c r="K4" s="68" t="s">
        <v>8</v>
      </c>
      <c r="L4" s="68" t="s">
        <v>9</v>
      </c>
      <c r="M4" s="67" t="s">
        <v>712</v>
      </c>
      <c r="N4" s="68" t="s">
        <v>8</v>
      </c>
      <c r="O4" s="68" t="s">
        <v>9</v>
      </c>
      <c r="P4" s="64"/>
      <c r="Q4" s="66"/>
      <c r="R4" s="70"/>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c r="FM4" s="114"/>
      <c r="FN4" s="114"/>
      <c r="FO4" s="114"/>
      <c r="FP4" s="114"/>
      <c r="FQ4" s="114"/>
      <c r="FR4" s="114"/>
      <c r="FS4" s="114"/>
      <c r="FT4" s="114"/>
      <c r="FU4" s="114"/>
      <c r="FV4" s="114"/>
      <c r="FW4" s="114"/>
      <c r="FX4" s="114"/>
      <c r="FY4" s="114"/>
      <c r="FZ4" s="114"/>
      <c r="GA4" s="114"/>
      <c r="GB4" s="114"/>
      <c r="GC4" s="114"/>
      <c r="GD4" s="114"/>
      <c r="GE4" s="114"/>
      <c r="GF4" s="114"/>
      <c r="GG4" s="114"/>
      <c r="GH4" s="114"/>
      <c r="GI4" s="114"/>
      <c r="GJ4" s="114"/>
      <c r="GK4" s="114"/>
      <c r="GL4" s="114"/>
      <c r="GM4" s="114"/>
      <c r="GN4" s="114"/>
      <c r="GO4" s="114"/>
      <c r="GP4" s="114"/>
      <c r="GQ4" s="114"/>
      <c r="GR4" s="114"/>
      <c r="GS4" s="114"/>
      <c r="GT4" s="114"/>
      <c r="GU4" s="114"/>
      <c r="GV4" s="114"/>
      <c r="GW4" s="114"/>
      <c r="GX4" s="114"/>
      <c r="GY4" s="114"/>
      <c r="GZ4" s="114"/>
      <c r="HA4" s="114"/>
      <c r="HB4" s="114"/>
      <c r="HC4" s="114"/>
      <c r="HD4" s="114"/>
      <c r="HE4" s="114"/>
      <c r="HF4" s="114"/>
      <c r="HG4" s="114"/>
      <c r="HH4" s="114"/>
      <c r="HI4" s="114"/>
      <c r="HJ4" s="114"/>
      <c r="HK4" s="114"/>
      <c r="HL4" s="114"/>
      <c r="HM4" s="114"/>
      <c r="HN4" s="114"/>
      <c r="HO4" s="114"/>
      <c r="HP4" s="114"/>
      <c r="HQ4" s="114"/>
      <c r="HR4" s="114"/>
      <c r="HS4" s="114"/>
      <c r="HT4" s="114"/>
      <c r="HU4" s="114"/>
      <c r="HV4" s="114"/>
      <c r="HW4" s="114"/>
      <c r="HX4" s="114"/>
      <c r="HY4" s="114"/>
      <c r="HZ4" s="114"/>
      <c r="IA4" s="114"/>
      <c r="IB4" s="114"/>
      <c r="IC4" s="114"/>
      <c r="ID4" s="114"/>
      <c r="IE4" s="114"/>
      <c r="IF4" s="114"/>
      <c r="IG4" s="114"/>
      <c r="IH4" s="114"/>
      <c r="II4" s="114"/>
      <c r="IJ4" s="114"/>
      <c r="IK4" s="114"/>
      <c r="IL4" s="114"/>
      <c r="IM4" s="114"/>
      <c r="IN4" s="114"/>
      <c r="IO4" s="114"/>
      <c r="IP4" s="114"/>
      <c r="IQ4" s="114"/>
      <c r="IR4" s="114"/>
      <c r="IS4" s="114"/>
      <c r="IT4" s="114"/>
      <c r="IU4" s="114"/>
      <c r="IV4" s="114"/>
      <c r="IW4" s="114"/>
      <c r="IX4" s="114"/>
      <c r="IY4" s="114"/>
      <c r="IZ4" s="114"/>
      <c r="JA4" s="114"/>
      <c r="JB4" s="114"/>
      <c r="JC4" s="114"/>
      <c r="JD4" s="114"/>
      <c r="JE4" s="114"/>
      <c r="JF4" s="114"/>
      <c r="JG4" s="114"/>
      <c r="JH4" s="114"/>
      <c r="JI4" s="114"/>
      <c r="JJ4" s="114"/>
      <c r="JK4" s="114"/>
      <c r="JL4" s="114"/>
      <c r="JM4" s="114"/>
      <c r="JN4" s="114"/>
      <c r="JO4" s="114"/>
      <c r="JP4" s="114"/>
      <c r="JQ4" s="114"/>
      <c r="JR4" s="114"/>
      <c r="JS4" s="114"/>
      <c r="JT4" s="114"/>
      <c r="JU4" s="114"/>
      <c r="JV4" s="114"/>
      <c r="JW4" s="114"/>
      <c r="JX4" s="114"/>
      <c r="JY4" s="114"/>
      <c r="JZ4" s="114"/>
      <c r="KA4" s="114"/>
      <c r="KB4" s="114"/>
      <c r="KC4" s="114"/>
      <c r="KD4" s="114"/>
      <c r="KE4" s="114"/>
      <c r="KF4" s="114"/>
      <c r="KG4" s="114"/>
      <c r="KH4" s="114"/>
      <c r="KI4" s="114"/>
      <c r="KJ4" s="114"/>
      <c r="KK4" s="114"/>
      <c r="KL4" s="114"/>
      <c r="KM4" s="114"/>
      <c r="KN4" s="114"/>
      <c r="KO4" s="114"/>
      <c r="KP4" s="114"/>
      <c r="KQ4" s="114"/>
      <c r="KR4" s="114"/>
      <c r="KS4" s="114"/>
      <c r="KT4" s="114"/>
      <c r="KU4" s="114"/>
      <c r="KV4" s="114"/>
      <c r="KW4" s="114"/>
      <c r="KX4" s="114"/>
      <c r="KY4" s="114"/>
      <c r="KZ4" s="114"/>
      <c r="LA4" s="114"/>
      <c r="LB4" s="114"/>
      <c r="LC4" s="114"/>
      <c r="LD4" s="114"/>
      <c r="LE4" s="114"/>
      <c r="LF4" s="114"/>
      <c r="LG4" s="114"/>
      <c r="LH4" s="114"/>
      <c r="LI4" s="114"/>
      <c r="LJ4" s="114"/>
      <c r="LK4" s="114"/>
      <c r="LL4" s="114"/>
      <c r="LM4" s="114"/>
      <c r="LN4" s="114"/>
      <c r="LO4" s="114"/>
      <c r="LP4" s="114"/>
      <c r="LQ4" s="114"/>
      <c r="LR4" s="114"/>
      <c r="LS4" s="114"/>
      <c r="LT4" s="114"/>
      <c r="LU4" s="114"/>
      <c r="LV4" s="114"/>
      <c r="LW4" s="114"/>
      <c r="LX4" s="114"/>
      <c r="LY4" s="114"/>
      <c r="LZ4" s="114"/>
      <c r="MA4" s="114"/>
      <c r="MB4" s="114"/>
      <c r="MC4" s="114"/>
      <c r="MD4" s="114"/>
      <c r="ME4" s="114"/>
      <c r="MF4" s="114"/>
      <c r="MG4" s="114"/>
      <c r="MH4" s="114"/>
      <c r="MI4" s="114"/>
      <c r="MJ4" s="114"/>
      <c r="MK4" s="114"/>
      <c r="ML4" s="114"/>
      <c r="MM4" s="114"/>
      <c r="MN4" s="114"/>
      <c r="MO4" s="114"/>
      <c r="MP4" s="114"/>
      <c r="MQ4" s="114"/>
      <c r="MR4" s="114"/>
      <c r="MS4" s="114"/>
      <c r="MT4" s="114"/>
      <c r="MU4" s="114"/>
      <c r="MV4" s="114"/>
      <c r="MW4" s="114"/>
      <c r="MX4" s="114"/>
      <c r="MY4" s="114"/>
      <c r="MZ4" s="114"/>
      <c r="NA4" s="114"/>
      <c r="NB4" s="114"/>
      <c r="NC4" s="114"/>
      <c r="ND4" s="114"/>
      <c r="NE4" s="114"/>
      <c r="NF4" s="114"/>
      <c r="NG4" s="114"/>
      <c r="NH4" s="114"/>
      <c r="NI4" s="114"/>
      <c r="NJ4" s="114"/>
      <c r="NK4" s="114"/>
      <c r="NL4" s="114"/>
      <c r="NM4" s="114"/>
      <c r="NN4" s="114"/>
      <c r="NO4" s="114"/>
      <c r="NP4" s="114"/>
      <c r="NQ4" s="114"/>
      <c r="NR4" s="114"/>
      <c r="NS4" s="114"/>
      <c r="NT4" s="114"/>
      <c r="NU4" s="114"/>
      <c r="NV4" s="114"/>
      <c r="NW4" s="114"/>
      <c r="NX4" s="114"/>
      <c r="NY4" s="114"/>
      <c r="NZ4" s="114"/>
      <c r="OA4" s="114"/>
      <c r="OB4" s="114"/>
      <c r="OC4" s="114"/>
      <c r="OD4" s="114"/>
      <c r="OE4" s="114"/>
      <c r="OF4" s="114"/>
      <c r="OG4" s="114"/>
      <c r="OH4" s="114"/>
      <c r="OI4" s="114"/>
      <c r="OJ4" s="114"/>
      <c r="OK4" s="114"/>
      <c r="OL4" s="114"/>
      <c r="OM4" s="114"/>
      <c r="ON4" s="114"/>
      <c r="OO4" s="114"/>
      <c r="OP4" s="114"/>
      <c r="OQ4" s="114"/>
      <c r="OR4" s="114"/>
      <c r="OS4" s="114"/>
      <c r="OT4" s="114"/>
      <c r="OU4" s="114"/>
      <c r="OV4" s="114"/>
      <c r="OW4" s="114"/>
      <c r="OX4" s="114"/>
      <c r="OY4" s="114"/>
      <c r="OZ4" s="114"/>
      <c r="PA4" s="114"/>
      <c r="PB4" s="114"/>
      <c r="PC4" s="114"/>
      <c r="PD4" s="114"/>
      <c r="PE4" s="114"/>
      <c r="PF4" s="114"/>
      <c r="PG4" s="114"/>
      <c r="PH4" s="114"/>
      <c r="PI4" s="114"/>
      <c r="PJ4" s="114"/>
      <c r="PK4" s="114"/>
      <c r="PL4" s="114"/>
      <c r="PM4" s="114"/>
    </row>
    <row r="5" spans="1:429" ht="15.6" customHeight="1">
      <c r="B5" s="106" t="s">
        <v>746</v>
      </c>
      <c r="C5" s="71" t="s">
        <v>16</v>
      </c>
      <c r="D5" s="71" t="s">
        <v>39</v>
      </c>
      <c r="E5" s="72" t="s">
        <v>42</v>
      </c>
      <c r="F5" s="73" t="s">
        <v>746</v>
      </c>
      <c r="G5" s="41">
        <v>0.2</v>
      </c>
      <c r="H5" s="42"/>
      <c r="I5" s="74"/>
      <c r="J5" s="41"/>
      <c r="K5" s="42"/>
      <c r="L5" s="74"/>
      <c r="M5" s="42"/>
      <c r="N5" s="42"/>
      <c r="O5" s="42"/>
      <c r="P5" s="35">
        <v>2020</v>
      </c>
      <c r="Q5" s="36" t="s">
        <v>27</v>
      </c>
      <c r="R5" s="73" t="s">
        <v>24</v>
      </c>
    </row>
    <row r="6" spans="1:429" ht="15.6" customHeight="1">
      <c r="B6" s="107"/>
      <c r="C6" s="71" t="s">
        <v>76</v>
      </c>
      <c r="D6" s="71" t="s">
        <v>104</v>
      </c>
      <c r="E6" s="72" t="s">
        <v>110</v>
      </c>
      <c r="F6" s="73" t="s">
        <v>746</v>
      </c>
      <c r="G6" s="41">
        <v>0.3</v>
      </c>
      <c r="H6" s="42">
        <v>0.5</v>
      </c>
      <c r="I6" s="74">
        <v>0.1</v>
      </c>
      <c r="J6" s="41"/>
      <c r="K6" s="42"/>
      <c r="L6" s="74"/>
      <c r="M6" s="42"/>
      <c r="N6" s="42"/>
      <c r="O6" s="42"/>
      <c r="P6" s="35">
        <v>2016</v>
      </c>
      <c r="Q6" s="36" t="s">
        <v>79</v>
      </c>
      <c r="R6" s="73" t="s">
        <v>747</v>
      </c>
    </row>
    <row r="7" spans="1:429">
      <c r="B7" s="107"/>
      <c r="C7" s="71"/>
      <c r="D7" s="71"/>
      <c r="E7" s="72" t="s">
        <v>113</v>
      </c>
      <c r="F7" s="73" t="s">
        <v>746</v>
      </c>
      <c r="G7" s="41"/>
      <c r="H7" s="42"/>
      <c r="I7" s="74"/>
      <c r="J7" s="41">
        <v>1.1000000000000001</v>
      </c>
      <c r="K7" s="42">
        <v>1.5</v>
      </c>
      <c r="L7" s="74">
        <v>0.9</v>
      </c>
      <c r="M7" s="42"/>
      <c r="N7" s="42"/>
      <c r="O7" s="42"/>
      <c r="P7" s="35">
        <v>2019</v>
      </c>
      <c r="Q7" s="36" t="s">
        <v>748</v>
      </c>
      <c r="R7" s="73" t="s">
        <v>749</v>
      </c>
    </row>
    <row r="8" spans="1:429">
      <c r="B8" s="107"/>
      <c r="C8" s="71"/>
      <c r="D8" s="71"/>
      <c r="E8" s="72" t="s">
        <v>113</v>
      </c>
      <c r="F8" s="73" t="s">
        <v>746</v>
      </c>
      <c r="G8" s="41"/>
      <c r="H8" s="42"/>
      <c r="I8" s="74"/>
      <c r="J8" s="41">
        <v>1.6</v>
      </c>
      <c r="K8" s="42"/>
      <c r="L8" s="74"/>
      <c r="M8" s="42"/>
      <c r="N8" s="42"/>
      <c r="O8" s="42"/>
      <c r="P8" s="35">
        <v>2018</v>
      </c>
      <c r="Q8" s="36" t="s">
        <v>750</v>
      </c>
      <c r="R8" s="73" t="s">
        <v>749</v>
      </c>
    </row>
    <row r="9" spans="1:429">
      <c r="B9" s="107"/>
      <c r="C9" s="71"/>
      <c r="D9" s="71"/>
      <c r="E9" s="72" t="s">
        <v>113</v>
      </c>
      <c r="F9" s="73" t="s">
        <v>746</v>
      </c>
      <c r="G9" s="41"/>
      <c r="H9" s="42"/>
      <c r="I9" s="74"/>
      <c r="J9" s="41">
        <v>0.9</v>
      </c>
      <c r="K9" s="42"/>
      <c r="L9" s="74"/>
      <c r="M9" s="42"/>
      <c r="N9" s="42"/>
      <c r="O9" s="42"/>
      <c r="P9" s="35">
        <v>2017</v>
      </c>
      <c r="Q9" s="36" t="s">
        <v>750</v>
      </c>
      <c r="R9" s="73" t="s">
        <v>749</v>
      </c>
    </row>
    <row r="10" spans="1:429">
      <c r="B10" s="107"/>
      <c r="C10" s="71"/>
      <c r="D10" s="71"/>
      <c r="E10" s="72" t="s">
        <v>113</v>
      </c>
      <c r="F10" s="73" t="s">
        <v>746</v>
      </c>
      <c r="G10" s="41"/>
      <c r="H10" s="42"/>
      <c r="I10" s="74"/>
      <c r="J10" s="41">
        <v>1</v>
      </c>
      <c r="K10" s="42"/>
      <c r="L10" s="74"/>
      <c r="M10" s="42"/>
      <c r="N10" s="42"/>
      <c r="O10" s="42"/>
      <c r="P10" s="35">
        <v>2016</v>
      </c>
      <c r="Q10" s="36" t="s">
        <v>750</v>
      </c>
      <c r="R10" s="73" t="s">
        <v>749</v>
      </c>
    </row>
    <row r="11" spans="1:429">
      <c r="B11" s="107"/>
      <c r="C11" s="71"/>
      <c r="D11" s="71"/>
      <c r="E11" s="72" t="s">
        <v>113</v>
      </c>
      <c r="F11" s="73" t="s">
        <v>746</v>
      </c>
      <c r="G11" s="41"/>
      <c r="H11" s="42"/>
      <c r="I11" s="74"/>
      <c r="J11" s="41">
        <v>1.5</v>
      </c>
      <c r="K11" s="42"/>
      <c r="L11" s="74"/>
      <c r="M11" s="42"/>
      <c r="N11" s="42"/>
      <c r="O11" s="42"/>
      <c r="P11" s="35">
        <v>2015</v>
      </c>
      <c r="Q11" s="36" t="s">
        <v>750</v>
      </c>
      <c r="R11" s="73" t="s">
        <v>749</v>
      </c>
    </row>
    <row r="12" spans="1:429">
      <c r="B12" s="107"/>
      <c r="C12" s="71"/>
      <c r="D12" s="71"/>
      <c r="E12" s="72" t="s">
        <v>113</v>
      </c>
      <c r="F12" s="73" t="s">
        <v>746</v>
      </c>
      <c r="G12" s="41"/>
      <c r="H12" s="42"/>
      <c r="I12" s="74"/>
      <c r="J12" s="41">
        <v>3.2</v>
      </c>
      <c r="K12" s="42"/>
      <c r="L12" s="74"/>
      <c r="M12" s="42"/>
      <c r="N12" s="42"/>
      <c r="O12" s="42"/>
      <c r="P12" s="35">
        <v>2013</v>
      </c>
      <c r="Q12" s="36" t="s">
        <v>750</v>
      </c>
      <c r="R12" s="73" t="s">
        <v>749</v>
      </c>
    </row>
    <row r="13" spans="1:429">
      <c r="B13" s="107"/>
      <c r="C13" s="71"/>
      <c r="D13" s="71"/>
      <c r="E13" s="72" t="s">
        <v>113</v>
      </c>
      <c r="F13" s="73" t="s">
        <v>746</v>
      </c>
      <c r="G13" s="41"/>
      <c r="H13" s="42"/>
      <c r="I13" s="74"/>
      <c r="J13" s="41">
        <v>5.3</v>
      </c>
      <c r="K13" s="42"/>
      <c r="L13" s="74"/>
      <c r="M13" s="42"/>
      <c r="N13" s="42"/>
      <c r="O13" s="42"/>
      <c r="P13" s="35">
        <v>2012</v>
      </c>
      <c r="Q13" s="36" t="s">
        <v>750</v>
      </c>
      <c r="R13" s="73" t="s">
        <v>749</v>
      </c>
    </row>
    <row r="14" spans="1:429">
      <c r="B14" s="107"/>
      <c r="C14" s="71"/>
      <c r="D14" s="71"/>
      <c r="E14" s="72" t="s">
        <v>113</v>
      </c>
      <c r="F14" s="73" t="s">
        <v>746</v>
      </c>
      <c r="G14" s="41"/>
      <c r="H14" s="42"/>
      <c r="I14" s="74"/>
      <c r="J14" s="41">
        <v>6.5</v>
      </c>
      <c r="K14" s="42">
        <v>9.6</v>
      </c>
      <c r="L14" s="74">
        <v>4.5</v>
      </c>
      <c r="M14" s="42"/>
      <c r="N14" s="42"/>
      <c r="O14" s="42"/>
      <c r="P14" s="35">
        <v>2011</v>
      </c>
      <c r="Q14" s="36" t="s">
        <v>748</v>
      </c>
      <c r="R14" s="73" t="s">
        <v>751</v>
      </c>
    </row>
    <row r="15" spans="1:429">
      <c r="B15" s="107"/>
      <c r="C15" s="71"/>
      <c r="D15" s="71"/>
      <c r="E15" s="72" t="s">
        <v>113</v>
      </c>
      <c r="F15" s="73" t="s">
        <v>746</v>
      </c>
      <c r="G15" s="41"/>
      <c r="H15" s="42"/>
      <c r="I15" s="74"/>
      <c r="J15" s="41">
        <v>7.4</v>
      </c>
      <c r="K15" s="42"/>
      <c r="L15" s="74"/>
      <c r="M15" s="42"/>
      <c r="N15" s="42"/>
      <c r="O15" s="42"/>
      <c r="P15" s="35">
        <v>2011</v>
      </c>
      <c r="Q15" s="36" t="s">
        <v>750</v>
      </c>
      <c r="R15" s="73" t="s">
        <v>749</v>
      </c>
    </row>
    <row r="16" spans="1:429">
      <c r="B16" s="107"/>
      <c r="C16" s="71"/>
      <c r="D16" s="71" t="s">
        <v>752</v>
      </c>
      <c r="E16" s="72" t="s">
        <v>93</v>
      </c>
      <c r="F16" s="73" t="s">
        <v>746</v>
      </c>
      <c r="G16" s="41"/>
      <c r="H16" s="42"/>
      <c r="I16" s="74"/>
      <c r="J16" s="41">
        <v>1.6</v>
      </c>
      <c r="K16" s="42"/>
      <c r="L16" s="74"/>
      <c r="M16" s="42"/>
      <c r="N16" s="42"/>
      <c r="O16" s="42"/>
      <c r="P16" s="35">
        <v>2018</v>
      </c>
      <c r="Q16" s="36" t="s">
        <v>750</v>
      </c>
      <c r="R16" s="73" t="s">
        <v>753</v>
      </c>
    </row>
    <row r="17" spans="1:429">
      <c r="B17" s="107"/>
      <c r="C17" s="71"/>
      <c r="D17" s="71"/>
      <c r="E17" s="72" t="s">
        <v>93</v>
      </c>
      <c r="F17" s="73" t="s">
        <v>746</v>
      </c>
      <c r="G17" s="41"/>
      <c r="H17" s="42"/>
      <c r="I17" s="74"/>
      <c r="J17" s="41">
        <v>1.4</v>
      </c>
      <c r="K17" s="42">
        <v>1.4</v>
      </c>
      <c r="L17" s="74">
        <v>1.3</v>
      </c>
      <c r="M17" s="42"/>
      <c r="N17" s="42"/>
      <c r="O17" s="42"/>
      <c r="P17" s="35">
        <v>2018</v>
      </c>
      <c r="Q17" s="36" t="s">
        <v>748</v>
      </c>
      <c r="R17" s="73" t="s">
        <v>753</v>
      </c>
    </row>
    <row r="18" spans="1:429">
      <c r="B18" s="107"/>
      <c r="C18" s="71"/>
      <c r="D18" s="71"/>
      <c r="E18" s="72" t="s">
        <v>93</v>
      </c>
      <c r="F18" s="73" t="s">
        <v>746</v>
      </c>
      <c r="G18" s="41"/>
      <c r="H18" s="42"/>
      <c r="I18" s="74"/>
      <c r="J18" s="41">
        <v>0.9</v>
      </c>
      <c r="K18" s="42">
        <v>0.8</v>
      </c>
      <c r="L18" s="74">
        <v>0.9</v>
      </c>
      <c r="M18" s="42">
        <v>0.3</v>
      </c>
      <c r="N18" s="42">
        <v>0.7</v>
      </c>
      <c r="O18" s="42">
        <v>0.1</v>
      </c>
      <c r="P18" s="35">
        <v>2016</v>
      </c>
      <c r="Q18" s="36" t="s">
        <v>748</v>
      </c>
      <c r="R18" s="73" t="s">
        <v>754</v>
      </c>
    </row>
    <row r="19" spans="1:429">
      <c r="B19" s="107"/>
      <c r="C19" s="71"/>
      <c r="D19" s="71"/>
      <c r="E19" s="72" t="s">
        <v>93</v>
      </c>
      <c r="F19" s="73" t="s">
        <v>746</v>
      </c>
      <c r="G19" s="41">
        <v>0.01</v>
      </c>
      <c r="H19" s="42">
        <v>0.01</v>
      </c>
      <c r="I19" s="74">
        <v>0</v>
      </c>
      <c r="J19" s="41">
        <v>0</v>
      </c>
      <c r="K19" s="42">
        <v>0</v>
      </c>
      <c r="L19" s="74">
        <v>0</v>
      </c>
      <c r="M19" s="42">
        <v>0</v>
      </c>
      <c r="N19" s="42">
        <v>0</v>
      </c>
      <c r="O19" s="42">
        <v>0</v>
      </c>
      <c r="P19" s="35">
        <v>2015</v>
      </c>
      <c r="Q19" s="36" t="s">
        <v>748</v>
      </c>
      <c r="R19" s="73" t="s">
        <v>755</v>
      </c>
    </row>
    <row r="20" spans="1:429">
      <c r="B20" s="107"/>
      <c r="C20" s="71"/>
      <c r="D20" s="71"/>
      <c r="E20" s="72" t="s">
        <v>93</v>
      </c>
      <c r="F20" s="73" t="s">
        <v>746</v>
      </c>
      <c r="G20" s="41">
        <v>2E-3</v>
      </c>
      <c r="H20" s="42">
        <v>4.0000000000000001E-3</v>
      </c>
      <c r="I20" s="74">
        <v>0</v>
      </c>
      <c r="J20" s="41">
        <v>0</v>
      </c>
      <c r="K20" s="42">
        <v>0</v>
      </c>
      <c r="L20" s="74">
        <v>0</v>
      </c>
      <c r="M20" s="42">
        <v>0</v>
      </c>
      <c r="N20" s="42">
        <v>0</v>
      </c>
      <c r="O20" s="42">
        <v>0</v>
      </c>
      <c r="P20" s="35">
        <v>2015</v>
      </c>
      <c r="Q20" s="36" t="s">
        <v>27</v>
      </c>
      <c r="R20" s="73" t="s">
        <v>24</v>
      </c>
    </row>
    <row r="21" spans="1:429" s="48" customFormat="1">
      <c r="A21" s="113"/>
      <c r="B21" s="107"/>
      <c r="C21" s="71"/>
      <c r="D21" s="71" t="s">
        <v>117</v>
      </c>
      <c r="E21" s="72" t="s">
        <v>126</v>
      </c>
      <c r="F21" s="73" t="s">
        <v>746</v>
      </c>
      <c r="G21" s="41">
        <v>1.55</v>
      </c>
      <c r="H21" s="42">
        <v>1.71</v>
      </c>
      <c r="I21" s="74">
        <v>1.4</v>
      </c>
      <c r="J21" s="41">
        <v>0.36</v>
      </c>
      <c r="K21" s="42">
        <v>0.46</v>
      </c>
      <c r="L21" s="74">
        <v>0.27</v>
      </c>
      <c r="M21" s="42">
        <v>0.13</v>
      </c>
      <c r="N21" s="42">
        <v>0.12</v>
      </c>
      <c r="O21" s="42">
        <v>0.14000000000000001</v>
      </c>
      <c r="P21" s="35">
        <v>2023</v>
      </c>
      <c r="Q21" s="36" t="s">
        <v>27</v>
      </c>
      <c r="R21" s="73" t="s">
        <v>756</v>
      </c>
      <c r="S21" s="113"/>
      <c r="T21" s="113"/>
      <c r="U21" s="113"/>
      <c r="V21" s="113"/>
      <c r="W21" s="113"/>
      <c r="X21" s="113"/>
      <c r="Y21" s="113"/>
      <c r="Z21" s="113"/>
      <c r="AA21" s="113"/>
      <c r="AB21" s="113"/>
      <c r="AC21" s="113"/>
      <c r="AD21" s="113"/>
      <c r="AE21" s="113"/>
      <c r="AF21" s="113"/>
      <c r="AG21" s="113"/>
      <c r="AH21" s="113"/>
      <c r="AI21" s="113"/>
      <c r="AJ21" s="113"/>
      <c r="AK21" s="113"/>
      <c r="AL21" s="113"/>
      <c r="AM21" s="113"/>
      <c r="AN21" s="113"/>
      <c r="AO21" s="113"/>
      <c r="AP21" s="113"/>
      <c r="AQ21" s="113"/>
      <c r="AR21" s="113"/>
      <c r="AS21" s="113"/>
      <c r="AT21" s="113"/>
      <c r="AU21" s="113"/>
      <c r="AV21" s="113"/>
      <c r="AW21" s="113"/>
      <c r="AX21" s="113"/>
      <c r="AY21" s="113"/>
      <c r="AZ21" s="113"/>
      <c r="BA21" s="113"/>
      <c r="BB21" s="113"/>
      <c r="BC21" s="113"/>
      <c r="BD21" s="113"/>
      <c r="BE21" s="113"/>
      <c r="BF21" s="113"/>
      <c r="BG21" s="113"/>
      <c r="BH21" s="113"/>
      <c r="BI21" s="113"/>
      <c r="BJ21" s="113"/>
      <c r="BK21" s="113"/>
      <c r="BL21" s="113"/>
      <c r="BM21" s="113"/>
      <c r="BN21" s="113"/>
      <c r="BO21" s="113"/>
      <c r="BP21" s="113"/>
      <c r="BQ21" s="113"/>
      <c r="BR21" s="113"/>
      <c r="BS21" s="113"/>
      <c r="BT21" s="113"/>
      <c r="BU21" s="113"/>
      <c r="BV21" s="113"/>
      <c r="BW21" s="113"/>
      <c r="BX21" s="113"/>
      <c r="BY21" s="113"/>
      <c r="BZ21" s="113"/>
      <c r="CA21" s="113"/>
      <c r="CB21" s="113"/>
      <c r="CC21" s="113"/>
      <c r="CD21" s="113"/>
      <c r="CE21" s="113"/>
      <c r="CF21" s="113"/>
      <c r="CG21" s="113"/>
      <c r="CH21" s="113"/>
      <c r="CI21" s="113"/>
      <c r="CJ21" s="113"/>
      <c r="CK21" s="113"/>
      <c r="CL21" s="113"/>
      <c r="CM21" s="113"/>
      <c r="CN21" s="113"/>
      <c r="CO21" s="113"/>
      <c r="CP21" s="113"/>
      <c r="CQ21" s="113"/>
      <c r="CR21" s="113"/>
      <c r="CS21" s="113"/>
      <c r="CT21" s="113"/>
      <c r="CU21" s="113"/>
      <c r="CV21" s="113"/>
      <c r="CW21" s="113"/>
      <c r="CX21" s="113"/>
      <c r="CY21" s="113"/>
      <c r="CZ21" s="113"/>
      <c r="DA21" s="113"/>
      <c r="DB21" s="113"/>
      <c r="DC21" s="113"/>
      <c r="DD21" s="113"/>
      <c r="DE21" s="113"/>
      <c r="DF21" s="113"/>
      <c r="DG21" s="113"/>
      <c r="DH21" s="113"/>
      <c r="DI21" s="113"/>
      <c r="DJ21" s="113"/>
      <c r="DK21" s="113"/>
      <c r="DL21" s="113"/>
      <c r="DM21" s="113"/>
      <c r="DN21" s="113"/>
      <c r="DO21" s="113"/>
      <c r="DP21" s="113"/>
      <c r="DQ21" s="113"/>
      <c r="DR21" s="113"/>
      <c r="DS21" s="113"/>
      <c r="DT21" s="113"/>
      <c r="DU21" s="113"/>
      <c r="DV21" s="113"/>
      <c r="DW21" s="113"/>
      <c r="DX21" s="113"/>
      <c r="DY21" s="113"/>
      <c r="DZ21" s="113"/>
      <c r="EA21" s="113"/>
      <c r="EB21" s="113"/>
      <c r="EC21" s="113"/>
      <c r="ED21" s="113"/>
      <c r="EE21" s="113"/>
      <c r="EF21" s="113"/>
      <c r="EG21" s="113"/>
      <c r="EH21" s="113"/>
      <c r="EI21" s="113"/>
      <c r="EJ21" s="113"/>
      <c r="EK21" s="113"/>
      <c r="EL21" s="113"/>
      <c r="EM21" s="113"/>
      <c r="EN21" s="113"/>
      <c r="EO21" s="113"/>
      <c r="EP21" s="113"/>
      <c r="EQ21" s="113"/>
      <c r="ER21" s="113"/>
      <c r="ES21" s="113"/>
      <c r="ET21" s="113"/>
      <c r="EU21" s="113"/>
      <c r="EV21" s="113"/>
      <c r="EW21" s="113"/>
      <c r="EX21" s="113"/>
      <c r="EY21" s="113"/>
      <c r="EZ21" s="113"/>
      <c r="FA21" s="113"/>
      <c r="FB21" s="113"/>
      <c r="FC21" s="113"/>
      <c r="FD21" s="113"/>
      <c r="FE21" s="113"/>
      <c r="FF21" s="113"/>
      <c r="FG21" s="113"/>
      <c r="FH21" s="113"/>
      <c r="FI21" s="113"/>
      <c r="FJ21" s="113"/>
      <c r="FK21" s="113"/>
      <c r="FL21" s="113"/>
      <c r="FM21" s="113"/>
      <c r="FN21" s="113"/>
      <c r="FO21" s="113"/>
      <c r="FP21" s="113"/>
      <c r="FQ21" s="113"/>
      <c r="FR21" s="113"/>
      <c r="FS21" s="113"/>
      <c r="FT21" s="113"/>
      <c r="FU21" s="113"/>
      <c r="FV21" s="113"/>
      <c r="FW21" s="113"/>
      <c r="FX21" s="113"/>
      <c r="FY21" s="113"/>
      <c r="FZ21" s="113"/>
      <c r="GA21" s="113"/>
      <c r="GB21" s="113"/>
      <c r="GC21" s="113"/>
      <c r="GD21" s="113"/>
      <c r="GE21" s="113"/>
      <c r="GF21" s="113"/>
      <c r="GG21" s="113"/>
      <c r="GH21" s="113"/>
      <c r="GI21" s="113"/>
      <c r="GJ21" s="113"/>
      <c r="GK21" s="113"/>
      <c r="GL21" s="113"/>
      <c r="GM21" s="113"/>
      <c r="GN21" s="113"/>
      <c r="GO21" s="113"/>
      <c r="GP21" s="113"/>
      <c r="GQ21" s="113"/>
      <c r="GR21" s="113"/>
      <c r="GS21" s="113"/>
      <c r="GT21" s="113"/>
      <c r="GU21" s="113"/>
      <c r="GV21" s="113"/>
      <c r="GW21" s="113"/>
      <c r="GX21" s="113"/>
      <c r="GY21" s="113"/>
      <c r="GZ21" s="113"/>
      <c r="HA21" s="113"/>
      <c r="HB21" s="113"/>
      <c r="HC21" s="113"/>
      <c r="HD21" s="113"/>
      <c r="HE21" s="113"/>
      <c r="HF21" s="113"/>
      <c r="HG21" s="113"/>
      <c r="HH21" s="113"/>
      <c r="HI21" s="113"/>
      <c r="HJ21" s="113"/>
      <c r="HK21" s="113"/>
      <c r="HL21" s="113"/>
      <c r="HM21" s="113"/>
      <c r="HN21" s="113"/>
      <c r="HO21" s="113"/>
      <c r="HP21" s="113"/>
      <c r="HQ21" s="113"/>
      <c r="HR21" s="113"/>
      <c r="HS21" s="113"/>
      <c r="HT21" s="113"/>
      <c r="HU21" s="113"/>
      <c r="HV21" s="113"/>
      <c r="HW21" s="113"/>
      <c r="HX21" s="113"/>
      <c r="HY21" s="113"/>
      <c r="HZ21" s="113"/>
      <c r="IA21" s="113"/>
      <c r="IB21" s="113"/>
      <c r="IC21" s="113"/>
      <c r="ID21" s="113"/>
      <c r="IE21" s="113"/>
      <c r="IF21" s="113"/>
      <c r="IG21" s="113"/>
      <c r="IH21" s="113"/>
      <c r="II21" s="113"/>
      <c r="IJ21" s="113"/>
      <c r="IK21" s="113"/>
      <c r="IL21" s="113"/>
      <c r="IM21" s="113"/>
      <c r="IN21" s="113"/>
      <c r="IO21" s="113"/>
      <c r="IP21" s="113"/>
      <c r="IQ21" s="113"/>
      <c r="IR21" s="113"/>
      <c r="IS21" s="113"/>
      <c r="IT21" s="113"/>
      <c r="IU21" s="113"/>
      <c r="IV21" s="113"/>
      <c r="IW21" s="113"/>
      <c r="IX21" s="113"/>
      <c r="IY21" s="113"/>
      <c r="IZ21" s="113"/>
      <c r="JA21" s="113"/>
      <c r="JB21" s="113"/>
      <c r="JC21" s="113"/>
      <c r="JD21" s="113"/>
      <c r="JE21" s="113"/>
      <c r="JF21" s="113"/>
      <c r="JG21" s="113"/>
      <c r="JH21" s="113"/>
      <c r="JI21" s="113"/>
      <c r="JJ21" s="113"/>
      <c r="JK21" s="113"/>
      <c r="JL21" s="113"/>
      <c r="JM21" s="113"/>
      <c r="JN21" s="113"/>
      <c r="JO21" s="113"/>
      <c r="JP21" s="113"/>
      <c r="JQ21" s="113"/>
      <c r="JR21" s="113"/>
      <c r="JS21" s="113"/>
      <c r="JT21" s="113"/>
      <c r="JU21" s="113"/>
      <c r="JV21" s="113"/>
      <c r="JW21" s="113"/>
      <c r="JX21" s="113"/>
      <c r="JY21" s="113"/>
      <c r="JZ21" s="113"/>
      <c r="KA21" s="113"/>
      <c r="KB21" s="113"/>
      <c r="KC21" s="113"/>
      <c r="KD21" s="113"/>
      <c r="KE21" s="113"/>
      <c r="KF21" s="113"/>
      <c r="KG21" s="113"/>
      <c r="KH21" s="113"/>
      <c r="KI21" s="113"/>
      <c r="KJ21" s="113"/>
      <c r="KK21" s="113"/>
      <c r="KL21" s="113"/>
      <c r="KM21" s="113"/>
      <c r="KN21" s="113"/>
      <c r="KO21" s="113"/>
      <c r="KP21" s="113"/>
      <c r="KQ21" s="113"/>
      <c r="KR21" s="113"/>
      <c r="KS21" s="113"/>
      <c r="KT21" s="113"/>
      <c r="KU21" s="113"/>
      <c r="KV21" s="113"/>
      <c r="KW21" s="113"/>
      <c r="KX21" s="113"/>
      <c r="KY21" s="113"/>
      <c r="KZ21" s="113"/>
      <c r="LA21" s="113"/>
      <c r="LB21" s="113"/>
      <c r="LC21" s="113"/>
      <c r="LD21" s="113"/>
      <c r="LE21" s="113"/>
      <c r="LF21" s="113"/>
      <c r="LG21" s="113"/>
      <c r="LH21" s="113"/>
      <c r="LI21" s="113"/>
      <c r="LJ21" s="113"/>
      <c r="LK21" s="113"/>
      <c r="LL21" s="113"/>
      <c r="LM21" s="113"/>
      <c r="LN21" s="113"/>
      <c r="LO21" s="113"/>
      <c r="LP21" s="113"/>
      <c r="LQ21" s="113"/>
      <c r="LR21" s="113"/>
      <c r="LS21" s="113"/>
      <c r="LT21" s="113"/>
      <c r="LU21" s="113"/>
      <c r="LV21" s="113"/>
      <c r="LW21" s="113"/>
      <c r="LX21" s="113"/>
      <c r="LY21" s="113"/>
      <c r="LZ21" s="113"/>
      <c r="MA21" s="113"/>
      <c r="MB21" s="113"/>
      <c r="MC21" s="113"/>
      <c r="MD21" s="113"/>
      <c r="ME21" s="113"/>
      <c r="MF21" s="113"/>
      <c r="MG21" s="113"/>
      <c r="MH21" s="113"/>
      <c r="MI21" s="113"/>
      <c r="MJ21" s="113"/>
      <c r="MK21" s="113"/>
      <c r="ML21" s="113"/>
      <c r="MM21" s="113"/>
      <c r="MN21" s="113"/>
      <c r="MO21" s="113"/>
      <c r="MP21" s="113"/>
      <c r="MQ21" s="113"/>
      <c r="MR21" s="113"/>
      <c r="MS21" s="113"/>
      <c r="MT21" s="113"/>
      <c r="MU21" s="113"/>
      <c r="MV21" s="113"/>
      <c r="MW21" s="113"/>
      <c r="MX21" s="113"/>
      <c r="MY21" s="113"/>
      <c r="MZ21" s="113"/>
      <c r="NA21" s="113"/>
      <c r="NB21" s="113"/>
      <c r="NC21" s="113"/>
      <c r="ND21" s="113"/>
      <c r="NE21" s="113"/>
      <c r="NF21" s="113"/>
      <c r="NG21" s="113"/>
      <c r="NH21" s="113"/>
      <c r="NI21" s="113"/>
      <c r="NJ21" s="113"/>
      <c r="NK21" s="113"/>
      <c r="NL21" s="113"/>
      <c r="NM21" s="113"/>
      <c r="NN21" s="113"/>
      <c r="NO21" s="113"/>
      <c r="NP21" s="113"/>
      <c r="NQ21" s="113"/>
      <c r="NR21" s="113"/>
      <c r="NS21" s="113"/>
      <c r="NT21" s="113"/>
      <c r="NU21" s="113"/>
      <c r="NV21" s="113"/>
      <c r="NW21" s="113"/>
      <c r="NX21" s="113"/>
      <c r="NY21" s="113"/>
      <c r="NZ21" s="113"/>
      <c r="OA21" s="113"/>
      <c r="OB21" s="113"/>
      <c r="OC21" s="113"/>
      <c r="OD21" s="113"/>
      <c r="OE21" s="113"/>
      <c r="OF21" s="113"/>
      <c r="OG21" s="113"/>
      <c r="OH21" s="113"/>
      <c r="OI21" s="113"/>
      <c r="OJ21" s="113"/>
      <c r="OK21" s="113"/>
      <c r="OL21" s="113"/>
      <c r="OM21" s="113"/>
      <c r="ON21" s="113"/>
      <c r="OO21" s="113"/>
      <c r="OP21" s="113"/>
      <c r="OQ21" s="113"/>
      <c r="OR21" s="113"/>
      <c r="OS21" s="113"/>
      <c r="OT21" s="113"/>
      <c r="OU21" s="113"/>
      <c r="OV21" s="113"/>
      <c r="OW21" s="113"/>
      <c r="OX21" s="113"/>
      <c r="OY21" s="113"/>
      <c r="OZ21" s="113"/>
      <c r="PA21" s="113"/>
      <c r="PB21" s="113"/>
      <c r="PC21" s="113"/>
      <c r="PD21" s="113"/>
      <c r="PE21" s="113"/>
      <c r="PF21" s="113"/>
      <c r="PG21" s="113"/>
      <c r="PH21" s="113"/>
      <c r="PI21" s="113"/>
      <c r="PJ21" s="113"/>
      <c r="PK21" s="113"/>
      <c r="PL21" s="113"/>
      <c r="PM21" s="113"/>
    </row>
    <row r="22" spans="1:429">
      <c r="B22" s="107"/>
      <c r="C22" s="71"/>
      <c r="D22" s="71"/>
      <c r="E22" s="72" t="s">
        <v>126</v>
      </c>
      <c r="F22" s="73" t="s">
        <v>746</v>
      </c>
      <c r="G22" s="41">
        <v>1.97</v>
      </c>
      <c r="H22" s="42">
        <v>2.34</v>
      </c>
      <c r="I22" s="74">
        <v>1.6</v>
      </c>
      <c r="J22" s="41">
        <v>0.6</v>
      </c>
      <c r="K22" s="42">
        <v>0.85</v>
      </c>
      <c r="L22" s="74">
        <v>0.36</v>
      </c>
      <c r="M22" s="42">
        <v>0.37</v>
      </c>
      <c r="N22" s="42">
        <v>0.54</v>
      </c>
      <c r="O22" s="42">
        <v>0.21</v>
      </c>
      <c r="P22" s="35">
        <v>2020</v>
      </c>
      <c r="Q22" s="36" t="s">
        <v>27</v>
      </c>
      <c r="R22" s="73" t="s">
        <v>24</v>
      </c>
    </row>
    <row r="23" spans="1:429" ht="15.75" customHeight="1">
      <c r="B23" s="107"/>
      <c r="C23" s="71"/>
      <c r="D23" s="71"/>
      <c r="E23" s="72" t="s">
        <v>126</v>
      </c>
      <c r="F23" s="73" t="s">
        <v>746</v>
      </c>
      <c r="G23" s="41">
        <v>3.64</v>
      </c>
      <c r="H23" s="42">
        <v>4.9000000000000004</v>
      </c>
      <c r="I23" s="74">
        <v>2.39</v>
      </c>
      <c r="J23" s="41">
        <v>1.1399999999999999</v>
      </c>
      <c r="K23" s="42">
        <v>1.75</v>
      </c>
      <c r="L23" s="74">
        <v>0.53</v>
      </c>
      <c r="M23" s="42">
        <v>0.76</v>
      </c>
      <c r="N23" s="42">
        <v>1.17</v>
      </c>
      <c r="O23" s="42">
        <v>0.35</v>
      </c>
      <c r="P23" s="35">
        <v>2018</v>
      </c>
      <c r="Q23" s="36" t="s">
        <v>27</v>
      </c>
      <c r="R23" s="73" t="s">
        <v>757</v>
      </c>
    </row>
    <row r="24" spans="1:429">
      <c r="B24" s="107"/>
      <c r="C24" s="71"/>
      <c r="D24" s="71"/>
      <c r="E24" s="72" t="s">
        <v>126</v>
      </c>
      <c r="F24" s="73" t="s">
        <v>746</v>
      </c>
      <c r="G24" s="41">
        <v>2.5</v>
      </c>
      <c r="H24" s="42">
        <v>3.4</v>
      </c>
      <c r="I24" s="74">
        <v>1.6</v>
      </c>
      <c r="J24" s="41">
        <v>1.08</v>
      </c>
      <c r="K24" s="42">
        <v>1.4</v>
      </c>
      <c r="L24" s="74">
        <v>0.64</v>
      </c>
      <c r="M24" s="42">
        <v>0.7</v>
      </c>
      <c r="N24" s="42">
        <v>0.9</v>
      </c>
      <c r="O24" s="42">
        <v>0.5</v>
      </c>
      <c r="P24" s="35">
        <v>2016</v>
      </c>
      <c r="Q24" s="36" t="s">
        <v>159</v>
      </c>
      <c r="R24" s="73" t="s">
        <v>758</v>
      </c>
    </row>
    <row r="25" spans="1:429">
      <c r="B25" s="107"/>
      <c r="C25" s="71"/>
      <c r="D25" s="71"/>
      <c r="E25" s="72" t="s">
        <v>126</v>
      </c>
      <c r="F25" s="73" t="s">
        <v>746</v>
      </c>
      <c r="G25" s="41">
        <v>1.59</v>
      </c>
      <c r="H25" s="42">
        <v>1.82</v>
      </c>
      <c r="I25" s="74">
        <v>1.37</v>
      </c>
      <c r="J25" s="41">
        <v>0.56000000000000005</v>
      </c>
      <c r="K25" s="42">
        <v>0.75</v>
      </c>
      <c r="L25" s="74">
        <v>0.37</v>
      </c>
      <c r="M25" s="42">
        <v>0.3</v>
      </c>
      <c r="N25" s="42">
        <v>0.4</v>
      </c>
      <c r="O25" s="42">
        <v>0.1</v>
      </c>
      <c r="P25" s="35">
        <v>2014</v>
      </c>
      <c r="Q25" s="36" t="s">
        <v>159</v>
      </c>
      <c r="R25" s="73" t="s">
        <v>759</v>
      </c>
    </row>
    <row r="26" spans="1:429">
      <c r="B26" s="107"/>
      <c r="C26" s="71" t="s">
        <v>139</v>
      </c>
      <c r="D26" s="71" t="s">
        <v>140</v>
      </c>
      <c r="E26" s="72" t="s">
        <v>149</v>
      </c>
      <c r="F26" s="73" t="s">
        <v>746</v>
      </c>
      <c r="G26" s="41">
        <v>1.8</v>
      </c>
      <c r="H26" s="42">
        <v>2.9</v>
      </c>
      <c r="I26" s="74">
        <v>0.8</v>
      </c>
      <c r="J26" s="41">
        <v>0.5</v>
      </c>
      <c r="K26" s="42">
        <v>0.8</v>
      </c>
      <c r="L26" s="74">
        <v>0.2</v>
      </c>
      <c r="M26" s="42"/>
      <c r="N26" s="42"/>
      <c r="O26" s="42"/>
      <c r="P26" s="35">
        <v>2021</v>
      </c>
      <c r="Q26" s="36" t="s">
        <v>27</v>
      </c>
      <c r="R26" s="73" t="s">
        <v>24</v>
      </c>
    </row>
    <row r="27" spans="1:429">
      <c r="B27" s="107"/>
      <c r="C27" s="71" t="s">
        <v>231</v>
      </c>
      <c r="D27" s="71" t="s">
        <v>760</v>
      </c>
      <c r="E27" s="72" t="s">
        <v>247</v>
      </c>
      <c r="F27" s="73" t="s">
        <v>746</v>
      </c>
      <c r="G27" s="41">
        <v>0.6</v>
      </c>
      <c r="H27" s="42">
        <v>0.5</v>
      </c>
      <c r="I27" s="74">
        <v>0.6</v>
      </c>
      <c r="J27" s="41">
        <v>0.1</v>
      </c>
      <c r="K27" s="42">
        <v>0.2</v>
      </c>
      <c r="L27" s="74"/>
      <c r="M27" s="42"/>
      <c r="N27" s="42"/>
      <c r="O27" s="42"/>
      <c r="P27" s="35">
        <v>2020</v>
      </c>
      <c r="Q27" s="36" t="s">
        <v>27</v>
      </c>
      <c r="R27" s="73" t="s">
        <v>24</v>
      </c>
    </row>
    <row r="28" spans="1:429">
      <c r="B28" s="107"/>
      <c r="C28" s="71"/>
      <c r="D28" s="71"/>
      <c r="E28" s="72" t="s">
        <v>248</v>
      </c>
      <c r="F28" s="73" t="s">
        <v>761</v>
      </c>
      <c r="G28" s="41">
        <v>1.1000000000000001</v>
      </c>
      <c r="H28" s="42"/>
      <c r="I28" s="74"/>
      <c r="J28" s="41"/>
      <c r="K28" s="42"/>
      <c r="L28" s="74"/>
      <c r="M28" s="42">
        <v>1.1000000000000001</v>
      </c>
      <c r="N28" s="42"/>
      <c r="O28" s="42"/>
      <c r="P28" s="35" t="s">
        <v>762</v>
      </c>
      <c r="Q28" s="36"/>
      <c r="R28" s="73" t="s">
        <v>763</v>
      </c>
    </row>
    <row r="29" spans="1:429">
      <c r="B29" s="107"/>
      <c r="C29" s="71"/>
      <c r="D29" s="71"/>
      <c r="E29" s="72" t="s">
        <v>256</v>
      </c>
      <c r="F29" s="73" t="s">
        <v>746</v>
      </c>
      <c r="G29" s="41">
        <v>0.42</v>
      </c>
      <c r="H29" s="42">
        <v>0.84</v>
      </c>
      <c r="I29" s="74">
        <v>0.03</v>
      </c>
      <c r="J29" s="41">
        <v>0.16</v>
      </c>
      <c r="K29" s="42">
        <v>0.34</v>
      </c>
      <c r="L29" s="74"/>
      <c r="M29" s="42">
        <v>0.14000000000000001</v>
      </c>
      <c r="N29" s="42">
        <v>0.28999999999999998</v>
      </c>
      <c r="O29" s="42"/>
      <c r="P29" s="35">
        <v>2018</v>
      </c>
      <c r="Q29" s="36" t="s">
        <v>27</v>
      </c>
      <c r="R29" s="73" t="s">
        <v>24</v>
      </c>
    </row>
    <row r="30" spans="1:429">
      <c r="B30" s="107"/>
      <c r="C30" s="71"/>
      <c r="D30" s="71" t="s">
        <v>257</v>
      </c>
      <c r="E30" s="72" t="s">
        <v>267</v>
      </c>
      <c r="F30" s="73" t="s">
        <v>746</v>
      </c>
      <c r="G30" s="41"/>
      <c r="H30" s="42"/>
      <c r="I30" s="74"/>
      <c r="J30" s="41"/>
      <c r="K30" s="42"/>
      <c r="L30" s="74"/>
      <c r="M30" s="42">
        <v>0</v>
      </c>
      <c r="N30" s="42">
        <v>0</v>
      </c>
      <c r="O30" s="42">
        <v>0.01</v>
      </c>
      <c r="P30" s="35">
        <v>2020</v>
      </c>
      <c r="Q30" s="36" t="s">
        <v>27</v>
      </c>
      <c r="R30" s="73" t="s">
        <v>24</v>
      </c>
    </row>
    <row r="31" spans="1:429">
      <c r="B31" s="107"/>
      <c r="C31" s="71"/>
      <c r="D31" s="71"/>
      <c r="E31" s="72" t="s">
        <v>269</v>
      </c>
      <c r="F31" s="73" t="s">
        <v>746</v>
      </c>
      <c r="G31" s="41">
        <v>1.3</v>
      </c>
      <c r="H31" s="42">
        <v>1.7</v>
      </c>
      <c r="I31" s="74">
        <v>0.8</v>
      </c>
      <c r="J31" s="41"/>
      <c r="K31" s="42"/>
      <c r="L31" s="74"/>
      <c r="M31" s="42"/>
      <c r="N31" s="42"/>
      <c r="O31" s="42"/>
      <c r="P31" s="35">
        <v>2017</v>
      </c>
      <c r="Q31" s="36" t="s">
        <v>27</v>
      </c>
      <c r="R31" s="73" t="s">
        <v>24</v>
      </c>
    </row>
    <row r="32" spans="1:429">
      <c r="B32" s="107"/>
      <c r="C32" s="71"/>
      <c r="D32" s="71"/>
      <c r="E32" s="72" t="s">
        <v>269</v>
      </c>
      <c r="F32" s="73" t="s">
        <v>746</v>
      </c>
      <c r="G32" s="41">
        <v>1.7</v>
      </c>
      <c r="H32" s="42">
        <v>2.2999999999999998</v>
      </c>
      <c r="I32" s="74">
        <v>1.2</v>
      </c>
      <c r="J32" s="41"/>
      <c r="K32" s="42"/>
      <c r="L32" s="74"/>
      <c r="M32" s="42"/>
      <c r="N32" s="42"/>
      <c r="O32" s="42"/>
      <c r="P32" s="35">
        <v>2014</v>
      </c>
      <c r="Q32" s="36" t="s">
        <v>27</v>
      </c>
      <c r="R32" s="73" t="s">
        <v>24</v>
      </c>
    </row>
    <row r="33" spans="1:429">
      <c r="B33" s="107"/>
      <c r="C33" s="71"/>
      <c r="D33" s="71"/>
      <c r="E33" s="72" t="s">
        <v>270</v>
      </c>
      <c r="F33" s="73" t="s">
        <v>746</v>
      </c>
      <c r="G33" s="41">
        <v>0.6</v>
      </c>
      <c r="H33" s="42">
        <v>0.9</v>
      </c>
      <c r="I33" s="74">
        <v>0.3</v>
      </c>
      <c r="J33" s="41">
        <v>0.2</v>
      </c>
      <c r="K33" s="42">
        <v>0.3</v>
      </c>
      <c r="L33" s="74">
        <v>0</v>
      </c>
      <c r="M33" s="42">
        <v>0</v>
      </c>
      <c r="N33" s="42">
        <v>0.1</v>
      </c>
      <c r="O33" s="42">
        <v>0</v>
      </c>
      <c r="P33" s="35">
        <v>2012</v>
      </c>
      <c r="Q33" s="36" t="s">
        <v>144</v>
      </c>
      <c r="R33" s="73" t="s">
        <v>764</v>
      </c>
    </row>
    <row r="34" spans="1:429">
      <c r="B34" s="107"/>
      <c r="C34" s="71"/>
      <c r="D34" s="71"/>
      <c r="E34" s="72" t="s">
        <v>270</v>
      </c>
      <c r="F34" s="73" t="s">
        <v>746</v>
      </c>
      <c r="G34" s="41">
        <v>0.80000000000000016</v>
      </c>
      <c r="H34" s="42">
        <v>1.0999999999999999</v>
      </c>
      <c r="I34" s="74">
        <v>0.40000000000000008</v>
      </c>
      <c r="J34" s="41">
        <v>0.4</v>
      </c>
      <c r="K34" s="42">
        <v>0.6</v>
      </c>
      <c r="L34" s="74">
        <v>0.2</v>
      </c>
      <c r="M34" s="42">
        <v>0</v>
      </c>
      <c r="N34" s="42">
        <v>0</v>
      </c>
      <c r="O34" s="42">
        <v>0</v>
      </c>
      <c r="P34" s="35">
        <v>2009</v>
      </c>
      <c r="Q34" s="36" t="s">
        <v>144</v>
      </c>
      <c r="R34" s="73" t="s">
        <v>765</v>
      </c>
    </row>
    <row r="35" spans="1:429">
      <c r="B35" s="107"/>
      <c r="C35" s="71"/>
      <c r="D35" s="71"/>
      <c r="E35" s="72" t="s">
        <v>273</v>
      </c>
      <c r="F35" s="73" t="s">
        <v>746</v>
      </c>
      <c r="G35" s="41">
        <v>2.1</v>
      </c>
      <c r="H35" s="42">
        <v>3.7</v>
      </c>
      <c r="I35" s="74">
        <v>0.7</v>
      </c>
      <c r="J35" s="41">
        <v>1.2</v>
      </c>
      <c r="K35" s="42">
        <v>2</v>
      </c>
      <c r="L35" s="74">
        <v>0.4</v>
      </c>
      <c r="M35" s="42">
        <v>0.3</v>
      </c>
      <c r="N35" s="42">
        <v>0.5</v>
      </c>
      <c r="O35" s="42">
        <v>0.1</v>
      </c>
      <c r="P35" s="35">
        <v>2019</v>
      </c>
      <c r="Q35" s="36" t="s">
        <v>144</v>
      </c>
      <c r="R35" s="73" t="s">
        <v>24</v>
      </c>
    </row>
    <row r="36" spans="1:429" s="48" customFormat="1">
      <c r="A36" s="113"/>
      <c r="B36" s="107"/>
      <c r="C36" s="71"/>
      <c r="D36" s="71"/>
      <c r="E36" s="72" t="s">
        <v>278</v>
      </c>
      <c r="F36" s="73" t="s">
        <v>746</v>
      </c>
      <c r="G36" s="41"/>
      <c r="H36" s="42"/>
      <c r="I36" s="74"/>
      <c r="J36" s="41">
        <v>0.7</v>
      </c>
      <c r="K36" s="42">
        <v>0.9</v>
      </c>
      <c r="L36" s="74">
        <v>0.5</v>
      </c>
      <c r="M36" s="42"/>
      <c r="N36" s="42"/>
      <c r="O36" s="42"/>
      <c r="P36" s="35">
        <v>2022</v>
      </c>
      <c r="Q36" s="36" t="s">
        <v>144</v>
      </c>
      <c r="R36" s="73" t="s">
        <v>24</v>
      </c>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3"/>
      <c r="AP36" s="113"/>
      <c r="AQ36" s="113"/>
      <c r="AR36" s="113"/>
      <c r="AS36" s="113"/>
      <c r="AT36" s="113"/>
      <c r="AU36" s="113"/>
      <c r="AV36" s="113"/>
      <c r="AW36" s="113"/>
      <c r="AX36" s="113"/>
      <c r="AY36" s="113"/>
      <c r="AZ36" s="113"/>
      <c r="BA36" s="113"/>
      <c r="BB36" s="113"/>
      <c r="BC36" s="113"/>
      <c r="BD36" s="113"/>
      <c r="BE36" s="113"/>
      <c r="BF36" s="113"/>
      <c r="BG36" s="113"/>
      <c r="BH36" s="113"/>
      <c r="BI36" s="113"/>
      <c r="BJ36" s="113"/>
      <c r="BK36" s="113"/>
      <c r="BL36" s="113"/>
      <c r="BM36" s="113"/>
      <c r="BN36" s="113"/>
      <c r="BO36" s="113"/>
      <c r="BP36" s="113"/>
      <c r="BQ36" s="113"/>
      <c r="BR36" s="113"/>
      <c r="BS36" s="113"/>
      <c r="BT36" s="113"/>
      <c r="BU36" s="113"/>
      <c r="BV36" s="113"/>
      <c r="BW36" s="113"/>
      <c r="BX36" s="113"/>
      <c r="BY36" s="113"/>
      <c r="BZ36" s="113"/>
      <c r="CA36" s="113"/>
      <c r="CB36" s="113"/>
      <c r="CC36" s="113"/>
      <c r="CD36" s="113"/>
      <c r="CE36" s="113"/>
      <c r="CF36" s="113"/>
      <c r="CG36" s="113"/>
      <c r="CH36" s="113"/>
      <c r="CI36" s="113"/>
      <c r="CJ36" s="113"/>
      <c r="CK36" s="113"/>
      <c r="CL36" s="113"/>
      <c r="CM36" s="113"/>
      <c r="CN36" s="113"/>
      <c r="CO36" s="113"/>
      <c r="CP36" s="113"/>
      <c r="CQ36" s="113"/>
      <c r="CR36" s="113"/>
      <c r="CS36" s="113"/>
      <c r="CT36" s="113"/>
      <c r="CU36" s="113"/>
      <c r="CV36" s="113"/>
      <c r="CW36" s="113"/>
      <c r="CX36" s="113"/>
      <c r="CY36" s="113"/>
      <c r="CZ36" s="113"/>
      <c r="DA36" s="113"/>
      <c r="DB36" s="113"/>
      <c r="DC36" s="113"/>
      <c r="DD36" s="113"/>
      <c r="DE36" s="113"/>
      <c r="DF36" s="113"/>
      <c r="DG36" s="113"/>
      <c r="DH36" s="113"/>
      <c r="DI36" s="113"/>
      <c r="DJ36" s="113"/>
      <c r="DK36" s="113"/>
      <c r="DL36" s="113"/>
      <c r="DM36" s="113"/>
      <c r="DN36" s="113"/>
      <c r="DO36" s="113"/>
      <c r="DP36" s="113"/>
      <c r="DQ36" s="113"/>
      <c r="DR36" s="113"/>
      <c r="DS36" s="113"/>
      <c r="DT36" s="113"/>
      <c r="DU36" s="113"/>
      <c r="DV36" s="113"/>
      <c r="DW36" s="113"/>
      <c r="DX36" s="113"/>
      <c r="DY36" s="113"/>
      <c r="DZ36" s="113"/>
      <c r="EA36" s="113"/>
      <c r="EB36" s="113"/>
      <c r="EC36" s="113"/>
      <c r="ED36" s="113"/>
      <c r="EE36" s="113"/>
      <c r="EF36" s="113"/>
      <c r="EG36" s="113"/>
      <c r="EH36" s="113"/>
      <c r="EI36" s="113"/>
      <c r="EJ36" s="113"/>
      <c r="EK36" s="113"/>
      <c r="EL36" s="113"/>
      <c r="EM36" s="113"/>
      <c r="EN36" s="113"/>
      <c r="EO36" s="113"/>
      <c r="EP36" s="113"/>
      <c r="EQ36" s="113"/>
      <c r="ER36" s="113"/>
      <c r="ES36" s="113"/>
      <c r="ET36" s="113"/>
      <c r="EU36" s="113"/>
      <c r="EV36" s="113"/>
      <c r="EW36" s="113"/>
      <c r="EX36" s="113"/>
      <c r="EY36" s="113"/>
      <c r="EZ36" s="113"/>
      <c r="FA36" s="113"/>
      <c r="FB36" s="113"/>
      <c r="FC36" s="113"/>
      <c r="FD36" s="113"/>
      <c r="FE36" s="113"/>
      <c r="FF36" s="113"/>
      <c r="FG36" s="113"/>
      <c r="FH36" s="113"/>
      <c r="FI36" s="113"/>
      <c r="FJ36" s="113"/>
      <c r="FK36" s="113"/>
      <c r="FL36" s="113"/>
      <c r="FM36" s="113"/>
      <c r="FN36" s="113"/>
      <c r="FO36" s="113"/>
      <c r="FP36" s="113"/>
      <c r="FQ36" s="113"/>
      <c r="FR36" s="113"/>
      <c r="FS36" s="113"/>
      <c r="FT36" s="113"/>
      <c r="FU36" s="113"/>
      <c r="FV36" s="113"/>
      <c r="FW36" s="113"/>
      <c r="FX36" s="113"/>
      <c r="FY36" s="113"/>
      <c r="FZ36" s="113"/>
      <c r="GA36" s="113"/>
      <c r="GB36" s="113"/>
      <c r="GC36" s="113"/>
      <c r="GD36" s="113"/>
      <c r="GE36" s="113"/>
      <c r="GF36" s="113"/>
      <c r="GG36" s="113"/>
      <c r="GH36" s="113"/>
      <c r="GI36" s="113"/>
      <c r="GJ36" s="113"/>
      <c r="GK36" s="113"/>
      <c r="GL36" s="113"/>
      <c r="GM36" s="113"/>
      <c r="GN36" s="113"/>
      <c r="GO36" s="113"/>
      <c r="GP36" s="113"/>
      <c r="GQ36" s="113"/>
      <c r="GR36" s="113"/>
      <c r="GS36" s="113"/>
      <c r="GT36" s="113"/>
      <c r="GU36" s="113"/>
      <c r="GV36" s="113"/>
      <c r="GW36" s="113"/>
      <c r="GX36" s="113"/>
      <c r="GY36" s="113"/>
      <c r="GZ36" s="113"/>
      <c r="HA36" s="113"/>
      <c r="HB36" s="113"/>
      <c r="HC36" s="113"/>
      <c r="HD36" s="113"/>
      <c r="HE36" s="113"/>
      <c r="HF36" s="113"/>
      <c r="HG36" s="113"/>
      <c r="HH36" s="113"/>
      <c r="HI36" s="113"/>
      <c r="HJ36" s="113"/>
      <c r="HK36" s="113"/>
      <c r="HL36" s="113"/>
      <c r="HM36" s="113"/>
      <c r="HN36" s="113"/>
      <c r="HO36" s="113"/>
      <c r="HP36" s="113"/>
      <c r="HQ36" s="113"/>
      <c r="HR36" s="113"/>
      <c r="HS36" s="113"/>
      <c r="HT36" s="113"/>
      <c r="HU36" s="113"/>
      <c r="HV36" s="113"/>
      <c r="HW36" s="113"/>
      <c r="HX36" s="113"/>
      <c r="HY36" s="113"/>
      <c r="HZ36" s="113"/>
      <c r="IA36" s="113"/>
      <c r="IB36" s="113"/>
      <c r="IC36" s="113"/>
      <c r="ID36" s="113"/>
      <c r="IE36" s="113"/>
      <c r="IF36" s="113"/>
      <c r="IG36" s="113"/>
      <c r="IH36" s="113"/>
      <c r="II36" s="113"/>
      <c r="IJ36" s="113"/>
      <c r="IK36" s="113"/>
      <c r="IL36" s="113"/>
      <c r="IM36" s="113"/>
      <c r="IN36" s="113"/>
      <c r="IO36" s="113"/>
      <c r="IP36" s="113"/>
      <c r="IQ36" s="113"/>
      <c r="IR36" s="113"/>
      <c r="IS36" s="113"/>
      <c r="IT36" s="113"/>
      <c r="IU36" s="113"/>
      <c r="IV36" s="113"/>
      <c r="IW36" s="113"/>
      <c r="IX36" s="113"/>
      <c r="IY36" s="113"/>
      <c r="IZ36" s="113"/>
      <c r="JA36" s="113"/>
      <c r="JB36" s="113"/>
      <c r="JC36" s="113"/>
      <c r="JD36" s="113"/>
      <c r="JE36" s="113"/>
      <c r="JF36" s="113"/>
      <c r="JG36" s="113"/>
      <c r="JH36" s="113"/>
      <c r="JI36" s="113"/>
      <c r="JJ36" s="113"/>
      <c r="JK36" s="113"/>
      <c r="JL36" s="113"/>
      <c r="JM36" s="113"/>
      <c r="JN36" s="113"/>
      <c r="JO36" s="113"/>
      <c r="JP36" s="113"/>
      <c r="JQ36" s="113"/>
      <c r="JR36" s="113"/>
      <c r="JS36" s="113"/>
      <c r="JT36" s="113"/>
      <c r="JU36" s="113"/>
      <c r="JV36" s="113"/>
      <c r="JW36" s="113"/>
      <c r="JX36" s="113"/>
      <c r="JY36" s="113"/>
      <c r="JZ36" s="113"/>
      <c r="KA36" s="113"/>
      <c r="KB36" s="113"/>
      <c r="KC36" s="113"/>
      <c r="KD36" s="113"/>
      <c r="KE36" s="113"/>
      <c r="KF36" s="113"/>
      <c r="KG36" s="113"/>
      <c r="KH36" s="113"/>
      <c r="KI36" s="113"/>
      <c r="KJ36" s="113"/>
      <c r="KK36" s="113"/>
      <c r="KL36" s="113"/>
      <c r="KM36" s="113"/>
      <c r="KN36" s="113"/>
      <c r="KO36" s="113"/>
      <c r="KP36" s="113"/>
      <c r="KQ36" s="113"/>
      <c r="KR36" s="113"/>
      <c r="KS36" s="113"/>
      <c r="KT36" s="113"/>
      <c r="KU36" s="113"/>
      <c r="KV36" s="113"/>
      <c r="KW36" s="113"/>
      <c r="KX36" s="113"/>
      <c r="KY36" s="113"/>
      <c r="KZ36" s="113"/>
      <c r="LA36" s="113"/>
      <c r="LB36" s="113"/>
      <c r="LC36" s="113"/>
      <c r="LD36" s="113"/>
      <c r="LE36" s="113"/>
      <c r="LF36" s="113"/>
      <c r="LG36" s="113"/>
      <c r="LH36" s="113"/>
      <c r="LI36" s="113"/>
      <c r="LJ36" s="113"/>
      <c r="LK36" s="113"/>
      <c r="LL36" s="113"/>
      <c r="LM36" s="113"/>
      <c r="LN36" s="113"/>
      <c r="LO36" s="113"/>
      <c r="LP36" s="113"/>
      <c r="LQ36" s="113"/>
      <c r="LR36" s="113"/>
      <c r="LS36" s="113"/>
      <c r="LT36" s="113"/>
      <c r="LU36" s="113"/>
      <c r="LV36" s="113"/>
      <c r="LW36" s="113"/>
      <c r="LX36" s="113"/>
      <c r="LY36" s="113"/>
      <c r="LZ36" s="113"/>
      <c r="MA36" s="113"/>
      <c r="MB36" s="113"/>
      <c r="MC36" s="113"/>
      <c r="MD36" s="113"/>
      <c r="ME36" s="113"/>
      <c r="MF36" s="113"/>
      <c r="MG36" s="113"/>
      <c r="MH36" s="113"/>
      <c r="MI36" s="113"/>
      <c r="MJ36" s="113"/>
      <c r="MK36" s="113"/>
      <c r="ML36" s="113"/>
      <c r="MM36" s="113"/>
      <c r="MN36" s="113"/>
      <c r="MO36" s="113"/>
      <c r="MP36" s="113"/>
      <c r="MQ36" s="113"/>
      <c r="MR36" s="113"/>
      <c r="MS36" s="113"/>
      <c r="MT36" s="113"/>
      <c r="MU36" s="113"/>
      <c r="MV36" s="113"/>
      <c r="MW36" s="113"/>
      <c r="MX36" s="113"/>
      <c r="MY36" s="113"/>
      <c r="MZ36" s="113"/>
      <c r="NA36" s="113"/>
      <c r="NB36" s="113"/>
      <c r="NC36" s="113"/>
      <c r="ND36" s="113"/>
      <c r="NE36" s="113"/>
      <c r="NF36" s="113"/>
      <c r="NG36" s="113"/>
      <c r="NH36" s="113"/>
      <c r="NI36" s="113"/>
      <c r="NJ36" s="113"/>
      <c r="NK36" s="113"/>
      <c r="NL36" s="113"/>
      <c r="NM36" s="113"/>
      <c r="NN36" s="113"/>
      <c r="NO36" s="113"/>
      <c r="NP36" s="113"/>
      <c r="NQ36" s="113"/>
      <c r="NR36" s="113"/>
      <c r="NS36" s="113"/>
      <c r="NT36" s="113"/>
      <c r="NU36" s="113"/>
      <c r="NV36" s="113"/>
      <c r="NW36" s="113"/>
      <c r="NX36" s="113"/>
      <c r="NY36" s="113"/>
      <c r="NZ36" s="113"/>
      <c r="OA36" s="113"/>
      <c r="OB36" s="113"/>
      <c r="OC36" s="113"/>
      <c r="OD36" s="113"/>
      <c r="OE36" s="113"/>
      <c r="OF36" s="113"/>
      <c r="OG36" s="113"/>
      <c r="OH36" s="113"/>
      <c r="OI36" s="113"/>
      <c r="OJ36" s="113"/>
      <c r="OK36" s="113"/>
      <c r="OL36" s="113"/>
      <c r="OM36" s="113"/>
      <c r="ON36" s="113"/>
      <c r="OO36" s="113"/>
      <c r="OP36" s="113"/>
      <c r="OQ36" s="113"/>
      <c r="OR36" s="113"/>
      <c r="OS36" s="113"/>
      <c r="OT36" s="113"/>
      <c r="OU36" s="113"/>
      <c r="OV36" s="113"/>
      <c r="OW36" s="113"/>
      <c r="OX36" s="113"/>
      <c r="OY36" s="113"/>
      <c r="OZ36" s="113"/>
      <c r="PA36" s="113"/>
      <c r="PB36" s="113"/>
      <c r="PC36" s="113"/>
      <c r="PD36" s="113"/>
      <c r="PE36" s="113"/>
      <c r="PF36" s="113"/>
      <c r="PG36" s="113"/>
      <c r="PH36" s="113"/>
      <c r="PI36" s="113"/>
      <c r="PJ36" s="113"/>
      <c r="PK36" s="113"/>
      <c r="PL36" s="113"/>
      <c r="PM36" s="113"/>
    </row>
    <row r="37" spans="1:429">
      <c r="B37" s="107"/>
      <c r="C37" s="71"/>
      <c r="D37" s="71"/>
      <c r="E37" s="72" t="s">
        <v>278</v>
      </c>
      <c r="F37" s="73" t="s">
        <v>746</v>
      </c>
      <c r="G37" s="41"/>
      <c r="H37" s="42"/>
      <c r="I37" s="74"/>
      <c r="J37" s="41">
        <v>0.5</v>
      </c>
      <c r="K37" s="42">
        <v>0.6</v>
      </c>
      <c r="L37" s="74">
        <v>0.4</v>
      </c>
      <c r="M37" s="42">
        <v>0.1</v>
      </c>
      <c r="N37" s="42">
        <v>0.1</v>
      </c>
      <c r="O37" s="42">
        <v>0.1</v>
      </c>
      <c r="P37" s="35">
        <v>2017</v>
      </c>
      <c r="Q37" s="36" t="s">
        <v>27</v>
      </c>
      <c r="R37" s="73" t="s">
        <v>24</v>
      </c>
    </row>
    <row r="38" spans="1:429">
      <c r="B38" s="107"/>
      <c r="C38" s="71"/>
      <c r="D38" s="71"/>
      <c r="E38" s="72" t="s">
        <v>280</v>
      </c>
      <c r="F38" s="73" t="s">
        <v>746</v>
      </c>
      <c r="G38" s="41">
        <v>2.8</v>
      </c>
      <c r="H38" s="42">
        <v>4.5</v>
      </c>
      <c r="I38" s="74">
        <v>1.2</v>
      </c>
      <c r="J38" s="41">
        <v>0.7</v>
      </c>
      <c r="K38" s="42">
        <v>1.1000000000000001</v>
      </c>
      <c r="L38" s="74">
        <v>0.3</v>
      </c>
      <c r="M38" s="42">
        <v>0.6</v>
      </c>
      <c r="N38" s="42">
        <v>0.9</v>
      </c>
      <c r="O38" s="42">
        <v>0.3</v>
      </c>
      <c r="P38" s="35">
        <v>2015</v>
      </c>
      <c r="Q38" s="36" t="s">
        <v>27</v>
      </c>
      <c r="R38" s="73" t="s">
        <v>24</v>
      </c>
    </row>
    <row r="39" spans="1:429">
      <c r="B39" s="107"/>
      <c r="C39" s="71"/>
      <c r="D39" s="71"/>
      <c r="E39" s="72" t="s">
        <v>280</v>
      </c>
      <c r="F39" s="73" t="s">
        <v>746</v>
      </c>
      <c r="G39" s="41">
        <v>2.5</v>
      </c>
      <c r="H39" s="42">
        <v>3.7</v>
      </c>
      <c r="I39" s="74">
        <v>1.4</v>
      </c>
      <c r="J39" s="41"/>
      <c r="K39" s="42"/>
      <c r="L39" s="74"/>
      <c r="M39" s="42"/>
      <c r="N39" s="42"/>
      <c r="O39" s="42"/>
      <c r="P39" s="35">
        <v>2011</v>
      </c>
      <c r="Q39" s="36" t="s">
        <v>27</v>
      </c>
      <c r="R39" s="73" t="s">
        <v>766</v>
      </c>
    </row>
    <row r="40" spans="1:429">
      <c r="B40" s="107"/>
      <c r="C40" s="71"/>
      <c r="D40" s="71"/>
      <c r="E40" s="72" t="s">
        <v>281</v>
      </c>
      <c r="F40" s="73" t="s">
        <v>746</v>
      </c>
      <c r="G40" s="41">
        <v>0.5</v>
      </c>
      <c r="H40" s="42">
        <v>1</v>
      </c>
      <c r="I40" s="74">
        <v>0.1</v>
      </c>
      <c r="J40" s="41">
        <v>0.2</v>
      </c>
      <c r="K40" s="42">
        <v>0.4</v>
      </c>
      <c r="L40" s="74">
        <v>0</v>
      </c>
      <c r="M40" s="42"/>
      <c r="N40" s="42"/>
      <c r="O40" s="42"/>
      <c r="P40" s="35">
        <v>2021</v>
      </c>
      <c r="Q40" s="36" t="s">
        <v>27</v>
      </c>
      <c r="R40" s="73" t="s">
        <v>24</v>
      </c>
    </row>
    <row r="41" spans="1:429">
      <c r="B41" s="107"/>
      <c r="C41" s="71"/>
      <c r="D41" s="71"/>
      <c r="E41" s="72" t="s">
        <v>293</v>
      </c>
      <c r="F41" s="73" t="s">
        <v>746</v>
      </c>
      <c r="G41" s="41"/>
      <c r="H41" s="42"/>
      <c r="I41" s="74"/>
      <c r="J41" s="41">
        <v>0.1</v>
      </c>
      <c r="K41" s="42">
        <v>0.2</v>
      </c>
      <c r="L41" s="74">
        <v>0.01</v>
      </c>
      <c r="M41" s="42"/>
      <c r="N41" s="42"/>
      <c r="O41" s="42"/>
      <c r="P41" s="35">
        <v>2017</v>
      </c>
      <c r="Q41" s="36" t="s">
        <v>27</v>
      </c>
      <c r="R41" s="73" t="s">
        <v>24</v>
      </c>
    </row>
    <row r="42" spans="1:429">
      <c r="B42" s="107"/>
      <c r="C42" s="71"/>
      <c r="D42" s="71"/>
      <c r="E42" s="72" t="s">
        <v>296</v>
      </c>
      <c r="F42" s="73" t="s">
        <v>746</v>
      </c>
      <c r="G42" s="41">
        <v>0.7</v>
      </c>
      <c r="H42" s="42">
        <v>1.2</v>
      </c>
      <c r="I42" s="74">
        <v>0.2</v>
      </c>
      <c r="J42" s="41">
        <v>0.3</v>
      </c>
      <c r="K42" s="42">
        <v>0.6</v>
      </c>
      <c r="L42" s="74">
        <v>0</v>
      </c>
      <c r="M42" s="42"/>
      <c r="N42" s="42"/>
      <c r="O42" s="42"/>
      <c r="P42" s="35">
        <v>2016</v>
      </c>
      <c r="Q42" s="36" t="s">
        <v>27</v>
      </c>
      <c r="R42" s="73" t="s">
        <v>24</v>
      </c>
    </row>
    <row r="43" spans="1:429">
      <c r="B43" s="107"/>
      <c r="C43" s="71"/>
      <c r="D43" s="71"/>
      <c r="E43" s="72" t="s">
        <v>296</v>
      </c>
      <c r="F43" s="73" t="s">
        <v>746</v>
      </c>
      <c r="G43" s="41">
        <v>0.4</v>
      </c>
      <c r="H43" s="42">
        <v>0.70000000000000007</v>
      </c>
      <c r="I43" s="74">
        <v>0.1</v>
      </c>
      <c r="J43" s="41">
        <v>0.2</v>
      </c>
      <c r="K43" s="42">
        <v>0.3</v>
      </c>
      <c r="L43" s="74"/>
      <c r="M43" s="42"/>
      <c r="N43" s="42"/>
      <c r="O43" s="42"/>
      <c r="P43" s="35">
        <v>2015</v>
      </c>
      <c r="Q43" s="36" t="s">
        <v>27</v>
      </c>
      <c r="R43" s="73" t="s">
        <v>24</v>
      </c>
    </row>
    <row r="44" spans="1:429">
      <c r="B44" s="107"/>
      <c r="C44" s="71" t="s">
        <v>557</v>
      </c>
      <c r="D44" s="71"/>
      <c r="E44" s="72" t="s">
        <v>299</v>
      </c>
      <c r="F44" s="73" t="s">
        <v>746</v>
      </c>
      <c r="G44" s="41">
        <v>0.5</v>
      </c>
      <c r="H44" s="42">
        <v>0.8</v>
      </c>
      <c r="I44" s="74">
        <v>0.3</v>
      </c>
      <c r="J44" s="41"/>
      <c r="K44" s="42"/>
      <c r="L44" s="74"/>
      <c r="M44" s="42"/>
      <c r="N44" s="42"/>
      <c r="O44" s="42"/>
      <c r="P44" s="35">
        <v>2022</v>
      </c>
      <c r="Q44" s="36" t="s">
        <v>27</v>
      </c>
      <c r="R44" s="73" t="s">
        <v>24</v>
      </c>
    </row>
    <row r="45" spans="1:429">
      <c r="B45" s="107"/>
      <c r="C45" s="71"/>
      <c r="D45" s="71"/>
      <c r="E45" s="72" t="s">
        <v>299</v>
      </c>
      <c r="F45" s="73" t="s">
        <v>746</v>
      </c>
      <c r="G45" s="41">
        <v>0.6</v>
      </c>
      <c r="H45" s="42">
        <v>0.9</v>
      </c>
      <c r="I45" s="74">
        <v>0.3</v>
      </c>
      <c r="J45" s="41"/>
      <c r="K45" s="42"/>
      <c r="L45" s="74"/>
      <c r="M45" s="42"/>
      <c r="N45" s="42"/>
      <c r="O45" s="42"/>
      <c r="P45" s="35">
        <v>2020</v>
      </c>
      <c r="Q45" s="36" t="s">
        <v>27</v>
      </c>
      <c r="R45" s="73" t="s">
        <v>24</v>
      </c>
    </row>
    <row r="46" spans="1:429">
      <c r="B46" s="107"/>
      <c r="C46" s="71"/>
      <c r="D46" s="71"/>
      <c r="E46" s="72" t="s">
        <v>299</v>
      </c>
      <c r="F46" s="73" t="s">
        <v>746</v>
      </c>
      <c r="G46" s="41">
        <v>0.4</v>
      </c>
      <c r="H46" s="42">
        <v>0.70000000000000007</v>
      </c>
      <c r="I46" s="74">
        <v>0.2</v>
      </c>
      <c r="J46" s="41">
        <v>0.1</v>
      </c>
      <c r="K46" s="42">
        <v>0.2</v>
      </c>
      <c r="L46" s="74">
        <v>0</v>
      </c>
      <c r="M46" s="42">
        <v>0</v>
      </c>
      <c r="N46" s="42">
        <v>0.1</v>
      </c>
      <c r="O46" s="42">
        <v>0</v>
      </c>
      <c r="P46" s="35">
        <v>2017</v>
      </c>
      <c r="Q46" s="36" t="s">
        <v>27</v>
      </c>
      <c r="R46" s="73" t="s">
        <v>24</v>
      </c>
    </row>
    <row r="47" spans="1:429">
      <c r="B47" s="107"/>
      <c r="C47" s="71"/>
      <c r="D47" s="71"/>
      <c r="E47" s="72" t="s">
        <v>299</v>
      </c>
      <c r="F47" s="73" t="s">
        <v>746</v>
      </c>
      <c r="G47" s="41">
        <v>0.8</v>
      </c>
      <c r="H47" s="42">
        <v>1.1000000000000001</v>
      </c>
      <c r="I47" s="74">
        <v>0.5</v>
      </c>
      <c r="J47" s="41">
        <v>0.1</v>
      </c>
      <c r="K47" s="42">
        <v>0.1</v>
      </c>
      <c r="L47" s="74">
        <v>0.1</v>
      </c>
      <c r="M47" s="42">
        <v>0</v>
      </c>
      <c r="N47" s="42">
        <v>0.1</v>
      </c>
      <c r="O47" s="42">
        <v>0</v>
      </c>
      <c r="P47" s="35">
        <v>2015</v>
      </c>
      <c r="Q47" s="36" t="s">
        <v>27</v>
      </c>
      <c r="R47" s="73" t="s">
        <v>24</v>
      </c>
    </row>
    <row r="48" spans="1:429">
      <c r="B48" s="107"/>
      <c r="C48" s="71"/>
      <c r="D48" s="71"/>
      <c r="E48" s="72" t="s">
        <v>299</v>
      </c>
      <c r="F48" s="73" t="s">
        <v>746</v>
      </c>
      <c r="G48" s="41">
        <v>0.5</v>
      </c>
      <c r="H48" s="42">
        <v>0.9</v>
      </c>
      <c r="I48" s="74">
        <v>0.2</v>
      </c>
      <c r="J48" s="41">
        <v>0.1</v>
      </c>
      <c r="K48" s="42">
        <v>0.1</v>
      </c>
      <c r="L48" s="74">
        <v>0.1</v>
      </c>
      <c r="M48" s="42">
        <v>0</v>
      </c>
      <c r="N48" s="42">
        <v>0</v>
      </c>
      <c r="O48" s="42">
        <v>0</v>
      </c>
      <c r="P48" s="35">
        <v>2013</v>
      </c>
      <c r="Q48" s="36" t="s">
        <v>27</v>
      </c>
      <c r="R48" s="73" t="s">
        <v>24</v>
      </c>
    </row>
    <row r="49" spans="1:429">
      <c r="B49" s="107"/>
      <c r="C49" s="71"/>
      <c r="D49" s="71"/>
      <c r="E49" s="72" t="s">
        <v>299</v>
      </c>
      <c r="F49" s="73" t="s">
        <v>746</v>
      </c>
      <c r="G49" s="41">
        <v>0.8</v>
      </c>
      <c r="H49" s="42">
        <v>1.2</v>
      </c>
      <c r="I49" s="74">
        <v>0.3</v>
      </c>
      <c r="J49" s="41">
        <v>0.1</v>
      </c>
      <c r="K49" s="42">
        <v>0.3</v>
      </c>
      <c r="L49" s="74">
        <v>0</v>
      </c>
      <c r="M49" s="42">
        <v>0.1</v>
      </c>
      <c r="N49" s="42">
        <v>0.1</v>
      </c>
      <c r="O49" s="42">
        <v>0</v>
      </c>
      <c r="P49" s="35">
        <v>2011</v>
      </c>
      <c r="Q49" s="36" t="s">
        <v>27</v>
      </c>
      <c r="R49" s="73" t="s">
        <v>36</v>
      </c>
    </row>
    <row r="50" spans="1:429">
      <c r="B50" s="107"/>
      <c r="C50" s="71"/>
      <c r="D50" s="71"/>
      <c r="E50" s="72" t="s">
        <v>305</v>
      </c>
      <c r="F50" s="73" t="s">
        <v>746</v>
      </c>
      <c r="G50" s="41"/>
      <c r="H50" s="42"/>
      <c r="I50" s="74"/>
      <c r="J50" s="41">
        <v>0.14000000000000001</v>
      </c>
      <c r="K50" s="42"/>
      <c r="L50" s="74"/>
      <c r="M50" s="42"/>
      <c r="N50" s="42"/>
      <c r="O50" s="42"/>
      <c r="P50" s="35" t="s">
        <v>767</v>
      </c>
      <c r="Q50" s="36" t="s">
        <v>306</v>
      </c>
      <c r="R50" s="73" t="s">
        <v>768</v>
      </c>
    </row>
    <row r="51" spans="1:429">
      <c r="B51" s="107"/>
      <c r="C51" s="71"/>
      <c r="D51" s="71"/>
      <c r="E51" s="72" t="s">
        <v>305</v>
      </c>
      <c r="F51" s="73" t="s">
        <v>746</v>
      </c>
      <c r="G51" s="41"/>
      <c r="H51" s="42"/>
      <c r="I51" s="74"/>
      <c r="J51" s="41">
        <v>0.16</v>
      </c>
      <c r="K51" s="42"/>
      <c r="L51" s="74"/>
      <c r="M51" s="42"/>
      <c r="N51" s="42"/>
      <c r="O51" s="42"/>
      <c r="P51" s="35" t="s">
        <v>762</v>
      </c>
      <c r="Q51" s="36" t="s">
        <v>306</v>
      </c>
      <c r="R51" s="73" t="s">
        <v>769</v>
      </c>
    </row>
    <row r="52" spans="1:429" s="48" customFormat="1">
      <c r="A52" s="113"/>
      <c r="B52" s="107"/>
      <c r="C52" s="71" t="s">
        <v>327</v>
      </c>
      <c r="D52" s="71" t="s">
        <v>328</v>
      </c>
      <c r="E52" s="72" t="s">
        <v>329</v>
      </c>
      <c r="F52" s="73" t="s">
        <v>746</v>
      </c>
      <c r="G52" s="41">
        <v>2.6</v>
      </c>
      <c r="H52" s="42"/>
      <c r="I52" s="74"/>
      <c r="J52" s="41">
        <v>0.1</v>
      </c>
      <c r="K52" s="42"/>
      <c r="L52" s="74"/>
      <c r="M52" s="42"/>
      <c r="N52" s="42"/>
      <c r="O52" s="42"/>
      <c r="P52" s="35" t="s">
        <v>330</v>
      </c>
      <c r="Q52" s="36" t="s">
        <v>226</v>
      </c>
      <c r="R52" s="73" t="s">
        <v>36</v>
      </c>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3"/>
      <c r="AQ52" s="113"/>
      <c r="AR52" s="113"/>
      <c r="AS52" s="113"/>
      <c r="AT52" s="113"/>
      <c r="AU52" s="113"/>
      <c r="AV52" s="113"/>
      <c r="AW52" s="113"/>
      <c r="AX52" s="113"/>
      <c r="AY52" s="113"/>
      <c r="AZ52" s="113"/>
      <c r="BA52" s="113"/>
      <c r="BB52" s="113"/>
      <c r="BC52" s="113"/>
      <c r="BD52" s="113"/>
      <c r="BE52" s="113"/>
      <c r="BF52" s="113"/>
      <c r="BG52" s="113"/>
      <c r="BH52" s="113"/>
      <c r="BI52" s="113"/>
      <c r="BJ52" s="113"/>
      <c r="BK52" s="113"/>
      <c r="BL52" s="113"/>
      <c r="BM52" s="113"/>
      <c r="BN52" s="113"/>
      <c r="BO52" s="113"/>
      <c r="BP52" s="113"/>
      <c r="BQ52" s="113"/>
      <c r="BR52" s="113"/>
      <c r="BS52" s="113"/>
      <c r="BT52" s="113"/>
      <c r="BU52" s="113"/>
      <c r="BV52" s="113"/>
      <c r="BW52" s="113"/>
      <c r="BX52" s="113"/>
      <c r="BY52" s="113"/>
      <c r="BZ52" s="113"/>
      <c r="CA52" s="113"/>
      <c r="CB52" s="113"/>
      <c r="CC52" s="113"/>
      <c r="CD52" s="113"/>
      <c r="CE52" s="113"/>
      <c r="CF52" s="113"/>
      <c r="CG52" s="113"/>
      <c r="CH52" s="113"/>
      <c r="CI52" s="113"/>
      <c r="CJ52" s="113"/>
      <c r="CK52" s="113"/>
      <c r="CL52" s="113"/>
      <c r="CM52" s="113"/>
      <c r="CN52" s="113"/>
      <c r="CO52" s="113"/>
      <c r="CP52" s="113"/>
      <c r="CQ52" s="113"/>
      <c r="CR52" s="113"/>
      <c r="CS52" s="113"/>
      <c r="CT52" s="113"/>
      <c r="CU52" s="113"/>
      <c r="CV52" s="113"/>
      <c r="CW52" s="113"/>
      <c r="CX52" s="113"/>
      <c r="CY52" s="113"/>
      <c r="CZ52" s="113"/>
      <c r="DA52" s="113"/>
      <c r="DB52" s="113"/>
      <c r="DC52" s="113"/>
      <c r="DD52" s="113"/>
      <c r="DE52" s="113"/>
      <c r="DF52" s="113"/>
      <c r="DG52" s="113"/>
      <c r="DH52" s="113"/>
      <c r="DI52" s="113"/>
      <c r="DJ52" s="113"/>
      <c r="DK52" s="113"/>
      <c r="DL52" s="113"/>
      <c r="DM52" s="113"/>
      <c r="DN52" s="113"/>
      <c r="DO52" s="113"/>
      <c r="DP52" s="113"/>
      <c r="DQ52" s="113"/>
      <c r="DR52" s="113"/>
      <c r="DS52" s="113"/>
      <c r="DT52" s="113"/>
      <c r="DU52" s="113"/>
      <c r="DV52" s="113"/>
      <c r="DW52" s="113"/>
      <c r="DX52" s="113"/>
      <c r="DY52" s="113"/>
      <c r="DZ52" s="113"/>
      <c r="EA52" s="113"/>
      <c r="EB52" s="113"/>
      <c r="EC52" s="113"/>
      <c r="ED52" s="113"/>
      <c r="EE52" s="113"/>
      <c r="EF52" s="113"/>
      <c r="EG52" s="113"/>
      <c r="EH52" s="113"/>
      <c r="EI52" s="113"/>
      <c r="EJ52" s="113"/>
      <c r="EK52" s="113"/>
      <c r="EL52" s="113"/>
      <c r="EM52" s="113"/>
      <c r="EN52" s="113"/>
      <c r="EO52" s="113"/>
      <c r="EP52" s="113"/>
      <c r="EQ52" s="113"/>
      <c r="ER52" s="113"/>
      <c r="ES52" s="113"/>
      <c r="ET52" s="113"/>
      <c r="EU52" s="113"/>
      <c r="EV52" s="113"/>
      <c r="EW52" s="113"/>
      <c r="EX52" s="113"/>
      <c r="EY52" s="113"/>
      <c r="EZ52" s="113"/>
      <c r="FA52" s="113"/>
      <c r="FB52" s="113"/>
      <c r="FC52" s="113"/>
      <c r="FD52" s="113"/>
      <c r="FE52" s="113"/>
      <c r="FF52" s="113"/>
      <c r="FG52" s="113"/>
      <c r="FH52" s="113"/>
      <c r="FI52" s="113"/>
      <c r="FJ52" s="113"/>
      <c r="FK52" s="113"/>
      <c r="FL52" s="113"/>
      <c r="FM52" s="113"/>
      <c r="FN52" s="113"/>
      <c r="FO52" s="113"/>
      <c r="FP52" s="113"/>
      <c r="FQ52" s="113"/>
      <c r="FR52" s="113"/>
      <c r="FS52" s="113"/>
      <c r="FT52" s="113"/>
      <c r="FU52" s="113"/>
      <c r="FV52" s="113"/>
      <c r="FW52" s="113"/>
      <c r="FX52" s="113"/>
      <c r="FY52" s="113"/>
      <c r="FZ52" s="113"/>
      <c r="GA52" s="113"/>
      <c r="GB52" s="113"/>
      <c r="GC52" s="113"/>
      <c r="GD52" s="113"/>
      <c r="GE52" s="113"/>
      <c r="GF52" s="113"/>
      <c r="GG52" s="113"/>
      <c r="GH52" s="113"/>
      <c r="GI52" s="113"/>
      <c r="GJ52" s="113"/>
      <c r="GK52" s="113"/>
      <c r="GL52" s="113"/>
      <c r="GM52" s="113"/>
      <c r="GN52" s="113"/>
      <c r="GO52" s="113"/>
      <c r="GP52" s="113"/>
      <c r="GQ52" s="113"/>
      <c r="GR52" s="113"/>
      <c r="GS52" s="113"/>
      <c r="GT52" s="113"/>
      <c r="GU52" s="113"/>
      <c r="GV52" s="113"/>
      <c r="GW52" s="113"/>
      <c r="GX52" s="113"/>
      <c r="GY52" s="113"/>
      <c r="GZ52" s="113"/>
      <c r="HA52" s="113"/>
      <c r="HB52" s="113"/>
      <c r="HC52" s="113"/>
      <c r="HD52" s="113"/>
      <c r="HE52" s="113"/>
      <c r="HF52" s="113"/>
      <c r="HG52" s="113"/>
      <c r="HH52" s="113"/>
      <c r="HI52" s="113"/>
      <c r="HJ52" s="113"/>
      <c r="HK52" s="113"/>
      <c r="HL52" s="113"/>
      <c r="HM52" s="113"/>
      <c r="HN52" s="113"/>
      <c r="HO52" s="113"/>
      <c r="HP52" s="113"/>
      <c r="HQ52" s="113"/>
      <c r="HR52" s="113"/>
      <c r="HS52" s="113"/>
      <c r="HT52" s="113"/>
      <c r="HU52" s="113"/>
      <c r="HV52" s="113"/>
      <c r="HW52" s="113"/>
      <c r="HX52" s="113"/>
      <c r="HY52" s="113"/>
      <c r="HZ52" s="113"/>
      <c r="IA52" s="113"/>
      <c r="IB52" s="113"/>
      <c r="IC52" s="113"/>
      <c r="ID52" s="113"/>
      <c r="IE52" s="113"/>
      <c r="IF52" s="113"/>
      <c r="IG52" s="113"/>
      <c r="IH52" s="113"/>
      <c r="II52" s="113"/>
      <c r="IJ52" s="113"/>
      <c r="IK52" s="113"/>
      <c r="IL52" s="113"/>
      <c r="IM52" s="113"/>
      <c r="IN52" s="113"/>
      <c r="IO52" s="113"/>
      <c r="IP52" s="113"/>
      <c r="IQ52" s="113"/>
      <c r="IR52" s="113"/>
      <c r="IS52" s="113"/>
      <c r="IT52" s="113"/>
      <c r="IU52" s="113"/>
      <c r="IV52" s="113"/>
      <c r="IW52" s="113"/>
      <c r="IX52" s="113"/>
      <c r="IY52" s="113"/>
      <c r="IZ52" s="113"/>
      <c r="JA52" s="113"/>
      <c r="JB52" s="113"/>
      <c r="JC52" s="113"/>
      <c r="JD52" s="113"/>
      <c r="JE52" s="113"/>
      <c r="JF52" s="113"/>
      <c r="JG52" s="113"/>
      <c r="JH52" s="113"/>
      <c r="JI52" s="113"/>
      <c r="JJ52" s="113"/>
      <c r="JK52" s="113"/>
      <c r="JL52" s="113"/>
      <c r="JM52" s="113"/>
      <c r="JN52" s="113"/>
      <c r="JO52" s="113"/>
      <c r="JP52" s="113"/>
      <c r="JQ52" s="113"/>
      <c r="JR52" s="113"/>
      <c r="JS52" s="113"/>
      <c r="JT52" s="113"/>
      <c r="JU52" s="113"/>
      <c r="JV52" s="113"/>
      <c r="JW52" s="113"/>
      <c r="JX52" s="113"/>
      <c r="JY52" s="113"/>
      <c r="JZ52" s="113"/>
      <c r="KA52" s="113"/>
      <c r="KB52" s="113"/>
      <c r="KC52" s="113"/>
      <c r="KD52" s="113"/>
      <c r="KE52" s="113"/>
      <c r="KF52" s="113"/>
      <c r="KG52" s="113"/>
      <c r="KH52" s="113"/>
      <c r="KI52" s="113"/>
      <c r="KJ52" s="113"/>
      <c r="KK52" s="113"/>
      <c r="KL52" s="113"/>
      <c r="KM52" s="113"/>
      <c r="KN52" s="113"/>
      <c r="KO52" s="113"/>
      <c r="KP52" s="113"/>
      <c r="KQ52" s="113"/>
      <c r="KR52" s="113"/>
      <c r="KS52" s="113"/>
      <c r="KT52" s="113"/>
      <c r="KU52" s="113"/>
      <c r="KV52" s="113"/>
      <c r="KW52" s="113"/>
      <c r="KX52" s="113"/>
      <c r="KY52" s="113"/>
      <c r="KZ52" s="113"/>
      <c r="LA52" s="113"/>
      <c r="LB52" s="113"/>
      <c r="LC52" s="113"/>
      <c r="LD52" s="113"/>
      <c r="LE52" s="113"/>
      <c r="LF52" s="113"/>
      <c r="LG52" s="113"/>
      <c r="LH52" s="113"/>
      <c r="LI52" s="113"/>
      <c r="LJ52" s="113"/>
      <c r="LK52" s="113"/>
      <c r="LL52" s="113"/>
      <c r="LM52" s="113"/>
      <c r="LN52" s="113"/>
      <c r="LO52" s="113"/>
      <c r="LP52" s="113"/>
      <c r="LQ52" s="113"/>
      <c r="LR52" s="113"/>
      <c r="LS52" s="113"/>
      <c r="LT52" s="113"/>
      <c r="LU52" s="113"/>
      <c r="LV52" s="113"/>
      <c r="LW52" s="113"/>
      <c r="LX52" s="113"/>
      <c r="LY52" s="113"/>
      <c r="LZ52" s="113"/>
      <c r="MA52" s="113"/>
      <c r="MB52" s="113"/>
      <c r="MC52" s="113"/>
      <c r="MD52" s="113"/>
      <c r="ME52" s="113"/>
      <c r="MF52" s="113"/>
      <c r="MG52" s="113"/>
      <c r="MH52" s="113"/>
      <c r="MI52" s="113"/>
      <c r="MJ52" s="113"/>
      <c r="MK52" s="113"/>
      <c r="ML52" s="113"/>
      <c r="MM52" s="113"/>
      <c r="MN52" s="113"/>
      <c r="MO52" s="113"/>
      <c r="MP52" s="113"/>
      <c r="MQ52" s="113"/>
      <c r="MR52" s="113"/>
      <c r="MS52" s="113"/>
      <c r="MT52" s="113"/>
      <c r="MU52" s="113"/>
      <c r="MV52" s="113"/>
      <c r="MW52" s="113"/>
      <c r="MX52" s="113"/>
      <c r="MY52" s="113"/>
      <c r="MZ52" s="113"/>
      <c r="NA52" s="113"/>
      <c r="NB52" s="113"/>
      <c r="NC52" s="113"/>
      <c r="ND52" s="113"/>
      <c r="NE52" s="113"/>
      <c r="NF52" s="113"/>
      <c r="NG52" s="113"/>
      <c r="NH52" s="113"/>
      <c r="NI52" s="113"/>
      <c r="NJ52" s="113"/>
      <c r="NK52" s="113"/>
      <c r="NL52" s="113"/>
      <c r="NM52" s="113"/>
      <c r="NN52" s="113"/>
      <c r="NO52" s="113"/>
      <c r="NP52" s="113"/>
      <c r="NQ52" s="113"/>
      <c r="NR52" s="113"/>
      <c r="NS52" s="113"/>
      <c r="NT52" s="113"/>
      <c r="NU52" s="113"/>
      <c r="NV52" s="113"/>
      <c r="NW52" s="113"/>
      <c r="NX52" s="113"/>
      <c r="NY52" s="113"/>
      <c r="NZ52" s="113"/>
      <c r="OA52" s="113"/>
      <c r="OB52" s="113"/>
      <c r="OC52" s="113"/>
      <c r="OD52" s="113"/>
      <c r="OE52" s="113"/>
      <c r="OF52" s="113"/>
      <c r="OG52" s="113"/>
      <c r="OH52" s="113"/>
      <c r="OI52" s="113"/>
      <c r="OJ52" s="113"/>
      <c r="OK52" s="113"/>
      <c r="OL52" s="113"/>
      <c r="OM52" s="113"/>
      <c r="ON52" s="113"/>
      <c r="OO52" s="113"/>
      <c r="OP52" s="113"/>
      <c r="OQ52" s="113"/>
      <c r="OR52" s="113"/>
      <c r="OS52" s="113"/>
      <c r="OT52" s="113"/>
      <c r="OU52" s="113"/>
      <c r="OV52" s="113"/>
      <c r="OW52" s="113"/>
      <c r="OX52" s="113"/>
      <c r="OY52" s="113"/>
      <c r="OZ52" s="113"/>
      <c r="PA52" s="113"/>
      <c r="PB52" s="113"/>
      <c r="PC52" s="113"/>
      <c r="PD52" s="113"/>
      <c r="PE52" s="113"/>
      <c r="PF52" s="113"/>
      <c r="PG52" s="113"/>
      <c r="PH52" s="113"/>
      <c r="PI52" s="113"/>
      <c r="PJ52" s="113"/>
      <c r="PK52" s="113"/>
      <c r="PL52" s="113"/>
      <c r="PM52" s="113"/>
    </row>
    <row r="53" spans="1:429" s="48" customFormat="1">
      <c r="A53" s="113"/>
      <c r="B53" s="107"/>
      <c r="C53" s="71"/>
      <c r="D53" s="71"/>
      <c r="E53" s="72" t="s">
        <v>329</v>
      </c>
      <c r="F53" s="73" t="s">
        <v>746</v>
      </c>
      <c r="G53" s="41">
        <v>2.6</v>
      </c>
      <c r="H53" s="42"/>
      <c r="I53" s="74"/>
      <c r="J53" s="41">
        <v>0.2</v>
      </c>
      <c r="K53" s="42"/>
      <c r="L53" s="74"/>
      <c r="M53" s="42"/>
      <c r="N53" s="42"/>
      <c r="O53" s="42"/>
      <c r="P53" s="35">
        <v>2019</v>
      </c>
      <c r="Q53" s="36" t="s">
        <v>226</v>
      </c>
      <c r="R53" s="73" t="s">
        <v>36</v>
      </c>
      <c r="S53" s="113"/>
      <c r="T53" s="113"/>
      <c r="U53" s="113"/>
      <c r="V53" s="113"/>
      <c r="W53" s="113"/>
      <c r="X53" s="113"/>
      <c r="Y53" s="113"/>
      <c r="Z53" s="113"/>
      <c r="AA53" s="113"/>
      <c r="AB53" s="113"/>
      <c r="AC53" s="113"/>
      <c r="AD53" s="113"/>
      <c r="AE53" s="113"/>
      <c r="AF53" s="113"/>
      <c r="AG53" s="113"/>
      <c r="AH53" s="113"/>
      <c r="AI53" s="113"/>
      <c r="AJ53" s="113"/>
      <c r="AK53" s="113"/>
      <c r="AL53" s="113"/>
      <c r="AM53" s="113"/>
      <c r="AN53" s="113"/>
      <c r="AO53" s="113"/>
      <c r="AP53" s="113"/>
      <c r="AQ53" s="113"/>
      <c r="AR53" s="113"/>
      <c r="AS53" s="113"/>
      <c r="AT53" s="113"/>
      <c r="AU53" s="113"/>
      <c r="AV53" s="113"/>
      <c r="AW53" s="113"/>
      <c r="AX53" s="113"/>
      <c r="AY53" s="113"/>
      <c r="AZ53" s="113"/>
      <c r="BA53" s="113"/>
      <c r="BB53" s="113"/>
      <c r="BC53" s="113"/>
      <c r="BD53" s="113"/>
      <c r="BE53" s="113"/>
      <c r="BF53" s="113"/>
      <c r="BG53" s="113"/>
      <c r="BH53" s="113"/>
      <c r="BI53" s="113"/>
      <c r="BJ53" s="113"/>
      <c r="BK53" s="113"/>
      <c r="BL53" s="113"/>
      <c r="BM53" s="113"/>
      <c r="BN53" s="113"/>
      <c r="BO53" s="113"/>
      <c r="BP53" s="113"/>
      <c r="BQ53" s="113"/>
      <c r="BR53" s="113"/>
      <c r="BS53" s="113"/>
      <c r="BT53" s="113"/>
      <c r="BU53" s="113"/>
      <c r="BV53" s="113"/>
      <c r="BW53" s="113"/>
      <c r="BX53" s="113"/>
      <c r="BY53" s="113"/>
      <c r="BZ53" s="113"/>
      <c r="CA53" s="113"/>
      <c r="CB53" s="113"/>
      <c r="CC53" s="113"/>
      <c r="CD53" s="113"/>
      <c r="CE53" s="113"/>
      <c r="CF53" s="113"/>
      <c r="CG53" s="113"/>
      <c r="CH53" s="113"/>
      <c r="CI53" s="113"/>
      <c r="CJ53" s="113"/>
      <c r="CK53" s="113"/>
      <c r="CL53" s="113"/>
      <c r="CM53" s="113"/>
      <c r="CN53" s="113"/>
      <c r="CO53" s="113"/>
      <c r="CP53" s="113"/>
      <c r="CQ53" s="113"/>
      <c r="CR53" s="113"/>
      <c r="CS53" s="113"/>
      <c r="CT53" s="113"/>
      <c r="CU53" s="113"/>
      <c r="CV53" s="113"/>
      <c r="CW53" s="113"/>
      <c r="CX53" s="113"/>
      <c r="CY53" s="113"/>
      <c r="CZ53" s="113"/>
      <c r="DA53" s="113"/>
      <c r="DB53" s="113"/>
      <c r="DC53" s="113"/>
      <c r="DD53" s="113"/>
      <c r="DE53" s="113"/>
      <c r="DF53" s="113"/>
      <c r="DG53" s="113"/>
      <c r="DH53" s="113"/>
      <c r="DI53" s="113"/>
      <c r="DJ53" s="113"/>
      <c r="DK53" s="113"/>
      <c r="DL53" s="113"/>
      <c r="DM53" s="113"/>
      <c r="DN53" s="113"/>
      <c r="DO53" s="113"/>
      <c r="DP53" s="113"/>
      <c r="DQ53" s="113"/>
      <c r="DR53" s="113"/>
      <c r="DS53" s="113"/>
      <c r="DT53" s="113"/>
      <c r="DU53" s="113"/>
      <c r="DV53" s="113"/>
      <c r="DW53" s="113"/>
      <c r="DX53" s="113"/>
      <c r="DY53" s="113"/>
      <c r="DZ53" s="113"/>
      <c r="EA53" s="113"/>
      <c r="EB53" s="113"/>
      <c r="EC53" s="113"/>
      <c r="ED53" s="113"/>
      <c r="EE53" s="113"/>
      <c r="EF53" s="113"/>
      <c r="EG53" s="113"/>
      <c r="EH53" s="113"/>
      <c r="EI53" s="113"/>
      <c r="EJ53" s="113"/>
      <c r="EK53" s="113"/>
      <c r="EL53" s="113"/>
      <c r="EM53" s="113"/>
      <c r="EN53" s="113"/>
      <c r="EO53" s="113"/>
      <c r="EP53" s="113"/>
      <c r="EQ53" s="113"/>
      <c r="ER53" s="113"/>
      <c r="ES53" s="113"/>
      <c r="ET53" s="113"/>
      <c r="EU53" s="113"/>
      <c r="EV53" s="113"/>
      <c r="EW53" s="113"/>
      <c r="EX53" s="113"/>
      <c r="EY53" s="113"/>
      <c r="EZ53" s="113"/>
      <c r="FA53" s="113"/>
      <c r="FB53" s="113"/>
      <c r="FC53" s="113"/>
      <c r="FD53" s="113"/>
      <c r="FE53" s="113"/>
      <c r="FF53" s="113"/>
      <c r="FG53" s="113"/>
      <c r="FH53" s="113"/>
      <c r="FI53" s="113"/>
      <c r="FJ53" s="113"/>
      <c r="FK53" s="113"/>
      <c r="FL53" s="113"/>
      <c r="FM53" s="113"/>
      <c r="FN53" s="113"/>
      <c r="FO53" s="113"/>
      <c r="FP53" s="113"/>
      <c r="FQ53" s="113"/>
      <c r="FR53" s="113"/>
      <c r="FS53" s="113"/>
      <c r="FT53" s="113"/>
      <c r="FU53" s="113"/>
      <c r="FV53" s="113"/>
      <c r="FW53" s="113"/>
      <c r="FX53" s="113"/>
      <c r="FY53" s="113"/>
      <c r="FZ53" s="113"/>
      <c r="GA53" s="113"/>
      <c r="GB53" s="113"/>
      <c r="GC53" s="113"/>
      <c r="GD53" s="113"/>
      <c r="GE53" s="113"/>
      <c r="GF53" s="113"/>
      <c r="GG53" s="113"/>
      <c r="GH53" s="113"/>
      <c r="GI53" s="113"/>
      <c r="GJ53" s="113"/>
      <c r="GK53" s="113"/>
      <c r="GL53" s="113"/>
      <c r="GM53" s="113"/>
      <c r="GN53" s="113"/>
      <c r="GO53" s="113"/>
      <c r="GP53" s="113"/>
      <c r="GQ53" s="113"/>
      <c r="GR53" s="113"/>
      <c r="GS53" s="113"/>
      <c r="GT53" s="113"/>
      <c r="GU53" s="113"/>
      <c r="GV53" s="113"/>
      <c r="GW53" s="113"/>
      <c r="GX53" s="113"/>
      <c r="GY53" s="113"/>
      <c r="GZ53" s="113"/>
      <c r="HA53" s="113"/>
      <c r="HB53" s="113"/>
      <c r="HC53" s="113"/>
      <c r="HD53" s="113"/>
      <c r="HE53" s="113"/>
      <c r="HF53" s="113"/>
      <c r="HG53" s="113"/>
      <c r="HH53" s="113"/>
      <c r="HI53" s="113"/>
      <c r="HJ53" s="113"/>
      <c r="HK53" s="113"/>
      <c r="HL53" s="113"/>
      <c r="HM53" s="113"/>
      <c r="HN53" s="113"/>
      <c r="HO53" s="113"/>
      <c r="HP53" s="113"/>
      <c r="HQ53" s="113"/>
      <c r="HR53" s="113"/>
      <c r="HS53" s="113"/>
      <c r="HT53" s="113"/>
      <c r="HU53" s="113"/>
      <c r="HV53" s="113"/>
      <c r="HW53" s="113"/>
      <c r="HX53" s="113"/>
      <c r="HY53" s="113"/>
      <c r="HZ53" s="113"/>
      <c r="IA53" s="113"/>
      <c r="IB53" s="113"/>
      <c r="IC53" s="113"/>
      <c r="ID53" s="113"/>
      <c r="IE53" s="113"/>
      <c r="IF53" s="113"/>
      <c r="IG53" s="113"/>
      <c r="IH53" s="113"/>
      <c r="II53" s="113"/>
      <c r="IJ53" s="113"/>
      <c r="IK53" s="113"/>
      <c r="IL53" s="113"/>
      <c r="IM53" s="113"/>
      <c r="IN53" s="113"/>
      <c r="IO53" s="113"/>
      <c r="IP53" s="113"/>
      <c r="IQ53" s="113"/>
      <c r="IR53" s="113"/>
      <c r="IS53" s="113"/>
      <c r="IT53" s="113"/>
      <c r="IU53" s="113"/>
      <c r="IV53" s="113"/>
      <c r="IW53" s="113"/>
      <c r="IX53" s="113"/>
      <c r="IY53" s="113"/>
      <c r="IZ53" s="113"/>
      <c r="JA53" s="113"/>
      <c r="JB53" s="113"/>
      <c r="JC53" s="113"/>
      <c r="JD53" s="113"/>
      <c r="JE53" s="113"/>
      <c r="JF53" s="113"/>
      <c r="JG53" s="113"/>
      <c r="JH53" s="113"/>
      <c r="JI53" s="113"/>
      <c r="JJ53" s="113"/>
      <c r="JK53" s="113"/>
      <c r="JL53" s="113"/>
      <c r="JM53" s="113"/>
      <c r="JN53" s="113"/>
      <c r="JO53" s="113"/>
      <c r="JP53" s="113"/>
      <c r="JQ53" s="113"/>
      <c r="JR53" s="113"/>
      <c r="JS53" s="113"/>
      <c r="JT53" s="113"/>
      <c r="JU53" s="113"/>
      <c r="JV53" s="113"/>
      <c r="JW53" s="113"/>
      <c r="JX53" s="113"/>
      <c r="JY53" s="113"/>
      <c r="JZ53" s="113"/>
      <c r="KA53" s="113"/>
      <c r="KB53" s="113"/>
      <c r="KC53" s="113"/>
      <c r="KD53" s="113"/>
      <c r="KE53" s="113"/>
      <c r="KF53" s="113"/>
      <c r="KG53" s="113"/>
      <c r="KH53" s="113"/>
      <c r="KI53" s="113"/>
      <c r="KJ53" s="113"/>
      <c r="KK53" s="113"/>
      <c r="KL53" s="113"/>
      <c r="KM53" s="113"/>
      <c r="KN53" s="113"/>
      <c r="KO53" s="113"/>
      <c r="KP53" s="113"/>
      <c r="KQ53" s="113"/>
      <c r="KR53" s="113"/>
      <c r="KS53" s="113"/>
      <c r="KT53" s="113"/>
      <c r="KU53" s="113"/>
      <c r="KV53" s="113"/>
      <c r="KW53" s="113"/>
      <c r="KX53" s="113"/>
      <c r="KY53" s="113"/>
      <c r="KZ53" s="113"/>
      <c r="LA53" s="113"/>
      <c r="LB53" s="113"/>
      <c r="LC53" s="113"/>
      <c r="LD53" s="113"/>
      <c r="LE53" s="113"/>
      <c r="LF53" s="113"/>
      <c r="LG53" s="113"/>
      <c r="LH53" s="113"/>
      <c r="LI53" s="113"/>
      <c r="LJ53" s="113"/>
      <c r="LK53" s="113"/>
      <c r="LL53" s="113"/>
      <c r="LM53" s="113"/>
      <c r="LN53" s="113"/>
      <c r="LO53" s="113"/>
      <c r="LP53" s="113"/>
      <c r="LQ53" s="113"/>
      <c r="LR53" s="113"/>
      <c r="LS53" s="113"/>
      <c r="LT53" s="113"/>
      <c r="LU53" s="113"/>
      <c r="LV53" s="113"/>
      <c r="LW53" s="113"/>
      <c r="LX53" s="113"/>
      <c r="LY53" s="113"/>
      <c r="LZ53" s="113"/>
      <c r="MA53" s="113"/>
      <c r="MB53" s="113"/>
      <c r="MC53" s="113"/>
      <c r="MD53" s="113"/>
      <c r="ME53" s="113"/>
      <c r="MF53" s="113"/>
      <c r="MG53" s="113"/>
      <c r="MH53" s="113"/>
      <c r="MI53" s="113"/>
      <c r="MJ53" s="113"/>
      <c r="MK53" s="113"/>
      <c r="ML53" s="113"/>
      <c r="MM53" s="113"/>
      <c r="MN53" s="113"/>
      <c r="MO53" s="113"/>
      <c r="MP53" s="113"/>
      <c r="MQ53" s="113"/>
      <c r="MR53" s="113"/>
      <c r="MS53" s="113"/>
      <c r="MT53" s="113"/>
      <c r="MU53" s="113"/>
      <c r="MV53" s="113"/>
      <c r="MW53" s="113"/>
      <c r="MX53" s="113"/>
      <c r="MY53" s="113"/>
      <c r="MZ53" s="113"/>
      <c r="NA53" s="113"/>
      <c r="NB53" s="113"/>
      <c r="NC53" s="113"/>
      <c r="ND53" s="113"/>
      <c r="NE53" s="113"/>
      <c r="NF53" s="113"/>
      <c r="NG53" s="113"/>
      <c r="NH53" s="113"/>
      <c r="NI53" s="113"/>
      <c r="NJ53" s="113"/>
      <c r="NK53" s="113"/>
      <c r="NL53" s="113"/>
      <c r="NM53" s="113"/>
      <c r="NN53" s="113"/>
      <c r="NO53" s="113"/>
      <c r="NP53" s="113"/>
      <c r="NQ53" s="113"/>
      <c r="NR53" s="113"/>
      <c r="NS53" s="113"/>
      <c r="NT53" s="113"/>
      <c r="NU53" s="113"/>
      <c r="NV53" s="113"/>
      <c r="NW53" s="113"/>
      <c r="NX53" s="113"/>
      <c r="NY53" s="113"/>
      <c r="NZ53" s="113"/>
      <c r="OA53" s="113"/>
      <c r="OB53" s="113"/>
      <c r="OC53" s="113"/>
      <c r="OD53" s="113"/>
      <c r="OE53" s="113"/>
      <c r="OF53" s="113"/>
      <c r="OG53" s="113"/>
      <c r="OH53" s="113"/>
      <c r="OI53" s="113"/>
      <c r="OJ53" s="113"/>
      <c r="OK53" s="113"/>
      <c r="OL53" s="113"/>
      <c r="OM53" s="113"/>
      <c r="ON53" s="113"/>
      <c r="OO53" s="113"/>
      <c r="OP53" s="113"/>
      <c r="OQ53" s="113"/>
      <c r="OR53" s="113"/>
      <c r="OS53" s="113"/>
      <c r="OT53" s="113"/>
      <c r="OU53" s="113"/>
      <c r="OV53" s="113"/>
      <c r="OW53" s="113"/>
      <c r="OX53" s="113"/>
      <c r="OY53" s="113"/>
      <c r="OZ53" s="113"/>
      <c r="PA53" s="113"/>
      <c r="PB53" s="113"/>
      <c r="PC53" s="113"/>
      <c r="PD53" s="113"/>
      <c r="PE53" s="113"/>
      <c r="PF53" s="113"/>
      <c r="PG53" s="113"/>
      <c r="PH53" s="113"/>
      <c r="PI53" s="113"/>
      <c r="PJ53" s="113"/>
      <c r="PK53" s="113"/>
      <c r="PL53" s="113"/>
      <c r="PM53" s="113"/>
    </row>
    <row r="54" spans="1:429">
      <c r="B54" s="107"/>
      <c r="C54" s="71"/>
      <c r="D54" s="71"/>
      <c r="E54" s="72" t="s">
        <v>329</v>
      </c>
      <c r="F54" s="73" t="s">
        <v>746</v>
      </c>
      <c r="G54" s="41">
        <v>2.8</v>
      </c>
      <c r="H54" s="42"/>
      <c r="I54" s="74"/>
      <c r="J54" s="41">
        <v>0.3</v>
      </c>
      <c r="K54" s="42"/>
      <c r="L54" s="74"/>
      <c r="M54" s="42"/>
      <c r="N54" s="42"/>
      <c r="O54" s="42"/>
      <c r="P54" s="35">
        <v>2016</v>
      </c>
      <c r="Q54" s="36" t="s">
        <v>226</v>
      </c>
      <c r="R54" s="73" t="s">
        <v>770</v>
      </c>
    </row>
    <row r="55" spans="1:429">
      <c r="B55" s="107"/>
      <c r="C55" s="71"/>
      <c r="D55" s="71"/>
      <c r="E55" s="72" t="s">
        <v>329</v>
      </c>
      <c r="F55" s="73" t="s">
        <v>746</v>
      </c>
      <c r="G55" s="41">
        <v>1.3</v>
      </c>
      <c r="H55" s="42"/>
      <c r="I55" s="74"/>
      <c r="J55" s="41"/>
      <c r="K55" s="42"/>
      <c r="L55" s="74"/>
      <c r="M55" s="42"/>
      <c r="N55" s="42"/>
      <c r="O55" s="42"/>
      <c r="P55" s="35">
        <v>2013</v>
      </c>
      <c r="Q55" s="36" t="s">
        <v>226</v>
      </c>
      <c r="R55" s="73" t="s">
        <v>38</v>
      </c>
    </row>
    <row r="56" spans="1:429">
      <c r="B56" s="108"/>
      <c r="C56" s="71"/>
      <c r="D56" s="71"/>
      <c r="E56" s="72" t="s">
        <v>331</v>
      </c>
      <c r="F56" s="73" t="s">
        <v>746</v>
      </c>
      <c r="G56" s="41"/>
      <c r="H56" s="42"/>
      <c r="I56" s="74"/>
      <c r="J56" s="41">
        <v>1.7</v>
      </c>
      <c r="K56" s="42"/>
      <c r="L56" s="74"/>
      <c r="M56" s="42"/>
      <c r="N56" s="42"/>
      <c r="O56" s="42"/>
      <c r="P56" s="35">
        <v>2013</v>
      </c>
      <c r="Q56" s="36" t="s">
        <v>50</v>
      </c>
      <c r="R56" s="73" t="s">
        <v>340</v>
      </c>
    </row>
    <row r="57" spans="1:429" s="48" customFormat="1" ht="15" customHeight="1">
      <c r="A57" s="113"/>
      <c r="B57" s="109" t="s">
        <v>771</v>
      </c>
      <c r="C57" s="71" t="s">
        <v>76</v>
      </c>
      <c r="D57" s="71" t="s">
        <v>104</v>
      </c>
      <c r="E57" s="72" t="s">
        <v>113</v>
      </c>
      <c r="F57" s="73" t="s">
        <v>771</v>
      </c>
      <c r="G57" s="41"/>
      <c r="H57" s="42"/>
      <c r="I57" s="74"/>
      <c r="J57" s="41">
        <v>0.36832136399999998</v>
      </c>
      <c r="K57" s="42"/>
      <c r="L57" s="74"/>
      <c r="M57" s="42"/>
      <c r="N57" s="42"/>
      <c r="O57" s="42"/>
      <c r="P57" s="35">
        <v>2023</v>
      </c>
      <c r="Q57" s="36" t="s">
        <v>27</v>
      </c>
      <c r="R57" s="73" t="s">
        <v>114</v>
      </c>
      <c r="S57" s="113"/>
      <c r="T57" s="113"/>
      <c r="U57" s="113"/>
      <c r="V57" s="113"/>
      <c r="W57" s="113"/>
      <c r="X57" s="113"/>
      <c r="Y57" s="113"/>
      <c r="Z57" s="113"/>
      <c r="AA57" s="113"/>
      <c r="AB57" s="113"/>
      <c r="AC57" s="113"/>
      <c r="AD57" s="113"/>
      <c r="AE57" s="113"/>
      <c r="AF57" s="113"/>
      <c r="AG57" s="113"/>
      <c r="AH57" s="113"/>
      <c r="AI57" s="113"/>
      <c r="AJ57" s="113"/>
      <c r="AK57" s="113"/>
      <c r="AL57" s="113"/>
      <c r="AM57" s="113"/>
      <c r="AN57" s="113"/>
      <c r="AO57" s="113"/>
      <c r="AP57" s="113"/>
      <c r="AQ57" s="113"/>
      <c r="AR57" s="113"/>
      <c r="AS57" s="113"/>
      <c r="AT57" s="113"/>
      <c r="AU57" s="113"/>
      <c r="AV57" s="113"/>
      <c r="AW57" s="113"/>
      <c r="AX57" s="113"/>
      <c r="AY57" s="113"/>
      <c r="AZ57" s="113"/>
      <c r="BA57" s="113"/>
      <c r="BB57" s="113"/>
      <c r="BC57" s="113"/>
      <c r="BD57" s="113"/>
      <c r="BE57" s="113"/>
      <c r="BF57" s="113"/>
      <c r="BG57" s="113"/>
      <c r="BH57" s="113"/>
      <c r="BI57" s="113"/>
      <c r="BJ57" s="113"/>
      <c r="BK57" s="113"/>
      <c r="BL57" s="113"/>
      <c r="BM57" s="113"/>
      <c r="BN57" s="113"/>
      <c r="BO57" s="113"/>
      <c r="BP57" s="113"/>
      <c r="BQ57" s="113"/>
      <c r="BR57" s="113"/>
      <c r="BS57" s="113"/>
      <c r="BT57" s="113"/>
      <c r="BU57" s="113"/>
      <c r="BV57" s="113"/>
      <c r="BW57" s="113"/>
      <c r="BX57" s="113"/>
      <c r="BY57" s="113"/>
      <c r="BZ57" s="113"/>
      <c r="CA57" s="113"/>
      <c r="CB57" s="113"/>
      <c r="CC57" s="113"/>
      <c r="CD57" s="113"/>
      <c r="CE57" s="113"/>
      <c r="CF57" s="113"/>
      <c r="CG57" s="113"/>
      <c r="CH57" s="113"/>
      <c r="CI57" s="113"/>
      <c r="CJ57" s="113"/>
      <c r="CK57" s="113"/>
      <c r="CL57" s="113"/>
      <c r="CM57" s="113"/>
      <c r="CN57" s="113"/>
      <c r="CO57" s="113"/>
      <c r="CP57" s="113"/>
      <c r="CQ57" s="113"/>
      <c r="CR57" s="113"/>
      <c r="CS57" s="113"/>
      <c r="CT57" s="113"/>
      <c r="CU57" s="113"/>
      <c r="CV57" s="113"/>
      <c r="CW57" s="113"/>
      <c r="CX57" s="113"/>
      <c r="CY57" s="113"/>
      <c r="CZ57" s="113"/>
      <c r="DA57" s="113"/>
      <c r="DB57" s="113"/>
      <c r="DC57" s="113"/>
      <c r="DD57" s="113"/>
      <c r="DE57" s="113"/>
      <c r="DF57" s="113"/>
      <c r="DG57" s="113"/>
      <c r="DH57" s="113"/>
      <c r="DI57" s="113"/>
      <c r="DJ57" s="113"/>
      <c r="DK57" s="113"/>
      <c r="DL57" s="113"/>
      <c r="DM57" s="113"/>
      <c r="DN57" s="113"/>
      <c r="DO57" s="113"/>
      <c r="DP57" s="113"/>
      <c r="DQ57" s="113"/>
      <c r="DR57" s="113"/>
      <c r="DS57" s="113"/>
      <c r="DT57" s="113"/>
      <c r="DU57" s="113"/>
      <c r="DV57" s="113"/>
      <c r="DW57" s="113"/>
      <c r="DX57" s="113"/>
      <c r="DY57" s="113"/>
      <c r="DZ57" s="113"/>
      <c r="EA57" s="113"/>
      <c r="EB57" s="113"/>
      <c r="EC57" s="113"/>
      <c r="ED57" s="113"/>
      <c r="EE57" s="113"/>
      <c r="EF57" s="113"/>
      <c r="EG57" s="113"/>
      <c r="EH57" s="113"/>
      <c r="EI57" s="113"/>
      <c r="EJ57" s="113"/>
      <c r="EK57" s="113"/>
      <c r="EL57" s="113"/>
      <c r="EM57" s="113"/>
      <c r="EN57" s="113"/>
      <c r="EO57" s="113"/>
      <c r="EP57" s="113"/>
      <c r="EQ57" s="113"/>
      <c r="ER57" s="113"/>
      <c r="ES57" s="113"/>
      <c r="ET57" s="113"/>
      <c r="EU57" s="113"/>
      <c r="EV57" s="113"/>
      <c r="EW57" s="113"/>
      <c r="EX57" s="113"/>
      <c r="EY57" s="113"/>
      <c r="EZ57" s="113"/>
      <c r="FA57" s="113"/>
      <c r="FB57" s="113"/>
      <c r="FC57" s="113"/>
      <c r="FD57" s="113"/>
      <c r="FE57" s="113"/>
      <c r="FF57" s="113"/>
      <c r="FG57" s="113"/>
      <c r="FH57" s="113"/>
      <c r="FI57" s="113"/>
      <c r="FJ57" s="113"/>
      <c r="FK57" s="113"/>
      <c r="FL57" s="113"/>
      <c r="FM57" s="113"/>
      <c r="FN57" s="113"/>
      <c r="FO57" s="113"/>
      <c r="FP57" s="113"/>
      <c r="FQ57" s="113"/>
      <c r="FR57" s="113"/>
      <c r="FS57" s="113"/>
      <c r="FT57" s="113"/>
      <c r="FU57" s="113"/>
      <c r="FV57" s="113"/>
      <c r="FW57" s="113"/>
      <c r="FX57" s="113"/>
      <c r="FY57" s="113"/>
      <c r="FZ57" s="113"/>
      <c r="GA57" s="113"/>
      <c r="GB57" s="113"/>
      <c r="GC57" s="113"/>
      <c r="GD57" s="113"/>
      <c r="GE57" s="113"/>
      <c r="GF57" s="113"/>
      <c r="GG57" s="113"/>
      <c r="GH57" s="113"/>
      <c r="GI57" s="113"/>
      <c r="GJ57" s="113"/>
      <c r="GK57" s="113"/>
      <c r="GL57" s="113"/>
      <c r="GM57" s="113"/>
      <c r="GN57" s="113"/>
      <c r="GO57" s="113"/>
      <c r="GP57" s="113"/>
      <c r="GQ57" s="113"/>
      <c r="GR57" s="113"/>
      <c r="GS57" s="113"/>
      <c r="GT57" s="113"/>
      <c r="GU57" s="113"/>
      <c r="GV57" s="113"/>
      <c r="GW57" s="113"/>
      <c r="GX57" s="113"/>
      <c r="GY57" s="113"/>
      <c r="GZ57" s="113"/>
      <c r="HA57" s="113"/>
      <c r="HB57" s="113"/>
      <c r="HC57" s="113"/>
      <c r="HD57" s="113"/>
      <c r="HE57" s="113"/>
      <c r="HF57" s="113"/>
      <c r="HG57" s="113"/>
      <c r="HH57" s="113"/>
      <c r="HI57" s="113"/>
      <c r="HJ57" s="113"/>
      <c r="HK57" s="113"/>
      <c r="HL57" s="113"/>
      <c r="HM57" s="113"/>
      <c r="HN57" s="113"/>
      <c r="HO57" s="113"/>
      <c r="HP57" s="113"/>
      <c r="HQ57" s="113"/>
      <c r="HR57" s="113"/>
      <c r="HS57" s="113"/>
      <c r="HT57" s="113"/>
      <c r="HU57" s="113"/>
      <c r="HV57" s="113"/>
      <c r="HW57" s="113"/>
      <c r="HX57" s="113"/>
      <c r="HY57" s="113"/>
      <c r="HZ57" s="113"/>
      <c r="IA57" s="113"/>
      <c r="IB57" s="113"/>
      <c r="IC57" s="113"/>
      <c r="ID57" s="113"/>
      <c r="IE57" s="113"/>
      <c r="IF57" s="113"/>
      <c r="IG57" s="113"/>
      <c r="IH57" s="113"/>
      <c r="II57" s="113"/>
      <c r="IJ57" s="113"/>
      <c r="IK57" s="113"/>
      <c r="IL57" s="113"/>
      <c r="IM57" s="113"/>
      <c r="IN57" s="113"/>
      <c r="IO57" s="113"/>
      <c r="IP57" s="113"/>
      <c r="IQ57" s="113"/>
      <c r="IR57" s="113"/>
      <c r="IS57" s="113"/>
      <c r="IT57" s="113"/>
      <c r="IU57" s="113"/>
      <c r="IV57" s="113"/>
      <c r="IW57" s="113"/>
      <c r="IX57" s="113"/>
      <c r="IY57" s="113"/>
      <c r="IZ57" s="113"/>
      <c r="JA57" s="113"/>
      <c r="JB57" s="113"/>
      <c r="JC57" s="113"/>
      <c r="JD57" s="113"/>
      <c r="JE57" s="113"/>
      <c r="JF57" s="113"/>
      <c r="JG57" s="113"/>
      <c r="JH57" s="113"/>
      <c r="JI57" s="113"/>
      <c r="JJ57" s="113"/>
      <c r="JK57" s="113"/>
      <c r="JL57" s="113"/>
      <c r="JM57" s="113"/>
      <c r="JN57" s="113"/>
      <c r="JO57" s="113"/>
      <c r="JP57" s="113"/>
      <c r="JQ57" s="113"/>
      <c r="JR57" s="113"/>
      <c r="JS57" s="113"/>
      <c r="JT57" s="113"/>
      <c r="JU57" s="113"/>
      <c r="JV57" s="113"/>
      <c r="JW57" s="113"/>
      <c r="JX57" s="113"/>
      <c r="JY57" s="113"/>
      <c r="JZ57" s="113"/>
      <c r="KA57" s="113"/>
      <c r="KB57" s="113"/>
      <c r="KC57" s="113"/>
      <c r="KD57" s="113"/>
      <c r="KE57" s="113"/>
      <c r="KF57" s="113"/>
      <c r="KG57" s="113"/>
      <c r="KH57" s="113"/>
      <c r="KI57" s="113"/>
      <c r="KJ57" s="113"/>
      <c r="KK57" s="113"/>
      <c r="KL57" s="113"/>
      <c r="KM57" s="113"/>
      <c r="KN57" s="113"/>
      <c r="KO57" s="113"/>
      <c r="KP57" s="113"/>
      <c r="KQ57" s="113"/>
      <c r="KR57" s="113"/>
      <c r="KS57" s="113"/>
      <c r="KT57" s="113"/>
      <c r="KU57" s="113"/>
      <c r="KV57" s="113"/>
      <c r="KW57" s="113"/>
      <c r="KX57" s="113"/>
      <c r="KY57" s="113"/>
      <c r="KZ57" s="113"/>
      <c r="LA57" s="113"/>
      <c r="LB57" s="113"/>
      <c r="LC57" s="113"/>
      <c r="LD57" s="113"/>
      <c r="LE57" s="113"/>
      <c r="LF57" s="113"/>
      <c r="LG57" s="113"/>
      <c r="LH57" s="113"/>
      <c r="LI57" s="113"/>
      <c r="LJ57" s="113"/>
      <c r="LK57" s="113"/>
      <c r="LL57" s="113"/>
      <c r="LM57" s="113"/>
      <c r="LN57" s="113"/>
      <c r="LO57" s="113"/>
      <c r="LP57" s="113"/>
      <c r="LQ57" s="113"/>
      <c r="LR57" s="113"/>
      <c r="LS57" s="113"/>
      <c r="LT57" s="113"/>
      <c r="LU57" s="113"/>
      <c r="LV57" s="113"/>
      <c r="LW57" s="113"/>
      <c r="LX57" s="113"/>
      <c r="LY57" s="113"/>
      <c r="LZ57" s="113"/>
      <c r="MA57" s="113"/>
      <c r="MB57" s="113"/>
      <c r="MC57" s="113"/>
      <c r="MD57" s="113"/>
      <c r="ME57" s="113"/>
      <c r="MF57" s="113"/>
      <c r="MG57" s="113"/>
      <c r="MH57" s="113"/>
      <c r="MI57" s="113"/>
      <c r="MJ57" s="113"/>
      <c r="MK57" s="113"/>
      <c r="ML57" s="113"/>
      <c r="MM57" s="113"/>
      <c r="MN57" s="113"/>
      <c r="MO57" s="113"/>
      <c r="MP57" s="113"/>
      <c r="MQ57" s="113"/>
      <c r="MR57" s="113"/>
      <c r="MS57" s="113"/>
      <c r="MT57" s="113"/>
      <c r="MU57" s="113"/>
      <c r="MV57" s="113"/>
      <c r="MW57" s="113"/>
      <c r="MX57" s="113"/>
      <c r="MY57" s="113"/>
      <c r="MZ57" s="113"/>
      <c r="NA57" s="113"/>
      <c r="NB57" s="113"/>
      <c r="NC57" s="113"/>
      <c r="ND57" s="113"/>
      <c r="NE57" s="113"/>
      <c r="NF57" s="113"/>
      <c r="NG57" s="113"/>
      <c r="NH57" s="113"/>
      <c r="NI57" s="113"/>
      <c r="NJ57" s="113"/>
      <c r="NK57" s="113"/>
      <c r="NL57" s="113"/>
      <c r="NM57" s="113"/>
      <c r="NN57" s="113"/>
      <c r="NO57" s="113"/>
      <c r="NP57" s="113"/>
      <c r="NQ57" s="113"/>
      <c r="NR57" s="113"/>
      <c r="NS57" s="113"/>
      <c r="NT57" s="113"/>
      <c r="NU57" s="113"/>
      <c r="NV57" s="113"/>
      <c r="NW57" s="113"/>
      <c r="NX57" s="113"/>
      <c r="NY57" s="113"/>
      <c r="NZ57" s="113"/>
      <c r="OA57" s="113"/>
      <c r="OB57" s="113"/>
      <c r="OC57" s="113"/>
      <c r="OD57" s="113"/>
      <c r="OE57" s="113"/>
      <c r="OF57" s="113"/>
      <c r="OG57" s="113"/>
      <c r="OH57" s="113"/>
      <c r="OI57" s="113"/>
      <c r="OJ57" s="113"/>
      <c r="OK57" s="113"/>
      <c r="OL57" s="113"/>
      <c r="OM57" s="113"/>
      <c r="ON57" s="113"/>
      <c r="OO57" s="113"/>
      <c r="OP57" s="113"/>
      <c r="OQ57" s="113"/>
      <c r="OR57" s="113"/>
      <c r="OS57" s="113"/>
      <c r="OT57" s="113"/>
      <c r="OU57" s="113"/>
      <c r="OV57" s="113"/>
      <c r="OW57" s="113"/>
      <c r="OX57" s="113"/>
      <c r="OY57" s="113"/>
      <c r="OZ57" s="113"/>
      <c r="PA57" s="113"/>
      <c r="PB57" s="113"/>
      <c r="PC57" s="113"/>
      <c r="PD57" s="113"/>
      <c r="PE57" s="113"/>
      <c r="PF57" s="113"/>
      <c r="PG57" s="113"/>
      <c r="PH57" s="113"/>
      <c r="PI57" s="113"/>
      <c r="PJ57" s="113"/>
      <c r="PK57" s="113"/>
      <c r="PL57" s="113"/>
      <c r="PM57" s="113"/>
    </row>
    <row r="58" spans="1:429" s="48" customFormat="1" ht="17.25" customHeight="1">
      <c r="A58" s="113"/>
      <c r="B58" s="110"/>
      <c r="C58" s="71"/>
      <c r="D58" s="71"/>
      <c r="E58" s="72" t="s">
        <v>113</v>
      </c>
      <c r="F58" s="73" t="s">
        <v>771</v>
      </c>
      <c r="G58" s="41"/>
      <c r="H58" s="42"/>
      <c r="I58" s="74"/>
      <c r="J58" s="41">
        <v>0.36832136399999998</v>
      </c>
      <c r="K58" s="42" t="s">
        <v>360</v>
      </c>
      <c r="L58" s="74" t="s">
        <v>360</v>
      </c>
      <c r="M58" s="42" t="s">
        <v>360</v>
      </c>
      <c r="N58" s="42" t="s">
        <v>360</v>
      </c>
      <c r="O58" s="42" t="s">
        <v>360</v>
      </c>
      <c r="P58" s="35">
        <v>2022</v>
      </c>
      <c r="Q58" s="36" t="s">
        <v>27</v>
      </c>
      <c r="R58" s="73" t="s">
        <v>115</v>
      </c>
      <c r="S58" s="113"/>
      <c r="T58" s="113"/>
      <c r="U58" s="113"/>
      <c r="V58" s="113"/>
      <c r="W58" s="113"/>
      <c r="X58" s="113"/>
      <c r="Y58" s="113"/>
      <c r="Z58" s="113"/>
      <c r="AA58" s="113"/>
      <c r="AB58" s="113"/>
      <c r="AC58" s="113"/>
      <c r="AD58" s="113"/>
      <c r="AE58" s="113"/>
      <c r="AF58" s="113"/>
      <c r="AG58" s="113"/>
      <c r="AH58" s="113"/>
      <c r="AI58" s="113"/>
      <c r="AJ58" s="113"/>
      <c r="AK58" s="113"/>
      <c r="AL58" s="113"/>
      <c r="AM58" s="113"/>
      <c r="AN58" s="113"/>
      <c r="AO58" s="113"/>
      <c r="AP58" s="113"/>
      <c r="AQ58" s="113"/>
      <c r="AR58" s="113"/>
      <c r="AS58" s="113"/>
      <c r="AT58" s="113"/>
      <c r="AU58" s="113"/>
      <c r="AV58" s="113"/>
      <c r="AW58" s="113"/>
      <c r="AX58" s="113"/>
      <c r="AY58" s="113"/>
      <c r="AZ58" s="113"/>
      <c r="BA58" s="113"/>
      <c r="BB58" s="113"/>
      <c r="BC58" s="113"/>
      <c r="BD58" s="113"/>
      <c r="BE58" s="113"/>
      <c r="BF58" s="113"/>
      <c r="BG58" s="113"/>
      <c r="BH58" s="113"/>
      <c r="BI58" s="113"/>
      <c r="BJ58" s="113"/>
      <c r="BK58" s="113"/>
      <c r="BL58" s="113"/>
      <c r="BM58" s="113"/>
      <c r="BN58" s="113"/>
      <c r="BO58" s="113"/>
      <c r="BP58" s="113"/>
      <c r="BQ58" s="113"/>
      <c r="BR58" s="113"/>
      <c r="BS58" s="113"/>
      <c r="BT58" s="113"/>
      <c r="BU58" s="113"/>
      <c r="BV58" s="113"/>
      <c r="BW58" s="113"/>
      <c r="BX58" s="113"/>
      <c r="BY58" s="113"/>
      <c r="BZ58" s="113"/>
      <c r="CA58" s="113"/>
      <c r="CB58" s="113"/>
      <c r="CC58" s="113"/>
      <c r="CD58" s="113"/>
      <c r="CE58" s="113"/>
      <c r="CF58" s="113"/>
      <c r="CG58" s="113"/>
      <c r="CH58" s="113"/>
      <c r="CI58" s="113"/>
      <c r="CJ58" s="113"/>
      <c r="CK58" s="113"/>
      <c r="CL58" s="113"/>
      <c r="CM58" s="113"/>
      <c r="CN58" s="113"/>
      <c r="CO58" s="113"/>
      <c r="CP58" s="113"/>
      <c r="CQ58" s="113"/>
      <c r="CR58" s="113"/>
      <c r="CS58" s="113"/>
      <c r="CT58" s="113"/>
      <c r="CU58" s="113"/>
      <c r="CV58" s="113"/>
      <c r="CW58" s="113"/>
      <c r="CX58" s="113"/>
      <c r="CY58" s="113"/>
      <c r="CZ58" s="113"/>
      <c r="DA58" s="113"/>
      <c r="DB58" s="113"/>
      <c r="DC58" s="113"/>
      <c r="DD58" s="113"/>
      <c r="DE58" s="113"/>
      <c r="DF58" s="113"/>
      <c r="DG58" s="113"/>
      <c r="DH58" s="113"/>
      <c r="DI58" s="113"/>
      <c r="DJ58" s="113"/>
      <c r="DK58" s="113"/>
      <c r="DL58" s="113"/>
      <c r="DM58" s="113"/>
      <c r="DN58" s="113"/>
      <c r="DO58" s="113"/>
      <c r="DP58" s="113"/>
      <c r="DQ58" s="113"/>
      <c r="DR58" s="113"/>
      <c r="DS58" s="113"/>
      <c r="DT58" s="113"/>
      <c r="DU58" s="113"/>
      <c r="DV58" s="113"/>
      <c r="DW58" s="113"/>
      <c r="DX58" s="113"/>
      <c r="DY58" s="113"/>
      <c r="DZ58" s="113"/>
      <c r="EA58" s="113"/>
      <c r="EB58" s="113"/>
      <c r="EC58" s="113"/>
      <c r="ED58" s="113"/>
      <c r="EE58" s="113"/>
      <c r="EF58" s="113"/>
      <c r="EG58" s="113"/>
      <c r="EH58" s="113"/>
      <c r="EI58" s="113"/>
      <c r="EJ58" s="113"/>
      <c r="EK58" s="113"/>
      <c r="EL58" s="113"/>
      <c r="EM58" s="113"/>
      <c r="EN58" s="113"/>
      <c r="EO58" s="113"/>
      <c r="EP58" s="113"/>
      <c r="EQ58" s="113"/>
      <c r="ER58" s="113"/>
      <c r="ES58" s="113"/>
      <c r="ET58" s="113"/>
      <c r="EU58" s="113"/>
      <c r="EV58" s="113"/>
      <c r="EW58" s="113"/>
      <c r="EX58" s="113"/>
      <c r="EY58" s="113"/>
      <c r="EZ58" s="113"/>
      <c r="FA58" s="113"/>
      <c r="FB58" s="113"/>
      <c r="FC58" s="113"/>
      <c r="FD58" s="113"/>
      <c r="FE58" s="113"/>
      <c r="FF58" s="113"/>
      <c r="FG58" s="113"/>
      <c r="FH58" s="113"/>
      <c r="FI58" s="113"/>
      <c r="FJ58" s="113"/>
      <c r="FK58" s="113"/>
      <c r="FL58" s="113"/>
      <c r="FM58" s="113"/>
      <c r="FN58" s="113"/>
      <c r="FO58" s="113"/>
      <c r="FP58" s="113"/>
      <c r="FQ58" s="113"/>
      <c r="FR58" s="113"/>
      <c r="FS58" s="113"/>
      <c r="FT58" s="113"/>
      <c r="FU58" s="113"/>
      <c r="FV58" s="113"/>
      <c r="FW58" s="113"/>
      <c r="FX58" s="113"/>
      <c r="FY58" s="113"/>
      <c r="FZ58" s="113"/>
      <c r="GA58" s="113"/>
      <c r="GB58" s="113"/>
      <c r="GC58" s="113"/>
      <c r="GD58" s="113"/>
      <c r="GE58" s="113"/>
      <c r="GF58" s="113"/>
      <c r="GG58" s="113"/>
      <c r="GH58" s="113"/>
      <c r="GI58" s="113"/>
      <c r="GJ58" s="113"/>
      <c r="GK58" s="113"/>
      <c r="GL58" s="113"/>
      <c r="GM58" s="113"/>
      <c r="GN58" s="113"/>
      <c r="GO58" s="113"/>
      <c r="GP58" s="113"/>
      <c r="GQ58" s="113"/>
      <c r="GR58" s="113"/>
      <c r="GS58" s="113"/>
      <c r="GT58" s="113"/>
      <c r="GU58" s="113"/>
      <c r="GV58" s="113"/>
      <c r="GW58" s="113"/>
      <c r="GX58" s="113"/>
      <c r="GY58" s="113"/>
      <c r="GZ58" s="113"/>
      <c r="HA58" s="113"/>
      <c r="HB58" s="113"/>
      <c r="HC58" s="113"/>
      <c r="HD58" s="113"/>
      <c r="HE58" s="113"/>
      <c r="HF58" s="113"/>
      <c r="HG58" s="113"/>
      <c r="HH58" s="113"/>
      <c r="HI58" s="113"/>
      <c r="HJ58" s="113"/>
      <c r="HK58" s="113"/>
      <c r="HL58" s="113"/>
      <c r="HM58" s="113"/>
      <c r="HN58" s="113"/>
      <c r="HO58" s="113"/>
      <c r="HP58" s="113"/>
      <c r="HQ58" s="113"/>
      <c r="HR58" s="113"/>
      <c r="HS58" s="113"/>
      <c r="HT58" s="113"/>
      <c r="HU58" s="113"/>
      <c r="HV58" s="113"/>
      <c r="HW58" s="113"/>
      <c r="HX58" s="113"/>
      <c r="HY58" s="113"/>
      <c r="HZ58" s="113"/>
      <c r="IA58" s="113"/>
      <c r="IB58" s="113"/>
      <c r="IC58" s="113"/>
      <c r="ID58" s="113"/>
      <c r="IE58" s="113"/>
      <c r="IF58" s="113"/>
      <c r="IG58" s="113"/>
      <c r="IH58" s="113"/>
      <c r="II58" s="113"/>
      <c r="IJ58" s="113"/>
      <c r="IK58" s="113"/>
      <c r="IL58" s="113"/>
      <c r="IM58" s="113"/>
      <c r="IN58" s="113"/>
      <c r="IO58" s="113"/>
      <c r="IP58" s="113"/>
      <c r="IQ58" s="113"/>
      <c r="IR58" s="113"/>
      <c r="IS58" s="113"/>
      <c r="IT58" s="113"/>
      <c r="IU58" s="113"/>
      <c r="IV58" s="113"/>
      <c r="IW58" s="113"/>
      <c r="IX58" s="113"/>
      <c r="IY58" s="113"/>
      <c r="IZ58" s="113"/>
      <c r="JA58" s="113"/>
      <c r="JB58" s="113"/>
      <c r="JC58" s="113"/>
      <c r="JD58" s="113"/>
      <c r="JE58" s="113"/>
      <c r="JF58" s="113"/>
      <c r="JG58" s="113"/>
      <c r="JH58" s="113"/>
      <c r="JI58" s="113"/>
      <c r="JJ58" s="113"/>
      <c r="JK58" s="113"/>
      <c r="JL58" s="113"/>
      <c r="JM58" s="113"/>
      <c r="JN58" s="113"/>
      <c r="JO58" s="113"/>
      <c r="JP58" s="113"/>
      <c r="JQ58" s="113"/>
      <c r="JR58" s="113"/>
      <c r="JS58" s="113"/>
      <c r="JT58" s="113"/>
      <c r="JU58" s="113"/>
      <c r="JV58" s="113"/>
      <c r="JW58" s="113"/>
      <c r="JX58" s="113"/>
      <c r="JY58" s="113"/>
      <c r="JZ58" s="113"/>
      <c r="KA58" s="113"/>
      <c r="KB58" s="113"/>
      <c r="KC58" s="113"/>
      <c r="KD58" s="113"/>
      <c r="KE58" s="113"/>
      <c r="KF58" s="113"/>
      <c r="KG58" s="113"/>
      <c r="KH58" s="113"/>
      <c r="KI58" s="113"/>
      <c r="KJ58" s="113"/>
      <c r="KK58" s="113"/>
      <c r="KL58" s="113"/>
      <c r="KM58" s="113"/>
      <c r="KN58" s="113"/>
      <c r="KO58" s="113"/>
      <c r="KP58" s="113"/>
      <c r="KQ58" s="113"/>
      <c r="KR58" s="113"/>
      <c r="KS58" s="113"/>
      <c r="KT58" s="113"/>
      <c r="KU58" s="113"/>
      <c r="KV58" s="113"/>
      <c r="KW58" s="113"/>
      <c r="KX58" s="113"/>
      <c r="KY58" s="113"/>
      <c r="KZ58" s="113"/>
      <c r="LA58" s="113"/>
      <c r="LB58" s="113"/>
      <c r="LC58" s="113"/>
      <c r="LD58" s="113"/>
      <c r="LE58" s="113"/>
      <c r="LF58" s="113"/>
      <c r="LG58" s="113"/>
      <c r="LH58" s="113"/>
      <c r="LI58" s="113"/>
      <c r="LJ58" s="113"/>
      <c r="LK58" s="113"/>
      <c r="LL58" s="113"/>
      <c r="LM58" s="113"/>
      <c r="LN58" s="113"/>
      <c r="LO58" s="113"/>
      <c r="LP58" s="113"/>
      <c r="LQ58" s="113"/>
      <c r="LR58" s="113"/>
      <c r="LS58" s="113"/>
      <c r="LT58" s="113"/>
      <c r="LU58" s="113"/>
      <c r="LV58" s="113"/>
      <c r="LW58" s="113"/>
      <c r="LX58" s="113"/>
      <c r="LY58" s="113"/>
      <c r="LZ58" s="113"/>
      <c r="MA58" s="113"/>
      <c r="MB58" s="113"/>
      <c r="MC58" s="113"/>
      <c r="MD58" s="113"/>
      <c r="ME58" s="113"/>
      <c r="MF58" s="113"/>
      <c r="MG58" s="113"/>
      <c r="MH58" s="113"/>
      <c r="MI58" s="113"/>
      <c r="MJ58" s="113"/>
      <c r="MK58" s="113"/>
      <c r="ML58" s="113"/>
      <c r="MM58" s="113"/>
      <c r="MN58" s="113"/>
      <c r="MO58" s="113"/>
      <c r="MP58" s="113"/>
      <c r="MQ58" s="113"/>
      <c r="MR58" s="113"/>
      <c r="MS58" s="113"/>
      <c r="MT58" s="113"/>
      <c r="MU58" s="113"/>
      <c r="MV58" s="113"/>
      <c r="MW58" s="113"/>
      <c r="MX58" s="113"/>
      <c r="MY58" s="113"/>
      <c r="MZ58" s="113"/>
      <c r="NA58" s="113"/>
      <c r="NB58" s="113"/>
      <c r="NC58" s="113"/>
      <c r="ND58" s="113"/>
      <c r="NE58" s="113"/>
      <c r="NF58" s="113"/>
      <c r="NG58" s="113"/>
      <c r="NH58" s="113"/>
      <c r="NI58" s="113"/>
      <c r="NJ58" s="113"/>
      <c r="NK58" s="113"/>
      <c r="NL58" s="113"/>
      <c r="NM58" s="113"/>
      <c r="NN58" s="113"/>
      <c r="NO58" s="113"/>
      <c r="NP58" s="113"/>
      <c r="NQ58" s="113"/>
      <c r="NR58" s="113"/>
      <c r="NS58" s="113"/>
      <c r="NT58" s="113"/>
      <c r="NU58" s="113"/>
      <c r="NV58" s="113"/>
      <c r="NW58" s="113"/>
      <c r="NX58" s="113"/>
      <c r="NY58" s="113"/>
      <c r="NZ58" s="113"/>
      <c r="OA58" s="113"/>
      <c r="OB58" s="113"/>
      <c r="OC58" s="113"/>
      <c r="OD58" s="113"/>
      <c r="OE58" s="113"/>
      <c r="OF58" s="113"/>
      <c r="OG58" s="113"/>
      <c r="OH58" s="113"/>
      <c r="OI58" s="113"/>
      <c r="OJ58" s="113"/>
      <c r="OK58" s="113"/>
      <c r="OL58" s="113"/>
      <c r="OM58" s="113"/>
      <c r="ON58" s="113"/>
      <c r="OO58" s="113"/>
      <c r="OP58" s="113"/>
      <c r="OQ58" s="113"/>
      <c r="OR58" s="113"/>
      <c r="OS58" s="113"/>
      <c r="OT58" s="113"/>
      <c r="OU58" s="113"/>
      <c r="OV58" s="113"/>
      <c r="OW58" s="113"/>
      <c r="OX58" s="113"/>
      <c r="OY58" s="113"/>
      <c r="OZ58" s="113"/>
      <c r="PA58" s="113"/>
      <c r="PB58" s="113"/>
      <c r="PC58" s="113"/>
      <c r="PD58" s="113"/>
      <c r="PE58" s="113"/>
      <c r="PF58" s="113"/>
      <c r="PG58" s="113"/>
      <c r="PH58" s="113"/>
      <c r="PI58" s="113"/>
      <c r="PJ58" s="113"/>
      <c r="PK58" s="113"/>
      <c r="PL58" s="113"/>
      <c r="PM58" s="113"/>
    </row>
    <row r="59" spans="1:429" ht="15.6" customHeight="1">
      <c r="B59" s="110"/>
      <c r="C59" s="71"/>
      <c r="D59" s="71"/>
      <c r="E59" s="72" t="s">
        <v>113</v>
      </c>
      <c r="F59" s="73" t="s">
        <v>771</v>
      </c>
      <c r="G59" s="41">
        <v>1.8</v>
      </c>
      <c r="H59" s="42">
        <v>2.5</v>
      </c>
      <c r="I59" s="74">
        <v>1.2</v>
      </c>
      <c r="J59" s="41">
        <v>0.3</v>
      </c>
      <c r="K59" s="42">
        <v>0.4</v>
      </c>
      <c r="L59" s="74">
        <v>0.3</v>
      </c>
      <c r="M59" s="42">
        <v>0.1</v>
      </c>
      <c r="N59" s="42">
        <v>0.1</v>
      </c>
      <c r="O59" s="42">
        <v>0.1</v>
      </c>
      <c r="P59" s="35">
        <v>2020</v>
      </c>
      <c r="Q59" s="36" t="s">
        <v>27</v>
      </c>
      <c r="R59" s="73" t="s">
        <v>24</v>
      </c>
    </row>
    <row r="60" spans="1:429" ht="15.6" customHeight="1">
      <c r="B60" s="110"/>
      <c r="C60" s="71"/>
      <c r="D60" s="71"/>
      <c r="E60" s="72" t="s">
        <v>113</v>
      </c>
      <c r="F60" s="73" t="s">
        <v>771</v>
      </c>
      <c r="G60" s="41"/>
      <c r="H60" s="42"/>
      <c r="I60" s="74"/>
      <c r="J60" s="41">
        <v>1.1000000000000001</v>
      </c>
      <c r="K60" s="42">
        <v>2.2000000000000002</v>
      </c>
      <c r="L60" s="74">
        <v>0.4</v>
      </c>
      <c r="M60" s="42"/>
      <c r="N60" s="42"/>
      <c r="O60" s="42"/>
      <c r="P60" s="35" t="s">
        <v>772</v>
      </c>
      <c r="Q60" s="36" t="s">
        <v>748</v>
      </c>
      <c r="R60" s="73" t="s">
        <v>749</v>
      </c>
    </row>
    <row r="61" spans="1:429" ht="15.75" customHeight="1">
      <c r="B61" s="110"/>
      <c r="C61" s="71"/>
      <c r="D61" s="71"/>
      <c r="E61" s="72" t="s">
        <v>113</v>
      </c>
      <c r="F61" s="73" t="s">
        <v>771</v>
      </c>
      <c r="G61" s="41"/>
      <c r="H61" s="42"/>
      <c r="I61" s="74"/>
      <c r="J61" s="41">
        <v>1.2</v>
      </c>
      <c r="K61" s="42"/>
      <c r="L61" s="74"/>
      <c r="M61" s="42"/>
      <c r="N61" s="42"/>
      <c r="O61" s="42"/>
      <c r="P61" s="35" t="s">
        <v>772</v>
      </c>
      <c r="Q61" s="36" t="s">
        <v>750</v>
      </c>
      <c r="R61" s="73" t="s">
        <v>749</v>
      </c>
    </row>
    <row r="62" spans="1:429" ht="15.75" customHeight="1">
      <c r="B62" s="110"/>
      <c r="C62" s="71"/>
      <c r="D62" s="71"/>
      <c r="E62" s="72" t="s">
        <v>113</v>
      </c>
      <c r="F62" s="73" t="s">
        <v>771</v>
      </c>
      <c r="G62" s="41"/>
      <c r="H62" s="42"/>
      <c r="I62" s="74"/>
      <c r="J62" s="41">
        <v>0.9</v>
      </c>
      <c r="K62" s="42"/>
      <c r="L62" s="74"/>
      <c r="M62" s="42"/>
      <c r="N62" s="42"/>
      <c r="O62" s="42"/>
      <c r="P62" s="35">
        <v>2018</v>
      </c>
      <c r="Q62" s="36" t="s">
        <v>750</v>
      </c>
      <c r="R62" s="73" t="s">
        <v>753</v>
      </c>
    </row>
    <row r="63" spans="1:429" ht="15.75" customHeight="1">
      <c r="B63" s="110"/>
      <c r="C63" s="71"/>
      <c r="D63" s="71"/>
      <c r="E63" s="72" t="s">
        <v>113</v>
      </c>
      <c r="F63" s="73" t="s">
        <v>771</v>
      </c>
      <c r="G63" s="41"/>
      <c r="H63" s="42"/>
      <c r="I63" s="74"/>
      <c r="J63" s="41">
        <v>0.8</v>
      </c>
      <c r="K63" s="42">
        <v>0.4</v>
      </c>
      <c r="L63" s="74">
        <v>0.1</v>
      </c>
      <c r="M63" s="42"/>
      <c r="N63" s="42"/>
      <c r="O63" s="42"/>
      <c r="P63" s="35">
        <v>2018</v>
      </c>
      <c r="Q63" s="36" t="s">
        <v>748</v>
      </c>
      <c r="R63" s="73" t="s">
        <v>753</v>
      </c>
    </row>
    <row r="64" spans="1:429" ht="15.75" customHeight="1">
      <c r="B64" s="110"/>
      <c r="C64" s="71"/>
      <c r="D64" s="71"/>
      <c r="E64" s="72" t="s">
        <v>113</v>
      </c>
      <c r="F64" s="73" t="s">
        <v>771</v>
      </c>
      <c r="G64" s="41"/>
      <c r="H64" s="42"/>
      <c r="I64" s="74"/>
      <c r="J64" s="41">
        <v>0.4</v>
      </c>
      <c r="K64" s="42">
        <v>0.9</v>
      </c>
      <c r="L64" s="74">
        <v>0.9</v>
      </c>
      <c r="M64" s="42"/>
      <c r="N64" s="42"/>
      <c r="O64" s="42"/>
      <c r="P64" s="35" t="s">
        <v>773</v>
      </c>
      <c r="Q64" s="36" t="s">
        <v>748</v>
      </c>
      <c r="R64" s="73" t="s">
        <v>774</v>
      </c>
    </row>
    <row r="65" spans="2:18" ht="15.75" customHeight="1">
      <c r="B65" s="110"/>
      <c r="C65" s="71"/>
      <c r="D65" s="71"/>
      <c r="E65" s="72" t="s">
        <v>113</v>
      </c>
      <c r="F65" s="73" t="s">
        <v>771</v>
      </c>
      <c r="G65" s="41"/>
      <c r="H65" s="42"/>
      <c r="I65" s="74"/>
      <c r="J65" s="41">
        <v>0.7</v>
      </c>
      <c r="K65" s="42">
        <v>0.6</v>
      </c>
      <c r="L65" s="74">
        <v>0.8</v>
      </c>
      <c r="M65" s="42"/>
      <c r="N65" s="42"/>
      <c r="O65" s="42"/>
      <c r="P65" s="35">
        <v>2016</v>
      </c>
      <c r="Q65" s="36" t="s">
        <v>748</v>
      </c>
      <c r="R65" s="73" t="s">
        <v>754</v>
      </c>
    </row>
    <row r="66" spans="2:18" ht="15.75" customHeight="1">
      <c r="B66" s="110"/>
      <c r="C66" s="71"/>
      <c r="D66" s="71"/>
      <c r="E66" s="72" t="s">
        <v>113</v>
      </c>
      <c r="F66" s="73" t="s">
        <v>771</v>
      </c>
      <c r="G66" s="41"/>
      <c r="H66" s="42"/>
      <c r="I66" s="74"/>
      <c r="J66" s="41">
        <v>0.5</v>
      </c>
      <c r="K66" s="42">
        <v>1.1000000000000001</v>
      </c>
      <c r="L66" s="74">
        <v>0.2</v>
      </c>
      <c r="M66" s="42"/>
      <c r="N66" s="42"/>
      <c r="O66" s="42"/>
      <c r="P66" s="35">
        <v>2015</v>
      </c>
      <c r="Q66" s="36" t="s">
        <v>748</v>
      </c>
      <c r="R66" s="73" t="s">
        <v>755</v>
      </c>
    </row>
    <row r="67" spans="2:18" ht="15.75" customHeight="1">
      <c r="B67" s="110"/>
      <c r="C67" s="71"/>
      <c r="D67" s="71"/>
      <c r="E67" s="72" t="s">
        <v>113</v>
      </c>
      <c r="F67" s="73" t="s">
        <v>771</v>
      </c>
      <c r="G67" s="41"/>
      <c r="H67" s="42"/>
      <c r="I67" s="74"/>
      <c r="J67" s="41">
        <v>0.5</v>
      </c>
      <c r="K67" s="42"/>
      <c r="L67" s="74"/>
      <c r="M67" s="42"/>
      <c r="N67" s="42"/>
      <c r="O67" s="42"/>
      <c r="P67" s="35">
        <v>2011</v>
      </c>
      <c r="Q67" s="36" t="s">
        <v>750</v>
      </c>
      <c r="R67" s="73" t="s">
        <v>751</v>
      </c>
    </row>
    <row r="68" spans="2:18" ht="15.75" customHeight="1">
      <c r="B68" s="110"/>
      <c r="C68" s="71"/>
      <c r="D68" s="71"/>
      <c r="E68" s="72" t="s">
        <v>113</v>
      </c>
      <c r="F68" s="73" t="s">
        <v>771</v>
      </c>
      <c r="G68" s="41"/>
      <c r="H68" s="42"/>
      <c r="I68" s="74"/>
      <c r="J68" s="41">
        <v>0.8</v>
      </c>
      <c r="K68" s="42"/>
      <c r="L68" s="74"/>
      <c r="M68" s="42"/>
      <c r="N68" s="42"/>
      <c r="O68" s="42"/>
      <c r="P68" s="35">
        <v>2010</v>
      </c>
      <c r="Q68" s="36" t="s">
        <v>750</v>
      </c>
      <c r="R68" s="73" t="s">
        <v>751</v>
      </c>
    </row>
    <row r="69" spans="2:18" ht="15.75" customHeight="1">
      <c r="B69" s="110"/>
      <c r="C69" s="71"/>
      <c r="D69" s="71"/>
      <c r="E69" s="72" t="s">
        <v>113</v>
      </c>
      <c r="F69" s="73" t="s">
        <v>771</v>
      </c>
      <c r="G69" s="41"/>
      <c r="H69" s="42"/>
      <c r="I69" s="74"/>
      <c r="J69" s="41">
        <v>0.5</v>
      </c>
      <c r="K69" s="42"/>
      <c r="L69" s="74"/>
      <c r="M69" s="42"/>
      <c r="N69" s="42"/>
      <c r="O69" s="42"/>
      <c r="P69" s="35">
        <v>2009</v>
      </c>
      <c r="Q69" s="36" t="s">
        <v>750</v>
      </c>
      <c r="R69" s="73" t="s">
        <v>751</v>
      </c>
    </row>
    <row r="70" spans="2:18" ht="15.75" customHeight="1">
      <c r="B70" s="110"/>
      <c r="C70" s="71"/>
      <c r="D70" s="71"/>
      <c r="E70" s="72" t="s">
        <v>113</v>
      </c>
      <c r="F70" s="73" t="s">
        <v>771</v>
      </c>
      <c r="G70" s="41"/>
      <c r="H70" s="42"/>
      <c r="I70" s="74"/>
      <c r="J70" s="41">
        <v>0.4</v>
      </c>
      <c r="K70" s="42"/>
      <c r="L70" s="74"/>
      <c r="M70" s="42"/>
      <c r="N70" s="42"/>
      <c r="O70" s="42"/>
      <c r="P70" s="35">
        <v>2008</v>
      </c>
      <c r="Q70" s="36" t="s">
        <v>750</v>
      </c>
      <c r="R70" s="73" t="s">
        <v>751</v>
      </c>
    </row>
    <row r="71" spans="2:18" ht="15.75" customHeight="1">
      <c r="B71" s="110"/>
      <c r="C71" s="71"/>
      <c r="D71" s="71"/>
      <c r="E71" s="72" t="s">
        <v>113</v>
      </c>
      <c r="F71" s="73" t="s">
        <v>771</v>
      </c>
      <c r="G71" s="41"/>
      <c r="H71" s="42"/>
      <c r="I71" s="74"/>
      <c r="J71" s="41">
        <v>0.3</v>
      </c>
      <c r="K71" s="42"/>
      <c r="L71" s="74"/>
      <c r="M71" s="42"/>
      <c r="N71" s="42"/>
      <c r="O71" s="42"/>
      <c r="P71" s="35">
        <v>2007</v>
      </c>
      <c r="Q71" s="36" t="s">
        <v>750</v>
      </c>
      <c r="R71" s="73" t="s">
        <v>751</v>
      </c>
    </row>
    <row r="72" spans="2:18" ht="15.75" customHeight="1">
      <c r="B72" s="110"/>
      <c r="C72" s="71"/>
      <c r="D72" s="71"/>
      <c r="E72" s="72" t="s">
        <v>113</v>
      </c>
      <c r="F72" s="73" t="s">
        <v>771</v>
      </c>
      <c r="G72" s="41"/>
      <c r="H72" s="42"/>
      <c r="I72" s="74"/>
      <c r="J72" s="41">
        <v>0.5</v>
      </c>
      <c r="K72" s="42"/>
      <c r="L72" s="74"/>
      <c r="M72" s="42"/>
      <c r="N72" s="42"/>
      <c r="O72" s="42"/>
      <c r="P72" s="35">
        <v>2006</v>
      </c>
      <c r="Q72" s="36" t="s">
        <v>750</v>
      </c>
      <c r="R72" s="73" t="s">
        <v>751</v>
      </c>
    </row>
    <row r="73" spans="2:18" ht="15.75" customHeight="1">
      <c r="B73" s="110"/>
      <c r="C73" s="71"/>
      <c r="D73" s="71"/>
      <c r="E73" s="72" t="s">
        <v>113</v>
      </c>
      <c r="F73" s="73" t="s">
        <v>771</v>
      </c>
      <c r="G73" s="41"/>
      <c r="H73" s="42"/>
      <c r="I73" s="74"/>
      <c r="J73" s="41">
        <v>0.5</v>
      </c>
      <c r="K73" s="42"/>
      <c r="L73" s="74"/>
      <c r="M73" s="42"/>
      <c r="N73" s="42"/>
      <c r="O73" s="42"/>
      <c r="P73" s="35">
        <v>2005</v>
      </c>
      <c r="Q73" s="36" t="s">
        <v>750</v>
      </c>
      <c r="R73" s="73" t="s">
        <v>751</v>
      </c>
    </row>
    <row r="74" spans="2:18" ht="15.75" customHeight="1">
      <c r="B74" s="110"/>
      <c r="C74" s="71"/>
      <c r="D74" s="71"/>
      <c r="E74" s="72" t="s">
        <v>113</v>
      </c>
      <c r="F74" s="73" t="s">
        <v>771</v>
      </c>
      <c r="G74" s="41"/>
      <c r="H74" s="42"/>
      <c r="I74" s="74"/>
      <c r="J74" s="41">
        <v>0.6</v>
      </c>
      <c r="K74" s="42"/>
      <c r="L74" s="74"/>
      <c r="M74" s="42"/>
      <c r="N74" s="42"/>
      <c r="O74" s="42"/>
      <c r="P74" s="35">
        <v>2004</v>
      </c>
      <c r="Q74" s="36" t="s">
        <v>750</v>
      </c>
      <c r="R74" s="73" t="s">
        <v>751</v>
      </c>
    </row>
    <row r="75" spans="2:18" ht="15.75" customHeight="1">
      <c r="B75" s="110"/>
      <c r="C75" s="71"/>
      <c r="D75" s="71"/>
      <c r="E75" s="72" t="s">
        <v>113</v>
      </c>
      <c r="F75" s="73" t="s">
        <v>771</v>
      </c>
      <c r="G75" s="41"/>
      <c r="H75" s="42"/>
      <c r="I75" s="74"/>
      <c r="J75" s="41">
        <v>0.9</v>
      </c>
      <c r="K75" s="42"/>
      <c r="L75" s="74"/>
      <c r="M75" s="42"/>
      <c r="N75" s="42"/>
      <c r="O75" s="42"/>
      <c r="P75" s="35">
        <v>2003</v>
      </c>
      <c r="Q75" s="36" t="s">
        <v>750</v>
      </c>
      <c r="R75" s="73" t="s">
        <v>751</v>
      </c>
    </row>
    <row r="76" spans="2:18" ht="15.6" customHeight="1">
      <c r="B76" s="110"/>
      <c r="C76" s="71"/>
      <c r="D76" s="71"/>
      <c r="E76" s="72" t="s">
        <v>113</v>
      </c>
      <c r="F76" s="73" t="s">
        <v>771</v>
      </c>
      <c r="G76" s="41"/>
      <c r="H76" s="42"/>
      <c r="I76" s="74"/>
      <c r="J76" s="41">
        <v>1.2</v>
      </c>
      <c r="K76" s="42"/>
      <c r="L76" s="74"/>
      <c r="M76" s="42"/>
      <c r="N76" s="42"/>
      <c r="O76" s="42"/>
      <c r="P76" s="35">
        <v>2002</v>
      </c>
      <c r="Q76" s="36" t="s">
        <v>750</v>
      </c>
      <c r="R76" s="73" t="s">
        <v>751</v>
      </c>
    </row>
    <row r="77" spans="2:18" ht="15.75" customHeight="1">
      <c r="B77" s="110"/>
      <c r="C77" s="71"/>
      <c r="D77" s="71" t="s">
        <v>752</v>
      </c>
      <c r="E77" s="72" t="s">
        <v>93</v>
      </c>
      <c r="F77" s="73" t="s">
        <v>771</v>
      </c>
      <c r="G77" s="41">
        <v>0.15</v>
      </c>
      <c r="H77" s="42">
        <v>0.23</v>
      </c>
      <c r="I77" s="74">
        <v>6.8000000000000005E-2</v>
      </c>
      <c r="J77" s="41">
        <v>5.3999999999999999E-2</v>
      </c>
      <c r="K77" s="42">
        <v>0.107</v>
      </c>
      <c r="L77" s="74">
        <v>0</v>
      </c>
      <c r="M77" s="42">
        <v>0.02</v>
      </c>
      <c r="N77" s="42">
        <v>0.03</v>
      </c>
      <c r="O77" s="42">
        <v>0</v>
      </c>
      <c r="P77" s="35">
        <v>2015</v>
      </c>
      <c r="Q77" s="36" t="s">
        <v>27</v>
      </c>
      <c r="R77" s="73" t="s">
        <v>24</v>
      </c>
    </row>
    <row r="78" spans="2:18" ht="15.75" customHeight="1">
      <c r="B78" s="110"/>
      <c r="C78" s="71"/>
      <c r="D78" s="71"/>
      <c r="E78" s="72" t="s">
        <v>93</v>
      </c>
      <c r="F78" s="73" t="s">
        <v>771</v>
      </c>
      <c r="G78" s="41">
        <v>0.14000000000000001</v>
      </c>
      <c r="H78" s="42">
        <v>0.21</v>
      </c>
      <c r="I78" s="74">
        <v>7.0000000000000007E-2</v>
      </c>
      <c r="J78" s="41">
        <v>5.3999999999999999E-2</v>
      </c>
      <c r="K78" s="42">
        <v>0.1</v>
      </c>
      <c r="L78" s="74">
        <v>0</v>
      </c>
      <c r="M78" s="42">
        <v>0.02</v>
      </c>
      <c r="N78" s="42">
        <v>0.03</v>
      </c>
      <c r="O78" s="42">
        <v>0</v>
      </c>
      <c r="P78" s="35">
        <v>2015</v>
      </c>
      <c r="Q78" s="36" t="s">
        <v>94</v>
      </c>
      <c r="R78" s="73" t="s">
        <v>24</v>
      </c>
    </row>
    <row r="79" spans="2:18" ht="15.75" customHeight="1">
      <c r="B79" s="110"/>
      <c r="C79" s="71"/>
      <c r="D79" s="71"/>
      <c r="E79" s="72" t="s">
        <v>93</v>
      </c>
      <c r="F79" s="73" t="s">
        <v>771</v>
      </c>
      <c r="G79" s="41">
        <v>0.13700000000000001</v>
      </c>
      <c r="H79" s="42">
        <v>0.20799999999999999</v>
      </c>
      <c r="I79" s="74">
        <v>6.5000000000000002E-2</v>
      </c>
      <c r="J79" s="41">
        <v>0.05</v>
      </c>
      <c r="K79" s="42">
        <v>9.7000000000000003E-2</v>
      </c>
      <c r="L79" s="74">
        <v>3.0000000000000001E-3</v>
      </c>
      <c r="M79" s="42">
        <v>1.6E-2</v>
      </c>
      <c r="N79" s="42">
        <v>3.1E-2</v>
      </c>
      <c r="O79" s="42">
        <v>0</v>
      </c>
      <c r="P79" s="35" t="s">
        <v>775</v>
      </c>
      <c r="Q79" s="36" t="s">
        <v>94</v>
      </c>
      <c r="R79" s="73" t="s">
        <v>24</v>
      </c>
    </row>
    <row r="80" spans="2:18" ht="15.75" customHeight="1">
      <c r="B80" s="110"/>
      <c r="C80" s="71"/>
      <c r="D80" s="71"/>
      <c r="E80" s="72" t="s">
        <v>93</v>
      </c>
      <c r="F80" s="73" t="s">
        <v>771</v>
      </c>
      <c r="G80" s="41">
        <v>0.13999999999999999</v>
      </c>
      <c r="H80" s="42">
        <v>0.21</v>
      </c>
      <c r="I80" s="74">
        <v>6.9999999999999993E-2</v>
      </c>
      <c r="J80" s="41">
        <v>0.14000000000000001</v>
      </c>
      <c r="K80" s="42">
        <v>0.21</v>
      </c>
      <c r="L80" s="74">
        <v>7.0000000000000007E-2</v>
      </c>
      <c r="M80" s="42">
        <v>0.11</v>
      </c>
      <c r="N80" s="42">
        <v>0.21</v>
      </c>
      <c r="O80" s="42">
        <v>0</v>
      </c>
      <c r="P80" s="35">
        <v>2010</v>
      </c>
      <c r="Q80" s="36" t="s">
        <v>27</v>
      </c>
      <c r="R80" s="73" t="s">
        <v>24</v>
      </c>
    </row>
    <row r="81" spans="1:429" ht="15.75" customHeight="1">
      <c r="B81" s="110"/>
      <c r="C81" s="71"/>
      <c r="D81" s="71"/>
      <c r="E81" s="72" t="s">
        <v>95</v>
      </c>
      <c r="F81" s="73" t="s">
        <v>771</v>
      </c>
      <c r="G81" s="41">
        <v>0.5</v>
      </c>
      <c r="H81" s="42"/>
      <c r="I81" s="74"/>
      <c r="J81" s="41"/>
      <c r="K81" s="42"/>
      <c r="L81" s="74"/>
      <c r="M81" s="42"/>
      <c r="N81" s="42"/>
      <c r="O81" s="42"/>
      <c r="P81" s="35">
        <v>2014</v>
      </c>
      <c r="Q81" s="36" t="s">
        <v>79</v>
      </c>
      <c r="R81" s="73" t="s">
        <v>776</v>
      </c>
    </row>
    <row r="82" spans="1:429" ht="15.75" customHeight="1">
      <c r="B82" s="110"/>
      <c r="C82" s="71"/>
      <c r="D82" s="71" t="s">
        <v>117</v>
      </c>
      <c r="E82" s="72" t="s">
        <v>118</v>
      </c>
      <c r="F82" s="73" t="s">
        <v>771</v>
      </c>
      <c r="G82" s="41">
        <v>0.8</v>
      </c>
      <c r="H82" s="42">
        <v>0.9</v>
      </c>
      <c r="I82" s="74">
        <v>0.7</v>
      </c>
      <c r="J82" s="41"/>
      <c r="K82" s="42"/>
      <c r="L82" s="74"/>
      <c r="M82" s="42"/>
      <c r="N82" s="42"/>
      <c r="O82" s="42"/>
      <c r="P82" s="35" t="s">
        <v>773</v>
      </c>
      <c r="Q82" s="36" t="s">
        <v>79</v>
      </c>
      <c r="R82" s="73" t="s">
        <v>24</v>
      </c>
    </row>
    <row r="83" spans="1:429" ht="15.75" customHeight="1">
      <c r="B83" s="110"/>
      <c r="C83" s="71"/>
      <c r="D83" s="71"/>
      <c r="E83" s="72" t="s">
        <v>118</v>
      </c>
      <c r="F83" s="73" t="s">
        <v>771</v>
      </c>
      <c r="G83" s="41">
        <v>0.79400000000000004</v>
      </c>
      <c r="H83" s="42">
        <v>0.92</v>
      </c>
      <c r="I83" s="74">
        <v>0.68500000000000005</v>
      </c>
      <c r="J83" s="41"/>
      <c r="K83" s="42"/>
      <c r="L83" s="74"/>
      <c r="M83" s="42"/>
      <c r="N83" s="42"/>
      <c r="O83" s="42"/>
      <c r="P83" s="35">
        <v>2017</v>
      </c>
      <c r="Q83" s="36" t="s">
        <v>27</v>
      </c>
      <c r="R83" s="73" t="s">
        <v>24</v>
      </c>
    </row>
    <row r="84" spans="1:429" ht="15.75" customHeight="1">
      <c r="B84" s="110"/>
      <c r="C84" s="71"/>
      <c r="D84" s="71"/>
      <c r="E84" s="72" t="s">
        <v>118</v>
      </c>
      <c r="F84" s="73" t="s">
        <v>771</v>
      </c>
      <c r="G84" s="41">
        <v>0.8</v>
      </c>
      <c r="H84" s="42"/>
      <c r="I84" s="74"/>
      <c r="J84" s="41"/>
      <c r="K84" s="42"/>
      <c r="L84" s="74"/>
      <c r="M84" s="42"/>
      <c r="N84" s="42"/>
      <c r="O84" s="42"/>
      <c r="P84" s="35" t="s">
        <v>777</v>
      </c>
      <c r="Q84" s="36" t="s">
        <v>27</v>
      </c>
      <c r="R84" s="73" t="s">
        <v>778</v>
      </c>
    </row>
    <row r="85" spans="1:429" ht="15.75" customHeight="1">
      <c r="B85" s="110"/>
      <c r="C85" s="71"/>
      <c r="D85" s="71"/>
      <c r="E85" s="72" t="s">
        <v>118</v>
      </c>
      <c r="F85" s="73" t="s">
        <v>771</v>
      </c>
      <c r="G85" s="41">
        <v>0.3</v>
      </c>
      <c r="H85" s="42">
        <v>0.3</v>
      </c>
      <c r="I85" s="74">
        <v>0.3</v>
      </c>
      <c r="J85" s="41"/>
      <c r="K85" s="42"/>
      <c r="L85" s="74"/>
      <c r="M85" s="42"/>
      <c r="N85" s="42"/>
      <c r="O85" s="42"/>
      <c r="P85" s="35" t="s">
        <v>779</v>
      </c>
      <c r="Q85" s="36" t="s">
        <v>27</v>
      </c>
      <c r="R85" s="73" t="s">
        <v>24</v>
      </c>
    </row>
    <row r="86" spans="1:429" ht="15.75" customHeight="1">
      <c r="B86" s="110"/>
      <c r="C86" s="71"/>
      <c r="D86" s="71"/>
      <c r="E86" s="72" t="s">
        <v>118</v>
      </c>
      <c r="F86" s="73" t="s">
        <v>771</v>
      </c>
      <c r="G86" s="41">
        <v>0.3</v>
      </c>
      <c r="H86" s="42">
        <v>0.4</v>
      </c>
      <c r="I86" s="74">
        <v>0.2</v>
      </c>
      <c r="J86" s="41"/>
      <c r="K86" s="42"/>
      <c r="L86" s="74"/>
      <c r="M86" s="42"/>
      <c r="N86" s="42"/>
      <c r="O86" s="42"/>
      <c r="P86" s="35">
        <v>2011</v>
      </c>
      <c r="Q86" s="36" t="s">
        <v>106</v>
      </c>
      <c r="R86" s="73" t="s">
        <v>24</v>
      </c>
    </row>
    <row r="87" spans="1:429" ht="15.75" customHeight="1">
      <c r="B87" s="110"/>
      <c r="C87" s="71"/>
      <c r="D87" s="71"/>
      <c r="E87" s="72" t="s">
        <v>118</v>
      </c>
      <c r="F87" s="73" t="s">
        <v>771</v>
      </c>
      <c r="G87" s="41">
        <v>0.4</v>
      </c>
      <c r="H87" s="42">
        <v>0.5</v>
      </c>
      <c r="I87" s="74">
        <v>0.3</v>
      </c>
      <c r="J87" s="41"/>
      <c r="K87" s="42"/>
      <c r="L87" s="74"/>
      <c r="M87" s="42"/>
      <c r="N87" s="42"/>
      <c r="O87" s="42"/>
      <c r="P87" s="35">
        <v>2010</v>
      </c>
      <c r="Q87" s="36" t="s">
        <v>106</v>
      </c>
      <c r="R87" s="73" t="s">
        <v>780</v>
      </c>
    </row>
    <row r="88" spans="1:429" ht="15.75" customHeight="1">
      <c r="B88" s="110"/>
      <c r="C88" s="71"/>
      <c r="D88" s="71"/>
      <c r="E88" s="72" t="s">
        <v>118</v>
      </c>
      <c r="F88" s="73" t="s">
        <v>771</v>
      </c>
      <c r="G88" s="41">
        <v>0.3</v>
      </c>
      <c r="H88" s="42">
        <v>0.4</v>
      </c>
      <c r="I88" s="74">
        <v>0.2</v>
      </c>
      <c r="J88" s="41"/>
      <c r="K88" s="42"/>
      <c r="L88" s="74"/>
      <c r="M88" s="42"/>
      <c r="N88" s="42"/>
      <c r="O88" s="42"/>
      <c r="P88" s="35">
        <v>2010</v>
      </c>
      <c r="Q88" s="36" t="s">
        <v>79</v>
      </c>
      <c r="R88" s="73" t="s">
        <v>24</v>
      </c>
    </row>
    <row r="89" spans="1:429" ht="15.75" customHeight="1">
      <c r="B89" s="110"/>
      <c r="C89" s="71"/>
      <c r="D89" s="71"/>
      <c r="E89" s="72" t="s">
        <v>118</v>
      </c>
      <c r="F89" s="73" t="s">
        <v>771</v>
      </c>
      <c r="G89" s="41">
        <v>1</v>
      </c>
      <c r="H89" s="42">
        <v>1.7999999999999998</v>
      </c>
      <c r="I89" s="74">
        <v>0.4</v>
      </c>
      <c r="J89" s="41"/>
      <c r="K89" s="42"/>
      <c r="L89" s="74"/>
      <c r="M89" s="42"/>
      <c r="N89" s="42"/>
      <c r="O89" s="42"/>
      <c r="P89" s="35">
        <v>2009</v>
      </c>
      <c r="Q89" s="36"/>
      <c r="R89" s="73" t="s">
        <v>24</v>
      </c>
    </row>
    <row r="90" spans="1:429" ht="15.75" customHeight="1">
      <c r="B90" s="110"/>
      <c r="C90" s="71"/>
      <c r="D90" s="71"/>
      <c r="E90" s="72" t="s">
        <v>118</v>
      </c>
      <c r="F90" s="73" t="s">
        <v>771</v>
      </c>
      <c r="G90" s="41">
        <v>0.3</v>
      </c>
      <c r="H90" s="42">
        <v>0.5</v>
      </c>
      <c r="I90" s="74">
        <v>0.1</v>
      </c>
      <c r="J90" s="41"/>
      <c r="K90" s="42"/>
      <c r="L90" s="74"/>
      <c r="M90" s="42"/>
      <c r="N90" s="42"/>
      <c r="O90" s="42"/>
      <c r="P90" s="35">
        <v>2008</v>
      </c>
      <c r="Q90" s="36" t="s">
        <v>106</v>
      </c>
      <c r="R90" s="73" t="s">
        <v>780</v>
      </c>
    </row>
    <row r="91" spans="1:429" ht="15.75" customHeight="1">
      <c r="B91" s="110"/>
      <c r="C91" s="71"/>
      <c r="D91" s="71"/>
      <c r="E91" s="72" t="s">
        <v>118</v>
      </c>
      <c r="F91" s="73" t="s">
        <v>771</v>
      </c>
      <c r="G91" s="41">
        <v>0.5</v>
      </c>
      <c r="H91" s="42">
        <v>0.6</v>
      </c>
      <c r="I91" s="74">
        <v>0.4</v>
      </c>
      <c r="J91" s="41"/>
      <c r="K91" s="42"/>
      <c r="L91" s="74"/>
      <c r="M91" s="42"/>
      <c r="N91" s="42"/>
      <c r="O91" s="42"/>
      <c r="P91" s="35">
        <v>2006</v>
      </c>
      <c r="Q91" s="36" t="s">
        <v>106</v>
      </c>
      <c r="R91" s="73" t="s">
        <v>780</v>
      </c>
    </row>
    <row r="92" spans="1:429" ht="15.75" customHeight="1">
      <c r="B92" s="110"/>
      <c r="C92" s="71"/>
      <c r="D92" s="71"/>
      <c r="E92" s="72" t="s">
        <v>120</v>
      </c>
      <c r="F92" s="73" t="s">
        <v>771</v>
      </c>
      <c r="G92" s="41">
        <v>0.11</v>
      </c>
      <c r="H92" s="42">
        <v>0.18</v>
      </c>
      <c r="I92" s="74">
        <v>0.01</v>
      </c>
      <c r="J92" s="41"/>
      <c r="K92" s="42"/>
      <c r="L92" s="74"/>
      <c r="M92" s="42"/>
      <c r="N92" s="42"/>
      <c r="O92" s="42"/>
      <c r="P92" s="35">
        <v>2016</v>
      </c>
      <c r="Q92" s="36" t="s">
        <v>27</v>
      </c>
      <c r="R92" s="73" t="s">
        <v>24</v>
      </c>
    </row>
    <row r="93" spans="1:429" ht="15.75" customHeight="1">
      <c r="B93" s="110"/>
      <c r="C93" s="71"/>
      <c r="D93" s="71"/>
      <c r="E93" s="72" t="s">
        <v>120</v>
      </c>
      <c r="F93" s="73" t="s">
        <v>771</v>
      </c>
      <c r="G93" s="41"/>
      <c r="H93" s="42"/>
      <c r="I93" s="74"/>
      <c r="J93" s="41">
        <v>0.3</v>
      </c>
      <c r="K93" s="42">
        <v>0.3</v>
      </c>
      <c r="L93" s="74">
        <v>0.3</v>
      </c>
      <c r="M93" s="42"/>
      <c r="N93" s="42"/>
      <c r="O93" s="42"/>
      <c r="P93" s="35" t="s">
        <v>779</v>
      </c>
      <c r="Q93" s="36" t="s">
        <v>27</v>
      </c>
      <c r="R93" s="73" t="s">
        <v>24</v>
      </c>
    </row>
    <row r="94" spans="1:429" s="48" customFormat="1" ht="15.75" customHeight="1">
      <c r="A94" s="113"/>
      <c r="B94" s="110"/>
      <c r="C94" s="71"/>
      <c r="D94" s="71"/>
      <c r="E94" s="72" t="s">
        <v>126</v>
      </c>
      <c r="F94" s="73" t="s">
        <v>771</v>
      </c>
      <c r="G94" s="41">
        <v>0.24</v>
      </c>
      <c r="H94" s="42">
        <v>0.37</v>
      </c>
      <c r="I94" s="74">
        <v>0.12</v>
      </c>
      <c r="J94" s="41">
        <v>0.09</v>
      </c>
      <c r="K94" s="42">
        <v>7.0000000000000007E-2</v>
      </c>
      <c r="L94" s="74">
        <v>0.12</v>
      </c>
      <c r="M94" s="42">
        <v>0.06</v>
      </c>
      <c r="N94" s="42">
        <v>0.04</v>
      </c>
      <c r="O94" s="42">
        <v>0.09</v>
      </c>
      <c r="P94" s="35">
        <v>2023</v>
      </c>
      <c r="Q94" s="36" t="s">
        <v>27</v>
      </c>
      <c r="R94" s="73" t="s">
        <v>756</v>
      </c>
      <c r="S94" s="113"/>
      <c r="T94" s="113"/>
      <c r="U94" s="113"/>
      <c r="V94" s="113"/>
      <c r="W94" s="113"/>
      <c r="X94" s="113"/>
      <c r="Y94" s="113"/>
      <c r="Z94" s="113"/>
      <c r="AA94" s="113"/>
      <c r="AB94" s="113"/>
      <c r="AC94" s="113"/>
      <c r="AD94" s="113"/>
      <c r="AE94" s="113"/>
      <c r="AF94" s="113"/>
      <c r="AG94" s="113"/>
      <c r="AH94" s="113"/>
      <c r="AI94" s="113"/>
      <c r="AJ94" s="113"/>
      <c r="AK94" s="113"/>
      <c r="AL94" s="113"/>
      <c r="AM94" s="113"/>
      <c r="AN94" s="113"/>
      <c r="AO94" s="113"/>
      <c r="AP94" s="113"/>
      <c r="AQ94" s="113"/>
      <c r="AR94" s="113"/>
      <c r="AS94" s="113"/>
      <c r="AT94" s="113"/>
      <c r="AU94" s="113"/>
      <c r="AV94" s="113"/>
      <c r="AW94" s="113"/>
      <c r="AX94" s="113"/>
      <c r="AY94" s="113"/>
      <c r="AZ94" s="113"/>
      <c r="BA94" s="113"/>
      <c r="BB94" s="113"/>
      <c r="BC94" s="113"/>
      <c r="BD94" s="113"/>
      <c r="BE94" s="113"/>
      <c r="BF94" s="113"/>
      <c r="BG94" s="113"/>
      <c r="BH94" s="113"/>
      <c r="BI94" s="113"/>
      <c r="BJ94" s="113"/>
      <c r="BK94" s="113"/>
      <c r="BL94" s="113"/>
      <c r="BM94" s="113"/>
      <c r="BN94" s="113"/>
      <c r="BO94" s="113"/>
      <c r="BP94" s="113"/>
      <c r="BQ94" s="113"/>
      <c r="BR94" s="113"/>
      <c r="BS94" s="113"/>
      <c r="BT94" s="113"/>
      <c r="BU94" s="113"/>
      <c r="BV94" s="113"/>
      <c r="BW94" s="113"/>
      <c r="BX94" s="113"/>
      <c r="BY94" s="113"/>
      <c r="BZ94" s="113"/>
      <c r="CA94" s="113"/>
      <c r="CB94" s="113"/>
      <c r="CC94" s="113"/>
      <c r="CD94" s="113"/>
      <c r="CE94" s="113"/>
      <c r="CF94" s="113"/>
      <c r="CG94" s="113"/>
      <c r="CH94" s="113"/>
      <c r="CI94" s="113"/>
      <c r="CJ94" s="113"/>
      <c r="CK94" s="113"/>
      <c r="CL94" s="113"/>
      <c r="CM94" s="113"/>
      <c r="CN94" s="113"/>
      <c r="CO94" s="113"/>
      <c r="CP94" s="113"/>
      <c r="CQ94" s="113"/>
      <c r="CR94" s="113"/>
      <c r="CS94" s="113"/>
      <c r="CT94" s="113"/>
      <c r="CU94" s="113"/>
      <c r="CV94" s="113"/>
      <c r="CW94" s="113"/>
      <c r="CX94" s="113"/>
      <c r="CY94" s="113"/>
      <c r="CZ94" s="113"/>
      <c r="DA94" s="113"/>
      <c r="DB94" s="113"/>
      <c r="DC94" s="113"/>
      <c r="DD94" s="113"/>
      <c r="DE94" s="113"/>
      <c r="DF94" s="113"/>
      <c r="DG94" s="113"/>
      <c r="DH94" s="113"/>
      <c r="DI94" s="113"/>
      <c r="DJ94" s="113"/>
      <c r="DK94" s="113"/>
      <c r="DL94" s="113"/>
      <c r="DM94" s="113"/>
      <c r="DN94" s="113"/>
      <c r="DO94" s="113"/>
      <c r="DP94" s="113"/>
      <c r="DQ94" s="113"/>
      <c r="DR94" s="113"/>
      <c r="DS94" s="113"/>
      <c r="DT94" s="113"/>
      <c r="DU94" s="113"/>
      <c r="DV94" s="113"/>
      <c r="DW94" s="113"/>
      <c r="DX94" s="113"/>
      <c r="DY94" s="113"/>
      <c r="DZ94" s="113"/>
      <c r="EA94" s="113"/>
      <c r="EB94" s="113"/>
      <c r="EC94" s="113"/>
      <c r="ED94" s="113"/>
      <c r="EE94" s="113"/>
      <c r="EF94" s="113"/>
      <c r="EG94" s="113"/>
      <c r="EH94" s="113"/>
      <c r="EI94" s="113"/>
      <c r="EJ94" s="113"/>
      <c r="EK94" s="113"/>
      <c r="EL94" s="113"/>
      <c r="EM94" s="113"/>
      <c r="EN94" s="113"/>
      <c r="EO94" s="113"/>
      <c r="EP94" s="113"/>
      <c r="EQ94" s="113"/>
      <c r="ER94" s="113"/>
      <c r="ES94" s="113"/>
      <c r="ET94" s="113"/>
      <c r="EU94" s="113"/>
      <c r="EV94" s="113"/>
      <c r="EW94" s="113"/>
      <c r="EX94" s="113"/>
      <c r="EY94" s="113"/>
      <c r="EZ94" s="113"/>
      <c r="FA94" s="113"/>
      <c r="FB94" s="113"/>
      <c r="FC94" s="113"/>
      <c r="FD94" s="113"/>
      <c r="FE94" s="113"/>
      <c r="FF94" s="113"/>
      <c r="FG94" s="113"/>
      <c r="FH94" s="113"/>
      <c r="FI94" s="113"/>
      <c r="FJ94" s="113"/>
      <c r="FK94" s="113"/>
      <c r="FL94" s="113"/>
      <c r="FM94" s="113"/>
      <c r="FN94" s="113"/>
      <c r="FO94" s="113"/>
      <c r="FP94" s="113"/>
      <c r="FQ94" s="113"/>
      <c r="FR94" s="113"/>
      <c r="FS94" s="113"/>
      <c r="FT94" s="113"/>
      <c r="FU94" s="113"/>
      <c r="FV94" s="113"/>
      <c r="FW94" s="113"/>
      <c r="FX94" s="113"/>
      <c r="FY94" s="113"/>
      <c r="FZ94" s="113"/>
      <c r="GA94" s="113"/>
      <c r="GB94" s="113"/>
      <c r="GC94" s="113"/>
      <c r="GD94" s="113"/>
      <c r="GE94" s="113"/>
      <c r="GF94" s="113"/>
      <c r="GG94" s="113"/>
      <c r="GH94" s="113"/>
      <c r="GI94" s="113"/>
      <c r="GJ94" s="113"/>
      <c r="GK94" s="113"/>
      <c r="GL94" s="113"/>
      <c r="GM94" s="113"/>
      <c r="GN94" s="113"/>
      <c r="GO94" s="113"/>
      <c r="GP94" s="113"/>
      <c r="GQ94" s="113"/>
      <c r="GR94" s="113"/>
      <c r="GS94" s="113"/>
      <c r="GT94" s="113"/>
      <c r="GU94" s="113"/>
      <c r="GV94" s="113"/>
      <c r="GW94" s="113"/>
      <c r="GX94" s="113"/>
      <c r="GY94" s="113"/>
      <c r="GZ94" s="113"/>
      <c r="HA94" s="113"/>
      <c r="HB94" s="113"/>
      <c r="HC94" s="113"/>
      <c r="HD94" s="113"/>
      <c r="HE94" s="113"/>
      <c r="HF94" s="113"/>
      <c r="HG94" s="113"/>
      <c r="HH94" s="113"/>
      <c r="HI94" s="113"/>
      <c r="HJ94" s="113"/>
      <c r="HK94" s="113"/>
      <c r="HL94" s="113"/>
      <c r="HM94" s="113"/>
      <c r="HN94" s="113"/>
      <c r="HO94" s="113"/>
      <c r="HP94" s="113"/>
      <c r="HQ94" s="113"/>
      <c r="HR94" s="113"/>
      <c r="HS94" s="113"/>
      <c r="HT94" s="113"/>
      <c r="HU94" s="113"/>
      <c r="HV94" s="113"/>
      <c r="HW94" s="113"/>
      <c r="HX94" s="113"/>
      <c r="HY94" s="113"/>
      <c r="HZ94" s="113"/>
      <c r="IA94" s="113"/>
      <c r="IB94" s="113"/>
      <c r="IC94" s="113"/>
      <c r="ID94" s="113"/>
      <c r="IE94" s="113"/>
      <c r="IF94" s="113"/>
      <c r="IG94" s="113"/>
      <c r="IH94" s="113"/>
      <c r="II94" s="113"/>
      <c r="IJ94" s="113"/>
      <c r="IK94" s="113"/>
      <c r="IL94" s="113"/>
      <c r="IM94" s="113"/>
      <c r="IN94" s="113"/>
      <c r="IO94" s="113"/>
      <c r="IP94" s="113"/>
      <c r="IQ94" s="113"/>
      <c r="IR94" s="113"/>
      <c r="IS94" s="113"/>
      <c r="IT94" s="113"/>
      <c r="IU94" s="113"/>
      <c r="IV94" s="113"/>
      <c r="IW94" s="113"/>
      <c r="IX94" s="113"/>
      <c r="IY94" s="113"/>
      <c r="IZ94" s="113"/>
      <c r="JA94" s="113"/>
      <c r="JB94" s="113"/>
      <c r="JC94" s="113"/>
      <c r="JD94" s="113"/>
      <c r="JE94" s="113"/>
      <c r="JF94" s="113"/>
      <c r="JG94" s="113"/>
      <c r="JH94" s="113"/>
      <c r="JI94" s="113"/>
      <c r="JJ94" s="113"/>
      <c r="JK94" s="113"/>
      <c r="JL94" s="113"/>
      <c r="JM94" s="113"/>
      <c r="JN94" s="113"/>
      <c r="JO94" s="113"/>
      <c r="JP94" s="113"/>
      <c r="JQ94" s="113"/>
      <c r="JR94" s="113"/>
      <c r="JS94" s="113"/>
      <c r="JT94" s="113"/>
      <c r="JU94" s="113"/>
      <c r="JV94" s="113"/>
      <c r="JW94" s="113"/>
      <c r="JX94" s="113"/>
      <c r="JY94" s="113"/>
      <c r="JZ94" s="113"/>
      <c r="KA94" s="113"/>
      <c r="KB94" s="113"/>
      <c r="KC94" s="113"/>
      <c r="KD94" s="113"/>
      <c r="KE94" s="113"/>
      <c r="KF94" s="113"/>
      <c r="KG94" s="113"/>
      <c r="KH94" s="113"/>
      <c r="KI94" s="113"/>
      <c r="KJ94" s="113"/>
      <c r="KK94" s="113"/>
      <c r="KL94" s="113"/>
      <c r="KM94" s="113"/>
      <c r="KN94" s="113"/>
      <c r="KO94" s="113"/>
      <c r="KP94" s="113"/>
      <c r="KQ94" s="113"/>
      <c r="KR94" s="113"/>
      <c r="KS94" s="113"/>
      <c r="KT94" s="113"/>
      <c r="KU94" s="113"/>
      <c r="KV94" s="113"/>
      <c r="KW94" s="113"/>
      <c r="KX94" s="113"/>
      <c r="KY94" s="113"/>
      <c r="KZ94" s="113"/>
      <c r="LA94" s="113"/>
      <c r="LB94" s="113"/>
      <c r="LC94" s="113"/>
      <c r="LD94" s="113"/>
      <c r="LE94" s="113"/>
      <c r="LF94" s="113"/>
      <c r="LG94" s="113"/>
      <c r="LH94" s="113"/>
      <c r="LI94" s="113"/>
      <c r="LJ94" s="113"/>
      <c r="LK94" s="113"/>
      <c r="LL94" s="113"/>
      <c r="LM94" s="113"/>
      <c r="LN94" s="113"/>
      <c r="LO94" s="113"/>
      <c r="LP94" s="113"/>
      <c r="LQ94" s="113"/>
      <c r="LR94" s="113"/>
      <c r="LS94" s="113"/>
      <c r="LT94" s="113"/>
      <c r="LU94" s="113"/>
      <c r="LV94" s="113"/>
      <c r="LW94" s="113"/>
      <c r="LX94" s="113"/>
      <c r="LY94" s="113"/>
      <c r="LZ94" s="113"/>
      <c r="MA94" s="113"/>
      <c r="MB94" s="113"/>
      <c r="MC94" s="113"/>
      <c r="MD94" s="113"/>
      <c r="ME94" s="113"/>
      <c r="MF94" s="113"/>
      <c r="MG94" s="113"/>
      <c r="MH94" s="113"/>
      <c r="MI94" s="113"/>
      <c r="MJ94" s="113"/>
      <c r="MK94" s="113"/>
      <c r="ML94" s="113"/>
      <c r="MM94" s="113"/>
      <c r="MN94" s="113"/>
      <c r="MO94" s="113"/>
      <c r="MP94" s="113"/>
      <c r="MQ94" s="113"/>
      <c r="MR94" s="113"/>
      <c r="MS94" s="113"/>
      <c r="MT94" s="113"/>
      <c r="MU94" s="113"/>
      <c r="MV94" s="113"/>
      <c r="MW94" s="113"/>
      <c r="MX94" s="113"/>
      <c r="MY94" s="113"/>
      <c r="MZ94" s="113"/>
      <c r="NA94" s="113"/>
      <c r="NB94" s="113"/>
      <c r="NC94" s="113"/>
      <c r="ND94" s="113"/>
      <c r="NE94" s="113"/>
      <c r="NF94" s="113"/>
      <c r="NG94" s="113"/>
      <c r="NH94" s="113"/>
      <c r="NI94" s="113"/>
      <c r="NJ94" s="113"/>
      <c r="NK94" s="113"/>
      <c r="NL94" s="113"/>
      <c r="NM94" s="113"/>
      <c r="NN94" s="113"/>
      <c r="NO94" s="113"/>
      <c r="NP94" s="113"/>
      <c r="NQ94" s="113"/>
      <c r="NR94" s="113"/>
      <c r="NS94" s="113"/>
      <c r="NT94" s="113"/>
      <c r="NU94" s="113"/>
      <c r="NV94" s="113"/>
      <c r="NW94" s="113"/>
      <c r="NX94" s="113"/>
      <c r="NY94" s="113"/>
      <c r="NZ94" s="113"/>
      <c r="OA94" s="113"/>
      <c r="OB94" s="113"/>
      <c r="OC94" s="113"/>
      <c r="OD94" s="113"/>
      <c r="OE94" s="113"/>
      <c r="OF94" s="113"/>
      <c r="OG94" s="113"/>
      <c r="OH94" s="113"/>
      <c r="OI94" s="113"/>
      <c r="OJ94" s="113"/>
      <c r="OK94" s="113"/>
      <c r="OL94" s="113"/>
      <c r="OM94" s="113"/>
      <c r="ON94" s="113"/>
      <c r="OO94" s="113"/>
      <c r="OP94" s="113"/>
      <c r="OQ94" s="113"/>
      <c r="OR94" s="113"/>
      <c r="OS94" s="113"/>
      <c r="OT94" s="113"/>
      <c r="OU94" s="113"/>
      <c r="OV94" s="113"/>
      <c r="OW94" s="113"/>
      <c r="OX94" s="113"/>
      <c r="OY94" s="113"/>
      <c r="OZ94" s="113"/>
      <c r="PA94" s="113"/>
      <c r="PB94" s="113"/>
      <c r="PC94" s="113"/>
      <c r="PD94" s="113"/>
      <c r="PE94" s="113"/>
      <c r="PF94" s="113"/>
      <c r="PG94" s="113"/>
      <c r="PH94" s="113"/>
      <c r="PI94" s="113"/>
      <c r="PJ94" s="113"/>
      <c r="PK94" s="113"/>
      <c r="PL94" s="113"/>
      <c r="PM94" s="113"/>
    </row>
    <row r="95" spans="1:429" ht="15.75" customHeight="1">
      <c r="B95" s="110"/>
      <c r="C95" s="71"/>
      <c r="D95" s="71"/>
      <c r="E95" s="72" t="s">
        <v>126</v>
      </c>
      <c r="F95" s="73" t="s">
        <v>771</v>
      </c>
      <c r="G95" s="41">
        <v>0.2</v>
      </c>
      <c r="H95" s="42">
        <v>0.4</v>
      </c>
      <c r="I95" s="74"/>
      <c r="J95" s="41">
        <v>0.11</v>
      </c>
      <c r="K95" s="42">
        <v>0.23</v>
      </c>
      <c r="L95" s="74"/>
      <c r="M95" s="42">
        <v>0.04</v>
      </c>
      <c r="N95" s="42">
        <v>0.08</v>
      </c>
      <c r="O95" s="42"/>
      <c r="P95" s="35">
        <v>2020</v>
      </c>
      <c r="Q95" s="36" t="s">
        <v>27</v>
      </c>
      <c r="R95" s="73" t="s">
        <v>24</v>
      </c>
    </row>
    <row r="96" spans="1:429" ht="15.75" customHeight="1">
      <c r="B96" s="110"/>
      <c r="C96" s="71"/>
      <c r="D96" s="71"/>
      <c r="E96" s="72" t="s">
        <v>126</v>
      </c>
      <c r="F96" s="73" t="s">
        <v>771</v>
      </c>
      <c r="G96" s="41">
        <v>0.01</v>
      </c>
      <c r="H96" s="42">
        <v>0.02</v>
      </c>
      <c r="I96" s="74">
        <v>0.01</v>
      </c>
      <c r="J96" s="41">
        <v>0</v>
      </c>
      <c r="K96" s="42">
        <v>0.01</v>
      </c>
      <c r="L96" s="74">
        <v>0</v>
      </c>
      <c r="M96" s="42">
        <v>0</v>
      </c>
      <c r="N96" s="42">
        <v>0</v>
      </c>
      <c r="O96" s="42">
        <v>0</v>
      </c>
      <c r="P96" s="35" t="s">
        <v>781</v>
      </c>
      <c r="Q96" s="36" t="s">
        <v>27</v>
      </c>
      <c r="R96" s="73" t="s">
        <v>765</v>
      </c>
    </row>
    <row r="97" spans="1:429" ht="15.75" customHeight="1">
      <c r="B97" s="110"/>
      <c r="C97" s="71"/>
      <c r="D97" s="71"/>
      <c r="E97" s="72" t="s">
        <v>126</v>
      </c>
      <c r="F97" s="73" t="s">
        <v>771</v>
      </c>
      <c r="G97" s="41">
        <v>0.04</v>
      </c>
      <c r="H97" s="42">
        <v>0.06</v>
      </c>
      <c r="I97" s="74">
        <v>0.02</v>
      </c>
      <c r="J97" s="41">
        <v>0.01</v>
      </c>
      <c r="K97" s="42">
        <v>0</v>
      </c>
      <c r="L97" s="74">
        <v>0.01</v>
      </c>
      <c r="M97" s="42">
        <v>0.01</v>
      </c>
      <c r="N97" s="42">
        <v>0</v>
      </c>
      <c r="O97" s="42">
        <v>0.01</v>
      </c>
      <c r="P97" s="35" t="s">
        <v>777</v>
      </c>
      <c r="Q97" s="36" t="s">
        <v>27</v>
      </c>
      <c r="R97" s="73" t="s">
        <v>782</v>
      </c>
    </row>
    <row r="98" spans="1:429" ht="15.75" customHeight="1">
      <c r="B98" s="110"/>
      <c r="C98" s="71"/>
      <c r="D98" s="71"/>
      <c r="E98" s="72" t="s">
        <v>126</v>
      </c>
      <c r="F98" s="73" t="s">
        <v>771</v>
      </c>
      <c r="G98" s="41">
        <v>0.02</v>
      </c>
      <c r="H98" s="42">
        <v>0.03</v>
      </c>
      <c r="I98" s="74">
        <v>0.01</v>
      </c>
      <c r="J98" s="41">
        <v>0</v>
      </c>
      <c r="K98" s="42">
        <v>0.01</v>
      </c>
      <c r="L98" s="74">
        <v>0</v>
      </c>
      <c r="M98" s="42">
        <v>0</v>
      </c>
      <c r="N98" s="42">
        <v>0</v>
      </c>
      <c r="O98" s="42">
        <v>0</v>
      </c>
      <c r="P98" s="35">
        <v>2014</v>
      </c>
      <c r="Q98" s="36" t="s">
        <v>27</v>
      </c>
      <c r="R98" s="73" t="s">
        <v>783</v>
      </c>
    </row>
    <row r="99" spans="1:429" ht="15.75" customHeight="1">
      <c r="B99" s="110"/>
      <c r="C99" s="71"/>
      <c r="D99" s="71"/>
      <c r="E99" s="72" t="s">
        <v>129</v>
      </c>
      <c r="F99" s="73" t="s">
        <v>771</v>
      </c>
      <c r="G99" s="41">
        <v>0.16</v>
      </c>
      <c r="H99" s="42">
        <v>0.22</v>
      </c>
      <c r="I99" s="74">
        <v>0.1</v>
      </c>
      <c r="J99" s="41"/>
      <c r="K99" s="42"/>
      <c r="L99" s="74"/>
      <c r="M99" s="42"/>
      <c r="N99" s="42"/>
      <c r="O99" s="42"/>
      <c r="P99" s="35">
        <v>2019</v>
      </c>
      <c r="Q99" s="36" t="s">
        <v>79</v>
      </c>
      <c r="R99" s="73" t="s">
        <v>109</v>
      </c>
    </row>
    <row r="100" spans="1:429" ht="15.75" customHeight="1">
      <c r="B100" s="110"/>
      <c r="C100" s="71"/>
      <c r="D100" s="71"/>
      <c r="E100" s="72" t="s">
        <v>129</v>
      </c>
      <c r="F100" s="73" t="s">
        <v>771</v>
      </c>
      <c r="G100" s="41">
        <v>0.18</v>
      </c>
      <c r="H100" s="42"/>
      <c r="I100" s="74"/>
      <c r="J100" s="41"/>
      <c r="K100" s="42"/>
      <c r="L100" s="74"/>
      <c r="M100" s="42"/>
      <c r="N100" s="42"/>
      <c r="O100" s="42"/>
      <c r="P100" s="35">
        <v>2013</v>
      </c>
      <c r="Q100" s="36" t="s">
        <v>79</v>
      </c>
      <c r="R100" s="73" t="s">
        <v>784</v>
      </c>
    </row>
    <row r="101" spans="1:429" ht="15.75" customHeight="1">
      <c r="B101" s="110"/>
      <c r="C101" s="71"/>
      <c r="D101" s="71"/>
      <c r="E101" s="72" t="s">
        <v>131</v>
      </c>
      <c r="F101" s="73" t="s">
        <v>771</v>
      </c>
      <c r="G101" s="41">
        <v>0.01</v>
      </c>
      <c r="H101" s="42">
        <v>0</v>
      </c>
      <c r="I101" s="74">
        <v>0</v>
      </c>
      <c r="J101" s="41"/>
      <c r="K101" s="42"/>
      <c r="L101" s="74"/>
      <c r="M101" s="42"/>
      <c r="N101" s="42"/>
      <c r="O101" s="42"/>
      <c r="P101" s="35">
        <v>2009</v>
      </c>
      <c r="Q101" s="36"/>
      <c r="R101" s="73" t="s">
        <v>24</v>
      </c>
    </row>
    <row r="102" spans="1:429" ht="15.75" customHeight="1">
      <c r="B102" s="110"/>
      <c r="C102" s="71"/>
      <c r="D102" s="71"/>
      <c r="E102" s="72" t="s">
        <v>134</v>
      </c>
      <c r="F102" s="73" t="s">
        <v>771</v>
      </c>
      <c r="G102" s="41">
        <v>0.01</v>
      </c>
      <c r="H102" s="42">
        <v>2.3E-2</v>
      </c>
      <c r="I102" s="74">
        <v>0</v>
      </c>
      <c r="J102" s="41"/>
      <c r="K102" s="42"/>
      <c r="L102" s="74"/>
      <c r="M102" s="42"/>
      <c r="N102" s="42"/>
      <c r="O102" s="42"/>
      <c r="P102" s="35">
        <v>2010</v>
      </c>
      <c r="Q102" s="36" t="s">
        <v>79</v>
      </c>
      <c r="R102" s="73" t="s">
        <v>24</v>
      </c>
    </row>
    <row r="103" spans="1:429" ht="15.75" customHeight="1">
      <c r="B103" s="110"/>
      <c r="C103" s="71"/>
      <c r="D103" s="71"/>
      <c r="E103" s="72" t="s">
        <v>134</v>
      </c>
      <c r="F103" s="73" t="s">
        <v>771</v>
      </c>
      <c r="G103" s="41">
        <v>6.9999999999999993E-3</v>
      </c>
      <c r="H103" s="42">
        <v>1.5799999999999998E-2</v>
      </c>
      <c r="I103" s="74">
        <v>0</v>
      </c>
      <c r="J103" s="41"/>
      <c r="K103" s="42"/>
      <c r="L103" s="74"/>
      <c r="M103" s="42"/>
      <c r="N103" s="42"/>
      <c r="O103" s="42"/>
      <c r="P103" s="35">
        <v>2006</v>
      </c>
      <c r="Q103" s="36" t="s">
        <v>79</v>
      </c>
      <c r="R103" s="73" t="s">
        <v>24</v>
      </c>
    </row>
    <row r="104" spans="1:429" ht="15.75" customHeight="1">
      <c r="B104" s="110"/>
      <c r="C104" s="71"/>
      <c r="D104" s="71"/>
      <c r="E104" s="72" t="s">
        <v>137</v>
      </c>
      <c r="F104" s="73" t="s">
        <v>771</v>
      </c>
      <c r="G104" s="41">
        <v>0.70000000000000007</v>
      </c>
      <c r="H104" s="42">
        <v>1.0999999999999999</v>
      </c>
      <c r="I104" s="74">
        <v>0.2</v>
      </c>
      <c r="J104" s="41"/>
      <c r="K104" s="42"/>
      <c r="L104" s="74"/>
      <c r="M104" s="42"/>
      <c r="N104" s="42"/>
      <c r="O104" s="42"/>
      <c r="P104" s="35">
        <v>2018</v>
      </c>
      <c r="Q104" s="36" t="s">
        <v>27</v>
      </c>
      <c r="R104" s="73" t="s">
        <v>24</v>
      </c>
    </row>
    <row r="105" spans="1:429" ht="15.75" customHeight="1">
      <c r="B105" s="110"/>
      <c r="C105" s="71"/>
      <c r="D105" s="71"/>
      <c r="E105" s="72" t="s">
        <v>137</v>
      </c>
      <c r="F105" s="73" t="s">
        <v>771</v>
      </c>
      <c r="G105" s="41">
        <v>0.6</v>
      </c>
      <c r="H105" s="42">
        <v>0.9</v>
      </c>
      <c r="I105" s="74">
        <v>0.3</v>
      </c>
      <c r="J105" s="41"/>
      <c r="K105" s="42"/>
      <c r="L105" s="74"/>
      <c r="M105" s="42"/>
      <c r="N105" s="42"/>
      <c r="O105" s="42"/>
      <c r="P105" s="35">
        <v>2014</v>
      </c>
      <c r="Q105" s="36" t="s">
        <v>19</v>
      </c>
      <c r="R105" s="73" t="s">
        <v>24</v>
      </c>
    </row>
    <row r="106" spans="1:429" ht="15.75" customHeight="1">
      <c r="B106" s="110"/>
      <c r="C106" s="71"/>
      <c r="D106" s="71"/>
      <c r="E106" s="72" t="s">
        <v>137</v>
      </c>
      <c r="F106" s="73" t="s">
        <v>771</v>
      </c>
      <c r="G106" s="41">
        <v>0.6</v>
      </c>
      <c r="H106" s="42">
        <v>0.8</v>
      </c>
      <c r="I106" s="74">
        <v>0.5</v>
      </c>
      <c r="J106" s="41"/>
      <c r="K106" s="42"/>
      <c r="L106" s="74"/>
      <c r="M106" s="42"/>
      <c r="N106" s="42"/>
      <c r="O106" s="42"/>
      <c r="P106" s="35">
        <v>2011</v>
      </c>
      <c r="Q106" s="36" t="s">
        <v>19</v>
      </c>
      <c r="R106" s="73" t="s">
        <v>24</v>
      </c>
    </row>
    <row r="107" spans="1:429" ht="15.75" customHeight="1">
      <c r="B107" s="110"/>
      <c r="C107" s="71"/>
      <c r="D107" s="71"/>
      <c r="E107" s="72" t="s">
        <v>137</v>
      </c>
      <c r="F107" s="73" t="s">
        <v>771</v>
      </c>
      <c r="G107" s="41">
        <v>0.3</v>
      </c>
      <c r="H107" s="42">
        <v>0.4</v>
      </c>
      <c r="I107" s="74">
        <v>0.2</v>
      </c>
      <c r="J107" s="41"/>
      <c r="K107" s="42"/>
      <c r="L107" s="74"/>
      <c r="M107" s="42"/>
      <c r="N107" s="42"/>
      <c r="O107" s="42"/>
      <c r="P107" s="35">
        <v>2006</v>
      </c>
      <c r="Q107" s="36" t="s">
        <v>27</v>
      </c>
      <c r="R107" s="73" t="s">
        <v>24</v>
      </c>
    </row>
    <row r="108" spans="1:429" s="48" customFormat="1" ht="15.75" customHeight="1">
      <c r="A108" s="113"/>
      <c r="B108" s="110"/>
      <c r="C108" s="71"/>
      <c r="D108" s="71"/>
      <c r="E108" s="72" t="s">
        <v>138</v>
      </c>
      <c r="F108" s="73" t="s">
        <v>771</v>
      </c>
      <c r="G108" s="41"/>
      <c r="H108" s="42"/>
      <c r="I108" s="74"/>
      <c r="J108" s="41">
        <v>0.38</v>
      </c>
      <c r="K108" s="42">
        <v>0.38</v>
      </c>
      <c r="L108" s="74">
        <v>0.38</v>
      </c>
      <c r="M108" s="42"/>
      <c r="N108" s="42"/>
      <c r="O108" s="42"/>
      <c r="P108" s="35">
        <v>2022</v>
      </c>
      <c r="Q108" s="36" t="s">
        <v>79</v>
      </c>
      <c r="R108" s="73" t="s">
        <v>24</v>
      </c>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c r="AO108" s="113"/>
      <c r="AP108" s="113"/>
      <c r="AQ108" s="113"/>
      <c r="AR108" s="113"/>
      <c r="AS108" s="113"/>
      <c r="AT108" s="113"/>
      <c r="AU108" s="113"/>
      <c r="AV108" s="113"/>
      <c r="AW108" s="113"/>
      <c r="AX108" s="113"/>
      <c r="AY108" s="113"/>
      <c r="AZ108" s="113"/>
      <c r="BA108" s="113"/>
      <c r="BB108" s="113"/>
      <c r="BC108" s="113"/>
      <c r="BD108" s="113"/>
      <c r="BE108" s="113"/>
      <c r="BF108" s="113"/>
      <c r="BG108" s="113"/>
      <c r="BH108" s="113"/>
      <c r="BI108" s="113"/>
      <c r="BJ108" s="113"/>
      <c r="BK108" s="113"/>
      <c r="BL108" s="113"/>
      <c r="BM108" s="113"/>
      <c r="BN108" s="113"/>
      <c r="BO108" s="113"/>
      <c r="BP108" s="113"/>
      <c r="BQ108" s="113"/>
      <c r="BR108" s="113"/>
      <c r="BS108" s="113"/>
      <c r="BT108" s="113"/>
      <c r="BU108" s="113"/>
      <c r="BV108" s="113"/>
      <c r="BW108" s="113"/>
      <c r="BX108" s="113"/>
      <c r="BY108" s="113"/>
      <c r="BZ108" s="113"/>
      <c r="CA108" s="113"/>
      <c r="CB108" s="113"/>
      <c r="CC108" s="113"/>
      <c r="CD108" s="113"/>
      <c r="CE108" s="113"/>
      <c r="CF108" s="113"/>
      <c r="CG108" s="113"/>
      <c r="CH108" s="113"/>
      <c r="CI108" s="113"/>
      <c r="CJ108" s="113"/>
      <c r="CK108" s="113"/>
      <c r="CL108" s="113"/>
      <c r="CM108" s="113"/>
      <c r="CN108" s="113"/>
      <c r="CO108" s="113"/>
      <c r="CP108" s="113"/>
      <c r="CQ108" s="113"/>
      <c r="CR108" s="113"/>
      <c r="CS108" s="113"/>
      <c r="CT108" s="113"/>
      <c r="CU108" s="113"/>
      <c r="CV108" s="113"/>
      <c r="CW108" s="113"/>
      <c r="CX108" s="113"/>
      <c r="CY108" s="113"/>
      <c r="CZ108" s="113"/>
      <c r="DA108" s="113"/>
      <c r="DB108" s="113"/>
      <c r="DC108" s="113"/>
      <c r="DD108" s="113"/>
      <c r="DE108" s="113"/>
      <c r="DF108" s="113"/>
      <c r="DG108" s="113"/>
      <c r="DH108" s="113"/>
      <c r="DI108" s="113"/>
      <c r="DJ108" s="113"/>
      <c r="DK108" s="113"/>
      <c r="DL108" s="113"/>
      <c r="DM108" s="113"/>
      <c r="DN108" s="113"/>
      <c r="DO108" s="113"/>
      <c r="DP108" s="113"/>
      <c r="DQ108" s="113"/>
      <c r="DR108" s="113"/>
      <c r="DS108" s="113"/>
      <c r="DT108" s="113"/>
      <c r="DU108" s="113"/>
      <c r="DV108" s="113"/>
      <c r="DW108" s="113"/>
      <c r="DX108" s="113"/>
      <c r="DY108" s="113"/>
      <c r="DZ108" s="113"/>
      <c r="EA108" s="113"/>
      <c r="EB108" s="113"/>
      <c r="EC108" s="113"/>
      <c r="ED108" s="113"/>
      <c r="EE108" s="113"/>
      <c r="EF108" s="113"/>
      <c r="EG108" s="113"/>
      <c r="EH108" s="113"/>
      <c r="EI108" s="113"/>
      <c r="EJ108" s="113"/>
      <c r="EK108" s="113"/>
      <c r="EL108" s="113"/>
      <c r="EM108" s="113"/>
      <c r="EN108" s="113"/>
      <c r="EO108" s="113"/>
      <c r="EP108" s="113"/>
      <c r="EQ108" s="113"/>
      <c r="ER108" s="113"/>
      <c r="ES108" s="113"/>
      <c r="ET108" s="113"/>
      <c r="EU108" s="113"/>
      <c r="EV108" s="113"/>
      <c r="EW108" s="113"/>
      <c r="EX108" s="113"/>
      <c r="EY108" s="113"/>
      <c r="EZ108" s="113"/>
      <c r="FA108" s="113"/>
      <c r="FB108" s="113"/>
      <c r="FC108" s="113"/>
      <c r="FD108" s="113"/>
      <c r="FE108" s="113"/>
      <c r="FF108" s="113"/>
      <c r="FG108" s="113"/>
      <c r="FH108" s="113"/>
      <c r="FI108" s="113"/>
      <c r="FJ108" s="113"/>
      <c r="FK108" s="113"/>
      <c r="FL108" s="113"/>
      <c r="FM108" s="113"/>
      <c r="FN108" s="113"/>
      <c r="FO108" s="113"/>
      <c r="FP108" s="113"/>
      <c r="FQ108" s="113"/>
      <c r="FR108" s="113"/>
      <c r="FS108" s="113"/>
      <c r="FT108" s="113"/>
      <c r="FU108" s="113"/>
      <c r="FV108" s="113"/>
      <c r="FW108" s="113"/>
      <c r="FX108" s="113"/>
      <c r="FY108" s="113"/>
      <c r="FZ108" s="113"/>
      <c r="GA108" s="113"/>
      <c r="GB108" s="113"/>
      <c r="GC108" s="113"/>
      <c r="GD108" s="113"/>
      <c r="GE108" s="113"/>
      <c r="GF108" s="113"/>
      <c r="GG108" s="113"/>
      <c r="GH108" s="113"/>
      <c r="GI108" s="113"/>
      <c r="GJ108" s="113"/>
      <c r="GK108" s="113"/>
      <c r="GL108" s="113"/>
      <c r="GM108" s="113"/>
      <c r="GN108" s="113"/>
      <c r="GO108" s="113"/>
      <c r="GP108" s="113"/>
      <c r="GQ108" s="113"/>
      <c r="GR108" s="113"/>
      <c r="GS108" s="113"/>
      <c r="GT108" s="113"/>
      <c r="GU108" s="113"/>
      <c r="GV108" s="113"/>
      <c r="GW108" s="113"/>
      <c r="GX108" s="113"/>
      <c r="GY108" s="113"/>
      <c r="GZ108" s="113"/>
      <c r="HA108" s="113"/>
      <c r="HB108" s="113"/>
      <c r="HC108" s="113"/>
      <c r="HD108" s="113"/>
      <c r="HE108" s="113"/>
      <c r="HF108" s="113"/>
      <c r="HG108" s="113"/>
      <c r="HH108" s="113"/>
      <c r="HI108" s="113"/>
      <c r="HJ108" s="113"/>
      <c r="HK108" s="113"/>
      <c r="HL108" s="113"/>
      <c r="HM108" s="113"/>
      <c r="HN108" s="113"/>
      <c r="HO108" s="113"/>
      <c r="HP108" s="113"/>
      <c r="HQ108" s="113"/>
      <c r="HR108" s="113"/>
      <c r="HS108" s="113"/>
      <c r="HT108" s="113"/>
      <c r="HU108" s="113"/>
      <c r="HV108" s="113"/>
      <c r="HW108" s="113"/>
      <c r="HX108" s="113"/>
      <c r="HY108" s="113"/>
      <c r="HZ108" s="113"/>
      <c r="IA108" s="113"/>
      <c r="IB108" s="113"/>
      <c r="IC108" s="113"/>
      <c r="ID108" s="113"/>
      <c r="IE108" s="113"/>
      <c r="IF108" s="113"/>
      <c r="IG108" s="113"/>
      <c r="IH108" s="113"/>
      <c r="II108" s="113"/>
      <c r="IJ108" s="113"/>
      <c r="IK108" s="113"/>
      <c r="IL108" s="113"/>
      <c r="IM108" s="113"/>
      <c r="IN108" s="113"/>
      <c r="IO108" s="113"/>
      <c r="IP108" s="113"/>
      <c r="IQ108" s="113"/>
      <c r="IR108" s="113"/>
      <c r="IS108" s="113"/>
      <c r="IT108" s="113"/>
      <c r="IU108" s="113"/>
      <c r="IV108" s="113"/>
      <c r="IW108" s="113"/>
      <c r="IX108" s="113"/>
      <c r="IY108" s="113"/>
      <c r="IZ108" s="113"/>
      <c r="JA108" s="113"/>
      <c r="JB108" s="113"/>
      <c r="JC108" s="113"/>
      <c r="JD108" s="113"/>
      <c r="JE108" s="113"/>
      <c r="JF108" s="113"/>
      <c r="JG108" s="113"/>
      <c r="JH108" s="113"/>
      <c r="JI108" s="113"/>
      <c r="JJ108" s="113"/>
      <c r="JK108" s="113"/>
      <c r="JL108" s="113"/>
      <c r="JM108" s="113"/>
      <c r="JN108" s="113"/>
      <c r="JO108" s="113"/>
      <c r="JP108" s="113"/>
      <c r="JQ108" s="113"/>
      <c r="JR108" s="113"/>
      <c r="JS108" s="113"/>
      <c r="JT108" s="113"/>
      <c r="JU108" s="113"/>
      <c r="JV108" s="113"/>
      <c r="JW108" s="113"/>
      <c r="JX108" s="113"/>
      <c r="JY108" s="113"/>
      <c r="JZ108" s="113"/>
      <c r="KA108" s="113"/>
      <c r="KB108" s="113"/>
      <c r="KC108" s="113"/>
      <c r="KD108" s="113"/>
      <c r="KE108" s="113"/>
      <c r="KF108" s="113"/>
      <c r="KG108" s="113"/>
      <c r="KH108" s="113"/>
      <c r="KI108" s="113"/>
      <c r="KJ108" s="113"/>
      <c r="KK108" s="113"/>
      <c r="KL108" s="113"/>
      <c r="KM108" s="113"/>
      <c r="KN108" s="113"/>
      <c r="KO108" s="113"/>
      <c r="KP108" s="113"/>
      <c r="KQ108" s="113"/>
      <c r="KR108" s="113"/>
      <c r="KS108" s="113"/>
      <c r="KT108" s="113"/>
      <c r="KU108" s="113"/>
      <c r="KV108" s="113"/>
      <c r="KW108" s="113"/>
      <c r="KX108" s="113"/>
      <c r="KY108" s="113"/>
      <c r="KZ108" s="113"/>
      <c r="LA108" s="113"/>
      <c r="LB108" s="113"/>
      <c r="LC108" s="113"/>
      <c r="LD108" s="113"/>
      <c r="LE108" s="113"/>
      <c r="LF108" s="113"/>
      <c r="LG108" s="113"/>
      <c r="LH108" s="113"/>
      <c r="LI108" s="113"/>
      <c r="LJ108" s="113"/>
      <c r="LK108" s="113"/>
      <c r="LL108" s="113"/>
      <c r="LM108" s="113"/>
      <c r="LN108" s="113"/>
      <c r="LO108" s="113"/>
      <c r="LP108" s="113"/>
      <c r="LQ108" s="113"/>
      <c r="LR108" s="113"/>
      <c r="LS108" s="113"/>
      <c r="LT108" s="113"/>
      <c r="LU108" s="113"/>
      <c r="LV108" s="113"/>
      <c r="LW108" s="113"/>
      <c r="LX108" s="113"/>
      <c r="LY108" s="113"/>
      <c r="LZ108" s="113"/>
      <c r="MA108" s="113"/>
      <c r="MB108" s="113"/>
      <c r="MC108" s="113"/>
      <c r="MD108" s="113"/>
      <c r="ME108" s="113"/>
      <c r="MF108" s="113"/>
      <c r="MG108" s="113"/>
      <c r="MH108" s="113"/>
      <c r="MI108" s="113"/>
      <c r="MJ108" s="113"/>
      <c r="MK108" s="113"/>
      <c r="ML108" s="113"/>
      <c r="MM108" s="113"/>
      <c r="MN108" s="113"/>
      <c r="MO108" s="113"/>
      <c r="MP108" s="113"/>
      <c r="MQ108" s="113"/>
      <c r="MR108" s="113"/>
      <c r="MS108" s="113"/>
      <c r="MT108" s="113"/>
      <c r="MU108" s="113"/>
      <c r="MV108" s="113"/>
      <c r="MW108" s="113"/>
      <c r="MX108" s="113"/>
      <c r="MY108" s="113"/>
      <c r="MZ108" s="113"/>
      <c r="NA108" s="113"/>
      <c r="NB108" s="113"/>
      <c r="NC108" s="113"/>
      <c r="ND108" s="113"/>
      <c r="NE108" s="113"/>
      <c r="NF108" s="113"/>
      <c r="NG108" s="113"/>
      <c r="NH108" s="113"/>
      <c r="NI108" s="113"/>
      <c r="NJ108" s="113"/>
      <c r="NK108" s="113"/>
      <c r="NL108" s="113"/>
      <c r="NM108" s="113"/>
      <c r="NN108" s="113"/>
      <c r="NO108" s="113"/>
      <c r="NP108" s="113"/>
      <c r="NQ108" s="113"/>
      <c r="NR108" s="113"/>
      <c r="NS108" s="113"/>
      <c r="NT108" s="113"/>
      <c r="NU108" s="113"/>
      <c r="NV108" s="113"/>
      <c r="NW108" s="113"/>
      <c r="NX108" s="113"/>
      <c r="NY108" s="113"/>
      <c r="NZ108" s="113"/>
      <c r="OA108" s="113"/>
      <c r="OB108" s="113"/>
      <c r="OC108" s="113"/>
      <c r="OD108" s="113"/>
      <c r="OE108" s="113"/>
      <c r="OF108" s="113"/>
      <c r="OG108" s="113"/>
      <c r="OH108" s="113"/>
      <c r="OI108" s="113"/>
      <c r="OJ108" s="113"/>
      <c r="OK108" s="113"/>
      <c r="OL108" s="113"/>
      <c r="OM108" s="113"/>
      <c r="ON108" s="113"/>
      <c r="OO108" s="113"/>
      <c r="OP108" s="113"/>
      <c r="OQ108" s="113"/>
      <c r="OR108" s="113"/>
      <c r="OS108" s="113"/>
      <c r="OT108" s="113"/>
      <c r="OU108" s="113"/>
      <c r="OV108" s="113"/>
      <c r="OW108" s="113"/>
      <c r="OX108" s="113"/>
      <c r="OY108" s="113"/>
      <c r="OZ108" s="113"/>
      <c r="PA108" s="113"/>
      <c r="PB108" s="113"/>
      <c r="PC108" s="113"/>
      <c r="PD108" s="113"/>
      <c r="PE108" s="113"/>
      <c r="PF108" s="113"/>
      <c r="PG108" s="113"/>
      <c r="PH108" s="113"/>
      <c r="PI108" s="113"/>
      <c r="PJ108" s="113"/>
      <c r="PK108" s="113"/>
      <c r="PL108" s="113"/>
      <c r="PM108" s="113"/>
    </row>
    <row r="109" spans="1:429" ht="15.75" customHeight="1">
      <c r="B109" s="110"/>
      <c r="C109" s="71" t="s">
        <v>139</v>
      </c>
      <c r="D109" s="71" t="s">
        <v>152</v>
      </c>
      <c r="E109" s="72" t="s">
        <v>433</v>
      </c>
      <c r="F109" s="73" t="s">
        <v>771</v>
      </c>
      <c r="G109" s="41"/>
      <c r="H109" s="42"/>
      <c r="I109" s="74"/>
      <c r="J109" s="41">
        <v>4.3</v>
      </c>
      <c r="K109" s="42"/>
      <c r="L109" s="74"/>
      <c r="M109" s="42"/>
      <c r="N109" s="42"/>
      <c r="O109" s="42"/>
      <c r="P109" s="35">
        <v>2016</v>
      </c>
      <c r="Q109" s="36" t="s">
        <v>27</v>
      </c>
      <c r="R109" s="73" t="s">
        <v>24</v>
      </c>
    </row>
    <row r="110" spans="1:429" ht="15.75" customHeight="1">
      <c r="B110" s="110"/>
      <c r="C110" s="71"/>
      <c r="D110" s="71"/>
      <c r="E110" s="72" t="s">
        <v>161</v>
      </c>
      <c r="F110" s="73" t="s">
        <v>771</v>
      </c>
      <c r="G110" s="41">
        <v>0.02</v>
      </c>
      <c r="H110" s="42">
        <v>0.03</v>
      </c>
      <c r="I110" s="74">
        <v>0.01</v>
      </c>
      <c r="J110" s="41">
        <v>0.01</v>
      </c>
      <c r="K110" s="42">
        <v>0.01</v>
      </c>
      <c r="L110" s="74">
        <v>0</v>
      </c>
      <c r="M110" s="42"/>
      <c r="N110" s="42"/>
      <c r="O110" s="42"/>
      <c r="P110" s="35">
        <v>2015</v>
      </c>
      <c r="Q110" s="36" t="s">
        <v>164</v>
      </c>
      <c r="R110" s="73" t="s">
        <v>24</v>
      </c>
    </row>
    <row r="111" spans="1:429" ht="15.75" customHeight="1">
      <c r="B111" s="110"/>
      <c r="C111" s="71"/>
      <c r="D111" s="71"/>
      <c r="E111" s="72" t="s">
        <v>187</v>
      </c>
      <c r="F111" s="73" t="s">
        <v>771</v>
      </c>
      <c r="G111" s="41">
        <v>0.45400000000000001</v>
      </c>
      <c r="H111" s="42">
        <v>0.61299999999999999</v>
      </c>
      <c r="I111" s="74">
        <v>0.29899999999999999</v>
      </c>
      <c r="J111" s="41">
        <v>0.251</v>
      </c>
      <c r="K111" s="42">
        <v>0.311</v>
      </c>
      <c r="L111" s="74">
        <v>0.19400000000000001</v>
      </c>
      <c r="M111" s="42">
        <v>0.15</v>
      </c>
      <c r="N111" s="42">
        <v>0.17100000000000001</v>
      </c>
      <c r="O111" s="42">
        <v>0.129</v>
      </c>
      <c r="P111" s="35" t="s">
        <v>772</v>
      </c>
      <c r="Q111" s="36" t="s">
        <v>27</v>
      </c>
      <c r="R111" s="73" t="s">
        <v>109</v>
      </c>
    </row>
    <row r="112" spans="1:429" ht="15.75" customHeight="1">
      <c r="B112" s="110"/>
      <c r="C112" s="71"/>
      <c r="D112" s="71"/>
      <c r="E112" s="72" t="s">
        <v>187</v>
      </c>
      <c r="F112" s="73" t="s">
        <v>771</v>
      </c>
      <c r="G112" s="41">
        <v>0.45</v>
      </c>
      <c r="H112" s="42"/>
      <c r="I112" s="74"/>
      <c r="J112" s="41">
        <v>0.25</v>
      </c>
      <c r="K112" s="42"/>
      <c r="L112" s="74"/>
      <c r="M112" s="42">
        <v>0.15</v>
      </c>
      <c r="N112" s="42"/>
      <c r="O112" s="42"/>
      <c r="P112" s="35" t="s">
        <v>772</v>
      </c>
      <c r="Q112" s="36" t="s">
        <v>79</v>
      </c>
      <c r="R112" s="73" t="s">
        <v>785</v>
      </c>
    </row>
    <row r="113" spans="1:429" ht="15.75" customHeight="1">
      <c r="B113" s="110"/>
      <c r="C113" s="71"/>
      <c r="D113" s="71"/>
      <c r="E113" s="72" t="s">
        <v>187</v>
      </c>
      <c r="F113" s="73" t="s">
        <v>771</v>
      </c>
      <c r="G113" s="41">
        <v>0.7</v>
      </c>
      <c r="H113" s="42"/>
      <c r="I113" s="74"/>
      <c r="J113" s="41"/>
      <c r="K113" s="42"/>
      <c r="L113" s="74"/>
      <c r="M113" s="42"/>
      <c r="N113" s="42"/>
      <c r="O113" s="42"/>
      <c r="P113" s="35">
        <v>2007</v>
      </c>
      <c r="Q113" s="36" t="s">
        <v>79</v>
      </c>
      <c r="R113" s="73" t="s">
        <v>24</v>
      </c>
    </row>
    <row r="114" spans="1:429" ht="15.75" customHeight="1">
      <c r="B114" s="110"/>
      <c r="C114" s="71"/>
      <c r="D114" s="71" t="s">
        <v>188</v>
      </c>
      <c r="E114" s="72" t="s">
        <v>200</v>
      </c>
      <c r="F114" s="73" t="s">
        <v>771</v>
      </c>
      <c r="G114" s="41"/>
      <c r="H114" s="42"/>
      <c r="I114" s="74"/>
      <c r="J114" s="41">
        <v>0.2</v>
      </c>
      <c r="K114" s="42">
        <v>0.2</v>
      </c>
      <c r="L114" s="74">
        <v>0.2</v>
      </c>
      <c r="M114" s="42">
        <v>0.1</v>
      </c>
      <c r="N114" s="42">
        <v>0.2</v>
      </c>
      <c r="O114" s="42">
        <v>0</v>
      </c>
      <c r="P114" s="35">
        <v>2020</v>
      </c>
      <c r="Q114" s="36" t="s">
        <v>201</v>
      </c>
      <c r="R114" s="73" t="s">
        <v>24</v>
      </c>
    </row>
    <row r="115" spans="1:429" ht="15.75" customHeight="1">
      <c r="B115" s="110"/>
      <c r="C115" s="71"/>
      <c r="D115" s="71"/>
      <c r="E115" s="72" t="s">
        <v>200</v>
      </c>
      <c r="F115" s="73" t="s">
        <v>771</v>
      </c>
      <c r="G115" s="41">
        <v>0.3</v>
      </c>
      <c r="H115" s="42">
        <v>0.5</v>
      </c>
      <c r="I115" s="74">
        <v>0.1</v>
      </c>
      <c r="J115" s="41">
        <v>0.2</v>
      </c>
      <c r="K115" s="42">
        <v>0.2</v>
      </c>
      <c r="L115" s="74">
        <v>0.1</v>
      </c>
      <c r="M115" s="42">
        <v>0.1</v>
      </c>
      <c r="N115" s="42">
        <v>0.2</v>
      </c>
      <c r="O115" s="42">
        <v>0.1</v>
      </c>
      <c r="P115" s="35">
        <v>2016</v>
      </c>
      <c r="Q115" s="36" t="s">
        <v>202</v>
      </c>
      <c r="R115" s="73" t="s">
        <v>24</v>
      </c>
    </row>
    <row r="116" spans="1:429" ht="15.75" customHeight="1">
      <c r="B116" s="110"/>
      <c r="C116" s="71"/>
      <c r="D116" s="71"/>
      <c r="E116" s="72" t="s">
        <v>200</v>
      </c>
      <c r="F116" s="73" t="s">
        <v>771</v>
      </c>
      <c r="G116" s="41">
        <v>0.89999999999999991</v>
      </c>
      <c r="H116" s="42">
        <v>0</v>
      </c>
      <c r="I116" s="74">
        <v>0</v>
      </c>
      <c r="J116" s="41">
        <v>0.12</v>
      </c>
      <c r="K116" s="42">
        <v>0.22</v>
      </c>
      <c r="L116" s="74">
        <v>0.03</v>
      </c>
      <c r="M116" s="42">
        <v>0.05</v>
      </c>
      <c r="N116" s="42">
        <v>0</v>
      </c>
      <c r="O116" s="42">
        <v>0</v>
      </c>
      <c r="P116" s="35">
        <v>2008</v>
      </c>
      <c r="Q116" s="36" t="s">
        <v>203</v>
      </c>
      <c r="R116" s="73" t="s">
        <v>24</v>
      </c>
    </row>
    <row r="117" spans="1:429" ht="15.75" customHeight="1">
      <c r="B117" s="110"/>
      <c r="C117" s="71"/>
      <c r="D117" s="71"/>
      <c r="E117" s="72" t="s">
        <v>200</v>
      </c>
      <c r="F117" s="73" t="s">
        <v>771</v>
      </c>
      <c r="G117" s="41">
        <v>0.4</v>
      </c>
      <c r="H117" s="42"/>
      <c r="I117" s="74"/>
      <c r="J117" s="41">
        <v>0.1</v>
      </c>
      <c r="K117" s="42"/>
      <c r="L117" s="74"/>
      <c r="M117" s="42">
        <v>0.05</v>
      </c>
      <c r="N117" s="42"/>
      <c r="O117" s="42"/>
      <c r="P117" s="35">
        <v>2005</v>
      </c>
      <c r="Q117" s="36" t="s">
        <v>203</v>
      </c>
      <c r="R117" s="73" t="s">
        <v>24</v>
      </c>
    </row>
    <row r="118" spans="1:429" ht="15.75" customHeight="1">
      <c r="B118" s="110"/>
      <c r="C118" s="71" t="s">
        <v>231</v>
      </c>
      <c r="D118" s="71" t="s">
        <v>760</v>
      </c>
      <c r="E118" s="72" t="s">
        <v>248</v>
      </c>
      <c r="F118" s="73" t="s">
        <v>771</v>
      </c>
      <c r="G118" s="41">
        <v>0.4</v>
      </c>
      <c r="H118" s="42">
        <v>0.6</v>
      </c>
      <c r="I118" s="74">
        <v>0.3</v>
      </c>
      <c r="J118" s="41">
        <v>0.1</v>
      </c>
      <c r="K118" s="42">
        <v>0.1</v>
      </c>
      <c r="L118" s="74">
        <v>0.1</v>
      </c>
      <c r="M118" s="42">
        <v>0</v>
      </c>
      <c r="N118" s="42">
        <v>0.1</v>
      </c>
      <c r="O118" s="42">
        <v>0</v>
      </c>
      <c r="P118" s="35">
        <v>2019</v>
      </c>
      <c r="Q118" s="36" t="s">
        <v>27</v>
      </c>
      <c r="R118" s="73" t="s">
        <v>24</v>
      </c>
    </row>
    <row r="119" spans="1:429" ht="15.75" customHeight="1">
      <c r="B119" s="110"/>
      <c r="C119" s="71"/>
      <c r="D119" s="71"/>
      <c r="E119" s="72" t="s">
        <v>253</v>
      </c>
      <c r="F119" s="73" t="s">
        <v>771</v>
      </c>
      <c r="G119" s="41">
        <v>1.1000000000000001</v>
      </c>
      <c r="H119" s="42">
        <v>1.3</v>
      </c>
      <c r="I119" s="74">
        <v>1</v>
      </c>
      <c r="J119" s="41">
        <v>0.6</v>
      </c>
      <c r="K119" s="42">
        <v>0.7</v>
      </c>
      <c r="L119" s="74">
        <v>0.6</v>
      </c>
      <c r="M119" s="42">
        <v>0.4</v>
      </c>
      <c r="N119" s="42">
        <v>0.4</v>
      </c>
      <c r="O119" s="42">
        <v>0.4</v>
      </c>
      <c r="P119" s="35">
        <v>2019</v>
      </c>
      <c r="Q119" s="36" t="s">
        <v>27</v>
      </c>
      <c r="R119" s="73" t="s">
        <v>24</v>
      </c>
    </row>
    <row r="120" spans="1:429" ht="15.75" customHeight="1">
      <c r="B120" s="110"/>
      <c r="C120" s="71"/>
      <c r="D120" s="71"/>
      <c r="E120" s="72" t="s">
        <v>253</v>
      </c>
      <c r="F120" s="73" t="s">
        <v>771</v>
      </c>
      <c r="G120" s="41">
        <v>0.3</v>
      </c>
      <c r="H120" s="42">
        <v>0.3</v>
      </c>
      <c r="I120" s="74">
        <v>0.2</v>
      </c>
      <c r="J120" s="41">
        <v>0.1</v>
      </c>
      <c r="K120" s="42">
        <v>0.1</v>
      </c>
      <c r="L120" s="74">
        <v>0.1</v>
      </c>
      <c r="M120" s="42">
        <v>0</v>
      </c>
      <c r="N120" s="42">
        <v>0</v>
      </c>
      <c r="O120" s="42">
        <v>0</v>
      </c>
      <c r="P120" s="35">
        <v>2016</v>
      </c>
      <c r="Q120" s="36" t="s">
        <v>27</v>
      </c>
      <c r="R120" s="73" t="s">
        <v>24</v>
      </c>
    </row>
    <row r="121" spans="1:429" ht="15.75" customHeight="1">
      <c r="B121" s="110"/>
      <c r="C121" s="71"/>
      <c r="D121" s="71"/>
      <c r="E121" s="72" t="s">
        <v>253</v>
      </c>
      <c r="F121" s="73" t="s">
        <v>771</v>
      </c>
      <c r="G121" s="41">
        <v>0.4</v>
      </c>
      <c r="H121" s="42">
        <v>0.5</v>
      </c>
      <c r="I121" s="74">
        <v>0.2</v>
      </c>
      <c r="J121" s="41"/>
      <c r="K121" s="42"/>
      <c r="L121" s="74"/>
      <c r="M121" s="42"/>
      <c r="N121" s="42"/>
      <c r="O121" s="42"/>
      <c r="P121" s="35">
        <v>2013</v>
      </c>
      <c r="Q121" s="36" t="s">
        <v>27</v>
      </c>
      <c r="R121" s="73" t="s">
        <v>786</v>
      </c>
    </row>
    <row r="122" spans="1:429" ht="15.75" customHeight="1">
      <c r="B122" s="110"/>
      <c r="C122" s="71"/>
      <c r="D122" s="71"/>
      <c r="E122" s="72" t="s">
        <v>253</v>
      </c>
      <c r="F122" s="73" t="s">
        <v>771</v>
      </c>
      <c r="G122" s="41">
        <v>0.1</v>
      </c>
      <c r="H122" s="42">
        <v>0.1</v>
      </c>
      <c r="I122" s="74">
        <v>0.1</v>
      </c>
      <c r="J122" s="41"/>
      <c r="K122" s="42"/>
      <c r="L122" s="74"/>
      <c r="M122" s="42"/>
      <c r="N122" s="42"/>
      <c r="O122" s="42"/>
      <c r="P122" s="35">
        <v>2010</v>
      </c>
      <c r="Q122" s="36"/>
      <c r="R122" s="73" t="s">
        <v>24</v>
      </c>
    </row>
    <row r="123" spans="1:429" ht="15.75" customHeight="1">
      <c r="B123" s="110"/>
      <c r="C123" s="71"/>
      <c r="D123" s="71" t="s">
        <v>257</v>
      </c>
      <c r="E123" s="72" t="s">
        <v>263</v>
      </c>
      <c r="F123" s="73" t="s">
        <v>771</v>
      </c>
      <c r="G123" s="41">
        <v>0.6</v>
      </c>
      <c r="H123" s="42">
        <v>1</v>
      </c>
      <c r="I123" s="74">
        <v>0.2</v>
      </c>
      <c r="J123" s="41">
        <v>0</v>
      </c>
      <c r="K123" s="42">
        <v>0</v>
      </c>
      <c r="L123" s="74">
        <v>0</v>
      </c>
      <c r="M123" s="42">
        <v>0</v>
      </c>
      <c r="N123" s="42">
        <v>0</v>
      </c>
      <c r="O123" s="42">
        <v>0</v>
      </c>
      <c r="P123" s="35">
        <v>2017</v>
      </c>
      <c r="Q123" s="36" t="s">
        <v>27</v>
      </c>
      <c r="R123" s="73" t="s">
        <v>24</v>
      </c>
    </row>
    <row r="124" spans="1:429" ht="15.75" customHeight="1">
      <c r="B124" s="110"/>
      <c r="C124" s="71"/>
      <c r="D124" s="71"/>
      <c r="E124" s="72" t="s">
        <v>263</v>
      </c>
      <c r="F124" s="73" t="s">
        <v>771</v>
      </c>
      <c r="G124" s="41">
        <v>0.2</v>
      </c>
      <c r="H124" s="42">
        <v>0.2</v>
      </c>
      <c r="I124" s="74">
        <v>0.1</v>
      </c>
      <c r="J124" s="41">
        <v>0.2</v>
      </c>
      <c r="K124" s="42">
        <v>0.2</v>
      </c>
      <c r="L124" s="74">
        <v>0.1</v>
      </c>
      <c r="M124" s="42">
        <v>0</v>
      </c>
      <c r="N124" s="42">
        <v>0.1</v>
      </c>
      <c r="O124" s="42">
        <v>0</v>
      </c>
      <c r="P124" s="35" t="s">
        <v>777</v>
      </c>
      <c r="Q124" s="36" t="s">
        <v>27</v>
      </c>
      <c r="R124" s="73" t="s">
        <v>24</v>
      </c>
    </row>
    <row r="125" spans="1:429" ht="15.75" customHeight="1">
      <c r="B125" s="110"/>
      <c r="C125" s="71"/>
      <c r="D125" s="71"/>
      <c r="E125" s="72" t="s">
        <v>264</v>
      </c>
      <c r="F125" s="73" t="s">
        <v>771</v>
      </c>
      <c r="G125" s="41">
        <v>1.1000000000000001</v>
      </c>
      <c r="H125" s="42"/>
      <c r="I125" s="74"/>
      <c r="J125" s="41">
        <v>0.2</v>
      </c>
      <c r="K125" s="42"/>
      <c r="L125" s="74"/>
      <c r="M125" s="42">
        <v>0.1</v>
      </c>
      <c r="N125" s="42"/>
      <c r="O125" s="42"/>
      <c r="P125" s="35">
        <v>2013</v>
      </c>
      <c r="Q125" s="36" t="s">
        <v>787</v>
      </c>
      <c r="R125" s="73" t="s">
        <v>788</v>
      </c>
    </row>
    <row r="126" spans="1:429" s="48" customFormat="1" ht="15.75" customHeight="1">
      <c r="A126" s="113"/>
      <c r="B126" s="110"/>
      <c r="C126" s="71"/>
      <c r="D126" s="71"/>
      <c r="E126" s="72" t="s">
        <v>269</v>
      </c>
      <c r="F126" s="73" t="s">
        <v>771</v>
      </c>
      <c r="G126" s="41">
        <v>2.6</v>
      </c>
      <c r="H126" s="42">
        <v>3.7</v>
      </c>
      <c r="I126" s="74">
        <v>1.6</v>
      </c>
      <c r="J126" s="41">
        <v>0.6</v>
      </c>
      <c r="K126" s="42">
        <v>0.8</v>
      </c>
      <c r="L126" s="74">
        <v>0.4</v>
      </c>
      <c r="M126" s="42"/>
      <c r="N126" s="42"/>
      <c r="O126" s="42"/>
      <c r="P126" s="35">
        <v>2023</v>
      </c>
      <c r="Q126" s="36" t="s">
        <v>144</v>
      </c>
      <c r="R126" s="73" t="s">
        <v>24</v>
      </c>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c r="AO126" s="113"/>
      <c r="AP126" s="113"/>
      <c r="AQ126" s="113"/>
      <c r="AR126" s="113"/>
      <c r="AS126" s="113"/>
      <c r="AT126" s="113"/>
      <c r="AU126" s="113"/>
      <c r="AV126" s="113"/>
      <c r="AW126" s="113"/>
      <c r="AX126" s="113"/>
      <c r="AY126" s="113"/>
      <c r="AZ126" s="113"/>
      <c r="BA126" s="113"/>
      <c r="BB126" s="113"/>
      <c r="BC126" s="113"/>
      <c r="BD126" s="113"/>
      <c r="BE126" s="113"/>
      <c r="BF126" s="113"/>
      <c r="BG126" s="113"/>
      <c r="BH126" s="113"/>
      <c r="BI126" s="113"/>
      <c r="BJ126" s="113"/>
      <c r="BK126" s="113"/>
      <c r="BL126" s="113"/>
      <c r="BM126" s="113"/>
      <c r="BN126" s="113"/>
      <c r="BO126" s="113"/>
      <c r="BP126" s="113"/>
      <c r="BQ126" s="113"/>
      <c r="BR126" s="113"/>
      <c r="BS126" s="113"/>
      <c r="BT126" s="113"/>
      <c r="BU126" s="113"/>
      <c r="BV126" s="113"/>
      <c r="BW126" s="113"/>
      <c r="BX126" s="113"/>
      <c r="BY126" s="113"/>
      <c r="BZ126" s="113"/>
      <c r="CA126" s="113"/>
      <c r="CB126" s="113"/>
      <c r="CC126" s="113"/>
      <c r="CD126" s="113"/>
      <c r="CE126" s="113"/>
      <c r="CF126" s="113"/>
      <c r="CG126" s="113"/>
      <c r="CH126" s="113"/>
      <c r="CI126" s="113"/>
      <c r="CJ126" s="113"/>
      <c r="CK126" s="113"/>
      <c r="CL126" s="113"/>
      <c r="CM126" s="113"/>
      <c r="CN126" s="113"/>
      <c r="CO126" s="113"/>
      <c r="CP126" s="113"/>
      <c r="CQ126" s="113"/>
      <c r="CR126" s="113"/>
      <c r="CS126" s="113"/>
      <c r="CT126" s="113"/>
      <c r="CU126" s="113"/>
      <c r="CV126" s="113"/>
      <c r="CW126" s="113"/>
      <c r="CX126" s="113"/>
      <c r="CY126" s="113"/>
      <c r="CZ126" s="113"/>
      <c r="DA126" s="113"/>
      <c r="DB126" s="113"/>
      <c r="DC126" s="113"/>
      <c r="DD126" s="113"/>
      <c r="DE126" s="113"/>
      <c r="DF126" s="113"/>
      <c r="DG126" s="113"/>
      <c r="DH126" s="113"/>
      <c r="DI126" s="113"/>
      <c r="DJ126" s="113"/>
      <c r="DK126" s="113"/>
      <c r="DL126" s="113"/>
      <c r="DM126" s="113"/>
      <c r="DN126" s="113"/>
      <c r="DO126" s="113"/>
      <c r="DP126" s="113"/>
      <c r="DQ126" s="113"/>
      <c r="DR126" s="113"/>
      <c r="DS126" s="113"/>
      <c r="DT126" s="113"/>
      <c r="DU126" s="113"/>
      <c r="DV126" s="113"/>
      <c r="DW126" s="113"/>
      <c r="DX126" s="113"/>
      <c r="DY126" s="113"/>
      <c r="DZ126" s="113"/>
      <c r="EA126" s="113"/>
      <c r="EB126" s="113"/>
      <c r="EC126" s="113"/>
      <c r="ED126" s="113"/>
      <c r="EE126" s="113"/>
      <c r="EF126" s="113"/>
      <c r="EG126" s="113"/>
      <c r="EH126" s="113"/>
      <c r="EI126" s="113"/>
      <c r="EJ126" s="113"/>
      <c r="EK126" s="113"/>
      <c r="EL126" s="113"/>
      <c r="EM126" s="113"/>
      <c r="EN126" s="113"/>
      <c r="EO126" s="113"/>
      <c r="EP126" s="113"/>
      <c r="EQ126" s="113"/>
      <c r="ER126" s="113"/>
      <c r="ES126" s="113"/>
      <c r="ET126" s="113"/>
      <c r="EU126" s="113"/>
      <c r="EV126" s="113"/>
      <c r="EW126" s="113"/>
      <c r="EX126" s="113"/>
      <c r="EY126" s="113"/>
      <c r="EZ126" s="113"/>
      <c r="FA126" s="113"/>
      <c r="FB126" s="113"/>
      <c r="FC126" s="113"/>
      <c r="FD126" s="113"/>
      <c r="FE126" s="113"/>
      <c r="FF126" s="113"/>
      <c r="FG126" s="113"/>
      <c r="FH126" s="113"/>
      <c r="FI126" s="113"/>
      <c r="FJ126" s="113"/>
      <c r="FK126" s="113"/>
      <c r="FL126" s="113"/>
      <c r="FM126" s="113"/>
      <c r="FN126" s="113"/>
      <c r="FO126" s="113"/>
      <c r="FP126" s="113"/>
      <c r="FQ126" s="113"/>
      <c r="FR126" s="113"/>
      <c r="FS126" s="113"/>
      <c r="FT126" s="113"/>
      <c r="FU126" s="113"/>
      <c r="FV126" s="113"/>
      <c r="FW126" s="113"/>
      <c r="FX126" s="113"/>
      <c r="FY126" s="113"/>
      <c r="FZ126" s="113"/>
      <c r="GA126" s="113"/>
      <c r="GB126" s="113"/>
      <c r="GC126" s="113"/>
      <c r="GD126" s="113"/>
      <c r="GE126" s="113"/>
      <c r="GF126" s="113"/>
      <c r="GG126" s="113"/>
      <c r="GH126" s="113"/>
      <c r="GI126" s="113"/>
      <c r="GJ126" s="113"/>
      <c r="GK126" s="113"/>
      <c r="GL126" s="113"/>
      <c r="GM126" s="113"/>
      <c r="GN126" s="113"/>
      <c r="GO126" s="113"/>
      <c r="GP126" s="113"/>
      <c r="GQ126" s="113"/>
      <c r="GR126" s="113"/>
      <c r="GS126" s="113"/>
      <c r="GT126" s="113"/>
      <c r="GU126" s="113"/>
      <c r="GV126" s="113"/>
      <c r="GW126" s="113"/>
      <c r="GX126" s="113"/>
      <c r="GY126" s="113"/>
      <c r="GZ126" s="113"/>
      <c r="HA126" s="113"/>
      <c r="HB126" s="113"/>
      <c r="HC126" s="113"/>
      <c r="HD126" s="113"/>
      <c r="HE126" s="113"/>
      <c r="HF126" s="113"/>
      <c r="HG126" s="113"/>
      <c r="HH126" s="113"/>
      <c r="HI126" s="113"/>
      <c r="HJ126" s="113"/>
      <c r="HK126" s="113"/>
      <c r="HL126" s="113"/>
      <c r="HM126" s="113"/>
      <c r="HN126" s="113"/>
      <c r="HO126" s="113"/>
      <c r="HP126" s="113"/>
      <c r="HQ126" s="113"/>
      <c r="HR126" s="113"/>
      <c r="HS126" s="113"/>
      <c r="HT126" s="113"/>
      <c r="HU126" s="113"/>
      <c r="HV126" s="113"/>
      <c r="HW126" s="113"/>
      <c r="HX126" s="113"/>
      <c r="HY126" s="113"/>
      <c r="HZ126" s="113"/>
      <c r="IA126" s="113"/>
      <c r="IB126" s="113"/>
      <c r="IC126" s="113"/>
      <c r="ID126" s="113"/>
      <c r="IE126" s="113"/>
      <c r="IF126" s="113"/>
      <c r="IG126" s="113"/>
      <c r="IH126" s="113"/>
      <c r="II126" s="113"/>
      <c r="IJ126" s="113"/>
      <c r="IK126" s="113"/>
      <c r="IL126" s="113"/>
      <c r="IM126" s="113"/>
      <c r="IN126" s="113"/>
      <c r="IO126" s="113"/>
      <c r="IP126" s="113"/>
      <c r="IQ126" s="113"/>
      <c r="IR126" s="113"/>
      <c r="IS126" s="113"/>
      <c r="IT126" s="113"/>
      <c r="IU126" s="113"/>
      <c r="IV126" s="113"/>
      <c r="IW126" s="113"/>
      <c r="IX126" s="113"/>
      <c r="IY126" s="113"/>
      <c r="IZ126" s="113"/>
      <c r="JA126" s="113"/>
      <c r="JB126" s="113"/>
      <c r="JC126" s="113"/>
      <c r="JD126" s="113"/>
      <c r="JE126" s="113"/>
      <c r="JF126" s="113"/>
      <c r="JG126" s="113"/>
      <c r="JH126" s="113"/>
      <c r="JI126" s="113"/>
      <c r="JJ126" s="113"/>
      <c r="JK126" s="113"/>
      <c r="JL126" s="113"/>
      <c r="JM126" s="113"/>
      <c r="JN126" s="113"/>
      <c r="JO126" s="113"/>
      <c r="JP126" s="113"/>
      <c r="JQ126" s="113"/>
      <c r="JR126" s="113"/>
      <c r="JS126" s="113"/>
      <c r="JT126" s="113"/>
      <c r="JU126" s="113"/>
      <c r="JV126" s="113"/>
      <c r="JW126" s="113"/>
      <c r="JX126" s="113"/>
      <c r="JY126" s="113"/>
      <c r="JZ126" s="113"/>
      <c r="KA126" s="113"/>
      <c r="KB126" s="113"/>
      <c r="KC126" s="113"/>
      <c r="KD126" s="113"/>
      <c r="KE126" s="113"/>
      <c r="KF126" s="113"/>
      <c r="KG126" s="113"/>
      <c r="KH126" s="113"/>
      <c r="KI126" s="113"/>
      <c r="KJ126" s="113"/>
      <c r="KK126" s="113"/>
      <c r="KL126" s="113"/>
      <c r="KM126" s="113"/>
      <c r="KN126" s="113"/>
      <c r="KO126" s="113"/>
      <c r="KP126" s="113"/>
      <c r="KQ126" s="113"/>
      <c r="KR126" s="113"/>
      <c r="KS126" s="113"/>
      <c r="KT126" s="113"/>
      <c r="KU126" s="113"/>
      <c r="KV126" s="113"/>
      <c r="KW126" s="113"/>
      <c r="KX126" s="113"/>
      <c r="KY126" s="113"/>
      <c r="KZ126" s="113"/>
      <c r="LA126" s="113"/>
      <c r="LB126" s="113"/>
      <c r="LC126" s="113"/>
      <c r="LD126" s="113"/>
      <c r="LE126" s="113"/>
      <c r="LF126" s="113"/>
      <c r="LG126" s="113"/>
      <c r="LH126" s="113"/>
      <c r="LI126" s="113"/>
      <c r="LJ126" s="113"/>
      <c r="LK126" s="113"/>
      <c r="LL126" s="113"/>
      <c r="LM126" s="113"/>
      <c r="LN126" s="113"/>
      <c r="LO126" s="113"/>
      <c r="LP126" s="113"/>
      <c r="LQ126" s="113"/>
      <c r="LR126" s="113"/>
      <c r="LS126" s="113"/>
      <c r="LT126" s="113"/>
      <c r="LU126" s="113"/>
      <c r="LV126" s="113"/>
      <c r="LW126" s="113"/>
      <c r="LX126" s="113"/>
      <c r="LY126" s="113"/>
      <c r="LZ126" s="113"/>
      <c r="MA126" s="113"/>
      <c r="MB126" s="113"/>
      <c r="MC126" s="113"/>
      <c r="MD126" s="113"/>
      <c r="ME126" s="113"/>
      <c r="MF126" s="113"/>
      <c r="MG126" s="113"/>
      <c r="MH126" s="113"/>
      <c r="MI126" s="113"/>
      <c r="MJ126" s="113"/>
      <c r="MK126" s="113"/>
      <c r="ML126" s="113"/>
      <c r="MM126" s="113"/>
      <c r="MN126" s="113"/>
      <c r="MO126" s="113"/>
      <c r="MP126" s="113"/>
      <c r="MQ126" s="113"/>
      <c r="MR126" s="113"/>
      <c r="MS126" s="113"/>
      <c r="MT126" s="113"/>
      <c r="MU126" s="113"/>
      <c r="MV126" s="113"/>
      <c r="MW126" s="113"/>
      <c r="MX126" s="113"/>
      <c r="MY126" s="113"/>
      <c r="MZ126" s="113"/>
      <c r="NA126" s="113"/>
      <c r="NB126" s="113"/>
      <c r="NC126" s="113"/>
      <c r="ND126" s="113"/>
      <c r="NE126" s="113"/>
      <c r="NF126" s="113"/>
      <c r="NG126" s="113"/>
      <c r="NH126" s="113"/>
      <c r="NI126" s="113"/>
      <c r="NJ126" s="113"/>
      <c r="NK126" s="113"/>
      <c r="NL126" s="113"/>
      <c r="NM126" s="113"/>
      <c r="NN126" s="113"/>
      <c r="NO126" s="113"/>
      <c r="NP126" s="113"/>
      <c r="NQ126" s="113"/>
      <c r="NR126" s="113"/>
      <c r="NS126" s="113"/>
      <c r="NT126" s="113"/>
      <c r="NU126" s="113"/>
      <c r="NV126" s="113"/>
      <c r="NW126" s="113"/>
      <c r="NX126" s="113"/>
      <c r="NY126" s="113"/>
      <c r="NZ126" s="113"/>
      <c r="OA126" s="113"/>
      <c r="OB126" s="113"/>
      <c r="OC126" s="113"/>
      <c r="OD126" s="113"/>
      <c r="OE126" s="113"/>
      <c r="OF126" s="113"/>
      <c r="OG126" s="113"/>
      <c r="OH126" s="113"/>
      <c r="OI126" s="113"/>
      <c r="OJ126" s="113"/>
      <c r="OK126" s="113"/>
      <c r="OL126" s="113"/>
      <c r="OM126" s="113"/>
      <c r="ON126" s="113"/>
      <c r="OO126" s="113"/>
      <c r="OP126" s="113"/>
      <c r="OQ126" s="113"/>
      <c r="OR126" s="113"/>
      <c r="OS126" s="113"/>
      <c r="OT126" s="113"/>
      <c r="OU126" s="113"/>
      <c r="OV126" s="113"/>
      <c r="OW126" s="113"/>
      <c r="OX126" s="113"/>
      <c r="OY126" s="113"/>
      <c r="OZ126" s="113"/>
      <c r="PA126" s="113"/>
      <c r="PB126" s="113"/>
      <c r="PC126" s="113"/>
      <c r="PD126" s="113"/>
      <c r="PE126" s="113"/>
      <c r="PF126" s="113"/>
      <c r="PG126" s="113"/>
      <c r="PH126" s="113"/>
      <c r="PI126" s="113"/>
      <c r="PJ126" s="113"/>
      <c r="PK126" s="113"/>
      <c r="PL126" s="113"/>
      <c r="PM126" s="113"/>
    </row>
    <row r="127" spans="1:429" ht="15.75" customHeight="1">
      <c r="B127" s="110"/>
      <c r="C127" s="71"/>
      <c r="D127" s="71"/>
      <c r="E127" s="72" t="s">
        <v>269</v>
      </c>
      <c r="F127" s="73" t="s">
        <v>771</v>
      </c>
      <c r="G127" s="41"/>
      <c r="H127" s="42"/>
      <c r="I127" s="74"/>
      <c r="J127" s="41">
        <v>0.3</v>
      </c>
      <c r="K127" s="42"/>
      <c r="L127" s="74">
        <v>0.2</v>
      </c>
      <c r="M127" s="42"/>
      <c r="N127" s="42"/>
      <c r="O127" s="42"/>
      <c r="P127" s="35">
        <v>2003</v>
      </c>
      <c r="Q127" s="36"/>
      <c r="R127" s="73" t="s">
        <v>24</v>
      </c>
    </row>
    <row r="128" spans="1:429" ht="15.75" customHeight="1">
      <c r="B128" s="110"/>
      <c r="C128" s="71"/>
      <c r="D128" s="71"/>
      <c r="E128" s="72" t="s">
        <v>284</v>
      </c>
      <c r="F128" s="73" t="s">
        <v>771</v>
      </c>
      <c r="G128" s="41">
        <v>0.80000000000000016</v>
      </c>
      <c r="H128" s="42">
        <v>1.0999999999999999</v>
      </c>
      <c r="I128" s="74">
        <v>0.40000000000000008</v>
      </c>
      <c r="J128" s="41"/>
      <c r="K128" s="42"/>
      <c r="L128" s="74"/>
      <c r="M128" s="42"/>
      <c r="N128" s="42"/>
      <c r="O128" s="42"/>
      <c r="P128" s="35">
        <v>2009</v>
      </c>
      <c r="Q128" s="36"/>
      <c r="R128" s="73" t="s">
        <v>24</v>
      </c>
    </row>
    <row r="129" spans="1:429" s="48" customFormat="1" ht="15.75" customHeight="1">
      <c r="A129" s="113"/>
      <c r="B129" s="110"/>
      <c r="C129" s="71"/>
      <c r="D129" s="71"/>
      <c r="E129" s="72" t="s">
        <v>286</v>
      </c>
      <c r="F129" s="73" t="s">
        <v>771</v>
      </c>
      <c r="G129" s="41">
        <v>4.2</v>
      </c>
      <c r="H129" s="42">
        <v>6.1</v>
      </c>
      <c r="I129" s="74">
        <v>2.2000000000000002</v>
      </c>
      <c r="J129" s="41">
        <v>1.5</v>
      </c>
      <c r="K129" s="42">
        <v>2.2000000000000002</v>
      </c>
      <c r="L129" s="74">
        <v>0.9</v>
      </c>
      <c r="M129" s="42">
        <v>0.4</v>
      </c>
      <c r="N129" s="42">
        <v>0.5</v>
      </c>
      <c r="O129" s="42">
        <v>0.3</v>
      </c>
      <c r="P129" s="35">
        <v>2023</v>
      </c>
      <c r="Q129" s="36" t="s">
        <v>27</v>
      </c>
      <c r="R129" s="73" t="s">
        <v>24</v>
      </c>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c r="AO129" s="113"/>
      <c r="AP129" s="113"/>
      <c r="AQ129" s="113"/>
      <c r="AR129" s="113"/>
      <c r="AS129" s="113"/>
      <c r="AT129" s="113"/>
      <c r="AU129" s="113"/>
      <c r="AV129" s="113"/>
      <c r="AW129" s="113"/>
      <c r="AX129" s="113"/>
      <c r="AY129" s="113"/>
      <c r="AZ129" s="113"/>
      <c r="BA129" s="113"/>
      <c r="BB129" s="113"/>
      <c r="BC129" s="113"/>
      <c r="BD129" s="113"/>
      <c r="BE129" s="113"/>
      <c r="BF129" s="113"/>
      <c r="BG129" s="113"/>
      <c r="BH129" s="113"/>
      <c r="BI129" s="113"/>
      <c r="BJ129" s="113"/>
      <c r="BK129" s="113"/>
      <c r="BL129" s="113"/>
      <c r="BM129" s="113"/>
      <c r="BN129" s="113"/>
      <c r="BO129" s="113"/>
      <c r="BP129" s="113"/>
      <c r="BQ129" s="113"/>
      <c r="BR129" s="113"/>
      <c r="BS129" s="113"/>
      <c r="BT129" s="113"/>
      <c r="BU129" s="113"/>
      <c r="BV129" s="113"/>
      <c r="BW129" s="113"/>
      <c r="BX129" s="113"/>
      <c r="BY129" s="113"/>
      <c r="BZ129" s="113"/>
      <c r="CA129" s="113"/>
      <c r="CB129" s="113"/>
      <c r="CC129" s="113"/>
      <c r="CD129" s="113"/>
      <c r="CE129" s="113"/>
      <c r="CF129" s="113"/>
      <c r="CG129" s="113"/>
      <c r="CH129" s="113"/>
      <c r="CI129" s="113"/>
      <c r="CJ129" s="113"/>
      <c r="CK129" s="113"/>
      <c r="CL129" s="113"/>
      <c r="CM129" s="113"/>
      <c r="CN129" s="113"/>
      <c r="CO129" s="113"/>
      <c r="CP129" s="113"/>
      <c r="CQ129" s="113"/>
      <c r="CR129" s="113"/>
      <c r="CS129" s="113"/>
      <c r="CT129" s="113"/>
      <c r="CU129" s="113"/>
      <c r="CV129" s="113"/>
      <c r="CW129" s="113"/>
      <c r="CX129" s="113"/>
      <c r="CY129" s="113"/>
      <c r="CZ129" s="113"/>
      <c r="DA129" s="113"/>
      <c r="DB129" s="113"/>
      <c r="DC129" s="113"/>
      <c r="DD129" s="113"/>
      <c r="DE129" s="113"/>
      <c r="DF129" s="113"/>
      <c r="DG129" s="113"/>
      <c r="DH129" s="113"/>
      <c r="DI129" s="113"/>
      <c r="DJ129" s="113"/>
      <c r="DK129" s="113"/>
      <c r="DL129" s="113"/>
      <c r="DM129" s="113"/>
      <c r="DN129" s="113"/>
      <c r="DO129" s="113"/>
      <c r="DP129" s="113"/>
      <c r="DQ129" s="113"/>
      <c r="DR129" s="113"/>
      <c r="DS129" s="113"/>
      <c r="DT129" s="113"/>
      <c r="DU129" s="113"/>
      <c r="DV129" s="113"/>
      <c r="DW129" s="113"/>
      <c r="DX129" s="113"/>
      <c r="DY129" s="113"/>
      <c r="DZ129" s="113"/>
      <c r="EA129" s="113"/>
      <c r="EB129" s="113"/>
      <c r="EC129" s="113"/>
      <c r="ED129" s="113"/>
      <c r="EE129" s="113"/>
      <c r="EF129" s="113"/>
      <c r="EG129" s="113"/>
      <c r="EH129" s="113"/>
      <c r="EI129" s="113"/>
      <c r="EJ129" s="113"/>
      <c r="EK129" s="113"/>
      <c r="EL129" s="113"/>
      <c r="EM129" s="113"/>
      <c r="EN129" s="113"/>
      <c r="EO129" s="113"/>
      <c r="EP129" s="113"/>
      <c r="EQ129" s="113"/>
      <c r="ER129" s="113"/>
      <c r="ES129" s="113"/>
      <c r="ET129" s="113"/>
      <c r="EU129" s="113"/>
      <c r="EV129" s="113"/>
      <c r="EW129" s="113"/>
      <c r="EX129" s="113"/>
      <c r="EY129" s="113"/>
      <c r="EZ129" s="113"/>
      <c r="FA129" s="113"/>
      <c r="FB129" s="113"/>
      <c r="FC129" s="113"/>
      <c r="FD129" s="113"/>
      <c r="FE129" s="113"/>
      <c r="FF129" s="113"/>
      <c r="FG129" s="113"/>
      <c r="FH129" s="113"/>
      <c r="FI129" s="113"/>
      <c r="FJ129" s="113"/>
      <c r="FK129" s="113"/>
      <c r="FL129" s="113"/>
      <c r="FM129" s="113"/>
      <c r="FN129" s="113"/>
      <c r="FO129" s="113"/>
      <c r="FP129" s="113"/>
      <c r="FQ129" s="113"/>
      <c r="FR129" s="113"/>
      <c r="FS129" s="113"/>
      <c r="FT129" s="113"/>
      <c r="FU129" s="113"/>
      <c r="FV129" s="113"/>
      <c r="FW129" s="113"/>
      <c r="FX129" s="113"/>
      <c r="FY129" s="113"/>
      <c r="FZ129" s="113"/>
      <c r="GA129" s="113"/>
      <c r="GB129" s="113"/>
      <c r="GC129" s="113"/>
      <c r="GD129" s="113"/>
      <c r="GE129" s="113"/>
      <c r="GF129" s="113"/>
      <c r="GG129" s="113"/>
      <c r="GH129" s="113"/>
      <c r="GI129" s="113"/>
      <c r="GJ129" s="113"/>
      <c r="GK129" s="113"/>
      <c r="GL129" s="113"/>
      <c r="GM129" s="113"/>
      <c r="GN129" s="113"/>
      <c r="GO129" s="113"/>
      <c r="GP129" s="113"/>
      <c r="GQ129" s="113"/>
      <c r="GR129" s="113"/>
      <c r="GS129" s="113"/>
      <c r="GT129" s="113"/>
      <c r="GU129" s="113"/>
      <c r="GV129" s="113"/>
      <c r="GW129" s="113"/>
      <c r="GX129" s="113"/>
      <c r="GY129" s="113"/>
      <c r="GZ129" s="113"/>
      <c r="HA129" s="113"/>
      <c r="HB129" s="113"/>
      <c r="HC129" s="113"/>
      <c r="HD129" s="113"/>
      <c r="HE129" s="113"/>
      <c r="HF129" s="113"/>
      <c r="HG129" s="113"/>
      <c r="HH129" s="113"/>
      <c r="HI129" s="113"/>
      <c r="HJ129" s="113"/>
      <c r="HK129" s="113"/>
      <c r="HL129" s="113"/>
      <c r="HM129" s="113"/>
      <c r="HN129" s="113"/>
      <c r="HO129" s="113"/>
      <c r="HP129" s="113"/>
      <c r="HQ129" s="113"/>
      <c r="HR129" s="113"/>
      <c r="HS129" s="113"/>
      <c r="HT129" s="113"/>
      <c r="HU129" s="113"/>
      <c r="HV129" s="113"/>
      <c r="HW129" s="113"/>
      <c r="HX129" s="113"/>
      <c r="HY129" s="113"/>
      <c r="HZ129" s="113"/>
      <c r="IA129" s="113"/>
      <c r="IB129" s="113"/>
      <c r="IC129" s="113"/>
      <c r="ID129" s="113"/>
      <c r="IE129" s="113"/>
      <c r="IF129" s="113"/>
      <c r="IG129" s="113"/>
      <c r="IH129" s="113"/>
      <c r="II129" s="113"/>
      <c r="IJ129" s="113"/>
      <c r="IK129" s="113"/>
      <c r="IL129" s="113"/>
      <c r="IM129" s="113"/>
      <c r="IN129" s="113"/>
      <c r="IO129" s="113"/>
      <c r="IP129" s="113"/>
      <c r="IQ129" s="113"/>
      <c r="IR129" s="113"/>
      <c r="IS129" s="113"/>
      <c r="IT129" s="113"/>
      <c r="IU129" s="113"/>
      <c r="IV129" s="113"/>
      <c r="IW129" s="113"/>
      <c r="IX129" s="113"/>
      <c r="IY129" s="113"/>
      <c r="IZ129" s="113"/>
      <c r="JA129" s="113"/>
      <c r="JB129" s="113"/>
      <c r="JC129" s="113"/>
      <c r="JD129" s="113"/>
      <c r="JE129" s="113"/>
      <c r="JF129" s="113"/>
      <c r="JG129" s="113"/>
      <c r="JH129" s="113"/>
      <c r="JI129" s="113"/>
      <c r="JJ129" s="113"/>
      <c r="JK129" s="113"/>
      <c r="JL129" s="113"/>
      <c r="JM129" s="113"/>
      <c r="JN129" s="113"/>
      <c r="JO129" s="113"/>
      <c r="JP129" s="113"/>
      <c r="JQ129" s="113"/>
      <c r="JR129" s="113"/>
      <c r="JS129" s="113"/>
      <c r="JT129" s="113"/>
      <c r="JU129" s="113"/>
      <c r="JV129" s="113"/>
      <c r="JW129" s="113"/>
      <c r="JX129" s="113"/>
      <c r="JY129" s="113"/>
      <c r="JZ129" s="113"/>
      <c r="KA129" s="113"/>
      <c r="KB129" s="113"/>
      <c r="KC129" s="113"/>
      <c r="KD129" s="113"/>
      <c r="KE129" s="113"/>
      <c r="KF129" s="113"/>
      <c r="KG129" s="113"/>
      <c r="KH129" s="113"/>
      <c r="KI129" s="113"/>
      <c r="KJ129" s="113"/>
      <c r="KK129" s="113"/>
      <c r="KL129" s="113"/>
      <c r="KM129" s="113"/>
      <c r="KN129" s="113"/>
      <c r="KO129" s="113"/>
      <c r="KP129" s="113"/>
      <c r="KQ129" s="113"/>
      <c r="KR129" s="113"/>
      <c r="KS129" s="113"/>
      <c r="KT129" s="113"/>
      <c r="KU129" s="113"/>
      <c r="KV129" s="113"/>
      <c r="KW129" s="113"/>
      <c r="KX129" s="113"/>
      <c r="KY129" s="113"/>
      <c r="KZ129" s="113"/>
      <c r="LA129" s="113"/>
      <c r="LB129" s="113"/>
      <c r="LC129" s="113"/>
      <c r="LD129" s="113"/>
      <c r="LE129" s="113"/>
      <c r="LF129" s="113"/>
      <c r="LG129" s="113"/>
      <c r="LH129" s="113"/>
      <c r="LI129" s="113"/>
      <c r="LJ129" s="113"/>
      <c r="LK129" s="113"/>
      <c r="LL129" s="113"/>
      <c r="LM129" s="113"/>
      <c r="LN129" s="113"/>
      <c r="LO129" s="113"/>
      <c r="LP129" s="113"/>
      <c r="LQ129" s="113"/>
      <c r="LR129" s="113"/>
      <c r="LS129" s="113"/>
      <c r="LT129" s="113"/>
      <c r="LU129" s="113"/>
      <c r="LV129" s="113"/>
      <c r="LW129" s="113"/>
      <c r="LX129" s="113"/>
      <c r="LY129" s="113"/>
      <c r="LZ129" s="113"/>
      <c r="MA129" s="113"/>
      <c r="MB129" s="113"/>
      <c r="MC129" s="113"/>
      <c r="MD129" s="113"/>
      <c r="ME129" s="113"/>
      <c r="MF129" s="113"/>
      <c r="MG129" s="113"/>
      <c r="MH129" s="113"/>
      <c r="MI129" s="113"/>
      <c r="MJ129" s="113"/>
      <c r="MK129" s="113"/>
      <c r="ML129" s="113"/>
      <c r="MM129" s="113"/>
      <c r="MN129" s="113"/>
      <c r="MO129" s="113"/>
      <c r="MP129" s="113"/>
      <c r="MQ129" s="113"/>
      <c r="MR129" s="113"/>
      <c r="MS129" s="113"/>
      <c r="MT129" s="113"/>
      <c r="MU129" s="113"/>
      <c r="MV129" s="113"/>
      <c r="MW129" s="113"/>
      <c r="MX129" s="113"/>
      <c r="MY129" s="113"/>
      <c r="MZ129" s="113"/>
      <c r="NA129" s="113"/>
      <c r="NB129" s="113"/>
      <c r="NC129" s="113"/>
      <c r="ND129" s="113"/>
      <c r="NE129" s="113"/>
      <c r="NF129" s="113"/>
      <c r="NG129" s="113"/>
      <c r="NH129" s="113"/>
      <c r="NI129" s="113"/>
      <c r="NJ129" s="113"/>
      <c r="NK129" s="113"/>
      <c r="NL129" s="113"/>
      <c r="NM129" s="113"/>
      <c r="NN129" s="113"/>
      <c r="NO129" s="113"/>
      <c r="NP129" s="113"/>
      <c r="NQ129" s="113"/>
      <c r="NR129" s="113"/>
      <c r="NS129" s="113"/>
      <c r="NT129" s="113"/>
      <c r="NU129" s="113"/>
      <c r="NV129" s="113"/>
      <c r="NW129" s="113"/>
      <c r="NX129" s="113"/>
      <c r="NY129" s="113"/>
      <c r="NZ129" s="113"/>
      <c r="OA129" s="113"/>
      <c r="OB129" s="113"/>
      <c r="OC129" s="113"/>
      <c r="OD129" s="113"/>
      <c r="OE129" s="113"/>
      <c r="OF129" s="113"/>
      <c r="OG129" s="113"/>
      <c r="OH129" s="113"/>
      <c r="OI129" s="113"/>
      <c r="OJ129" s="113"/>
      <c r="OK129" s="113"/>
      <c r="OL129" s="113"/>
      <c r="OM129" s="113"/>
      <c r="ON129" s="113"/>
      <c r="OO129" s="113"/>
      <c r="OP129" s="113"/>
      <c r="OQ129" s="113"/>
      <c r="OR129" s="113"/>
      <c r="OS129" s="113"/>
      <c r="OT129" s="113"/>
      <c r="OU129" s="113"/>
      <c r="OV129" s="113"/>
      <c r="OW129" s="113"/>
      <c r="OX129" s="113"/>
      <c r="OY129" s="113"/>
      <c r="OZ129" s="113"/>
      <c r="PA129" s="113"/>
      <c r="PB129" s="113"/>
      <c r="PC129" s="113"/>
      <c r="PD129" s="113"/>
      <c r="PE129" s="113"/>
      <c r="PF129" s="113"/>
      <c r="PG129" s="113"/>
      <c r="PH129" s="113"/>
      <c r="PI129" s="113"/>
      <c r="PJ129" s="113"/>
      <c r="PK129" s="113"/>
      <c r="PL129" s="113"/>
      <c r="PM129" s="113"/>
    </row>
    <row r="130" spans="1:429" ht="15.75" customHeight="1">
      <c r="B130" s="110"/>
      <c r="C130" s="71"/>
      <c r="D130" s="71"/>
      <c r="E130" s="72" t="s">
        <v>286</v>
      </c>
      <c r="F130" s="73" t="s">
        <v>771</v>
      </c>
      <c r="G130" s="41">
        <v>2.5</v>
      </c>
      <c r="H130" s="42">
        <v>3.8</v>
      </c>
      <c r="I130" s="74">
        <v>1.3</v>
      </c>
      <c r="J130" s="41">
        <v>1.2</v>
      </c>
      <c r="K130" s="42">
        <v>1.7</v>
      </c>
      <c r="L130" s="74">
        <v>0.6</v>
      </c>
      <c r="M130" s="42">
        <v>0.3</v>
      </c>
      <c r="N130" s="42">
        <v>0.4</v>
      </c>
      <c r="O130" s="42">
        <v>0.2</v>
      </c>
      <c r="P130" s="35">
        <v>2020</v>
      </c>
      <c r="Q130" s="36" t="s">
        <v>27</v>
      </c>
      <c r="R130" s="73" t="s">
        <v>24</v>
      </c>
    </row>
    <row r="131" spans="1:429" ht="15.75" customHeight="1">
      <c r="B131" s="110"/>
      <c r="C131" s="71" t="s">
        <v>557</v>
      </c>
      <c r="D131" s="71"/>
      <c r="E131" s="72" t="s">
        <v>299</v>
      </c>
      <c r="F131" s="73" t="s">
        <v>771</v>
      </c>
      <c r="G131" s="41">
        <v>0.9</v>
      </c>
      <c r="H131" s="42">
        <v>1.5</v>
      </c>
      <c r="I131" s="74">
        <v>0.4</v>
      </c>
      <c r="J131" s="41"/>
      <c r="K131" s="42"/>
      <c r="L131" s="74"/>
      <c r="M131" s="42"/>
      <c r="N131" s="42"/>
      <c r="O131" s="42"/>
      <c r="P131" s="35">
        <v>2022</v>
      </c>
      <c r="Q131" s="36" t="s">
        <v>27</v>
      </c>
      <c r="R131" s="73" t="s">
        <v>24</v>
      </c>
    </row>
    <row r="132" spans="1:429" ht="15.75" customHeight="1">
      <c r="B132" s="110"/>
      <c r="C132" s="71"/>
      <c r="D132" s="71"/>
      <c r="E132" s="72" t="s">
        <v>299</v>
      </c>
      <c r="F132" s="73" t="s">
        <v>771</v>
      </c>
      <c r="G132" s="41">
        <v>0.9</v>
      </c>
      <c r="H132" s="42">
        <v>1.4</v>
      </c>
      <c r="I132" s="74">
        <v>0.4</v>
      </c>
      <c r="J132" s="41"/>
      <c r="K132" s="42"/>
      <c r="L132" s="74"/>
      <c r="M132" s="42"/>
      <c r="N132" s="42"/>
      <c r="O132" s="42"/>
      <c r="P132" s="35">
        <v>2020</v>
      </c>
      <c r="Q132" s="36" t="s">
        <v>27</v>
      </c>
      <c r="R132" s="73" t="s">
        <v>24</v>
      </c>
    </row>
    <row r="133" spans="1:429" ht="15.75" customHeight="1">
      <c r="B133" s="110"/>
      <c r="C133" s="71"/>
      <c r="D133" s="71"/>
      <c r="E133" s="72" t="s">
        <v>299</v>
      </c>
      <c r="F133" s="73" t="s">
        <v>771</v>
      </c>
      <c r="G133" s="41">
        <v>0.5</v>
      </c>
      <c r="H133" s="42">
        <v>0.89999999999999991</v>
      </c>
      <c r="I133" s="74">
        <v>0.2</v>
      </c>
      <c r="J133" s="41">
        <v>0.1</v>
      </c>
      <c r="K133" s="42">
        <v>0.1</v>
      </c>
      <c r="L133" s="74">
        <v>0.1</v>
      </c>
      <c r="M133" s="42">
        <v>0</v>
      </c>
      <c r="N133" s="42">
        <v>0</v>
      </c>
      <c r="O133" s="42">
        <v>0</v>
      </c>
      <c r="P133" s="35">
        <v>2017</v>
      </c>
      <c r="Q133" s="36" t="s">
        <v>27</v>
      </c>
      <c r="R133" s="73" t="s">
        <v>789</v>
      </c>
    </row>
    <row r="134" spans="1:429" ht="15.75" customHeight="1">
      <c r="B134" s="110"/>
      <c r="C134" s="71"/>
      <c r="D134" s="71"/>
      <c r="E134" s="72" t="s">
        <v>299</v>
      </c>
      <c r="F134" s="73" t="s">
        <v>771</v>
      </c>
      <c r="G134" s="41">
        <v>0.7</v>
      </c>
      <c r="H134" s="42">
        <v>1.1000000000000001</v>
      </c>
      <c r="I134" s="74">
        <v>0.3</v>
      </c>
      <c r="J134" s="41">
        <v>0.1</v>
      </c>
      <c r="K134" s="42">
        <v>0.2</v>
      </c>
      <c r="L134" s="74">
        <v>0.1</v>
      </c>
      <c r="M134" s="42">
        <v>0</v>
      </c>
      <c r="N134" s="42">
        <v>0</v>
      </c>
      <c r="O134" s="42">
        <v>0</v>
      </c>
      <c r="P134" s="35" t="s">
        <v>790</v>
      </c>
      <c r="Q134" s="36" t="s">
        <v>27</v>
      </c>
      <c r="R134" s="73" t="s">
        <v>24</v>
      </c>
    </row>
    <row r="135" spans="1:429" ht="15.75" customHeight="1">
      <c r="B135" s="110"/>
      <c r="C135" s="71"/>
      <c r="D135" s="71"/>
      <c r="E135" s="72" t="s">
        <v>299</v>
      </c>
      <c r="F135" s="73" t="s">
        <v>771</v>
      </c>
      <c r="G135" s="41">
        <v>0.8</v>
      </c>
      <c r="H135" s="42">
        <v>1.4</v>
      </c>
      <c r="I135" s="74">
        <v>0.3</v>
      </c>
      <c r="J135" s="41">
        <v>0.1</v>
      </c>
      <c r="K135" s="42">
        <v>0.2</v>
      </c>
      <c r="L135" s="74">
        <v>0</v>
      </c>
      <c r="M135" s="42">
        <v>0</v>
      </c>
      <c r="N135" s="42">
        <v>0</v>
      </c>
      <c r="O135" s="42">
        <v>0</v>
      </c>
      <c r="P135" s="35" t="s">
        <v>791</v>
      </c>
      <c r="Q135" s="36" t="s">
        <v>27</v>
      </c>
      <c r="R135" s="73" t="s">
        <v>24</v>
      </c>
    </row>
    <row r="136" spans="1:429" ht="15.75" customHeight="1">
      <c r="B136" s="110"/>
      <c r="C136" s="71"/>
      <c r="D136" s="71"/>
      <c r="E136" s="72" t="s">
        <v>299</v>
      </c>
      <c r="F136" s="73" t="s">
        <v>771</v>
      </c>
      <c r="G136" s="41">
        <v>1</v>
      </c>
      <c r="H136" s="42">
        <v>1.5</v>
      </c>
      <c r="I136" s="74">
        <v>0.5</v>
      </c>
      <c r="J136" s="41">
        <v>0.2</v>
      </c>
      <c r="K136" s="42">
        <v>0.3</v>
      </c>
      <c r="L136" s="74">
        <v>0.1</v>
      </c>
      <c r="M136" s="42">
        <v>0</v>
      </c>
      <c r="N136" s="42">
        <v>0.1</v>
      </c>
      <c r="O136" s="42">
        <v>0</v>
      </c>
      <c r="P136" s="35">
        <v>2011</v>
      </c>
      <c r="Q136" s="36" t="s">
        <v>27</v>
      </c>
      <c r="R136" s="73" t="s">
        <v>427</v>
      </c>
    </row>
    <row r="137" spans="1:429" s="48" customFormat="1" ht="15.75" customHeight="1">
      <c r="A137" s="113"/>
      <c r="B137" s="110"/>
      <c r="C137" s="71"/>
      <c r="D137" s="71"/>
      <c r="E137" s="72" t="s">
        <v>305</v>
      </c>
      <c r="F137" s="73" t="s">
        <v>771</v>
      </c>
      <c r="G137" s="41">
        <v>3.8148723027383964</v>
      </c>
      <c r="H137" s="42"/>
      <c r="I137" s="74"/>
      <c r="J137" s="41">
        <v>0.81069805860631561</v>
      </c>
      <c r="K137" s="42"/>
      <c r="L137" s="74"/>
      <c r="M137" s="42">
        <v>0.3566996492488696</v>
      </c>
      <c r="N137" s="42"/>
      <c r="O137" s="42"/>
      <c r="P137" s="35">
        <v>2023</v>
      </c>
      <c r="Q137" s="36" t="s">
        <v>306</v>
      </c>
      <c r="R137" s="73" t="s">
        <v>36</v>
      </c>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c r="AO137" s="113"/>
      <c r="AP137" s="113"/>
      <c r="AQ137" s="113"/>
      <c r="AR137" s="113"/>
      <c r="AS137" s="113"/>
      <c r="AT137" s="113"/>
      <c r="AU137" s="113"/>
      <c r="AV137" s="113"/>
      <c r="AW137" s="113"/>
      <c r="AX137" s="113"/>
      <c r="AY137" s="113"/>
      <c r="AZ137" s="113"/>
      <c r="BA137" s="113"/>
      <c r="BB137" s="113"/>
      <c r="BC137" s="113"/>
      <c r="BD137" s="113"/>
      <c r="BE137" s="113"/>
      <c r="BF137" s="113"/>
      <c r="BG137" s="113"/>
      <c r="BH137" s="113"/>
      <c r="BI137" s="113"/>
      <c r="BJ137" s="113"/>
      <c r="BK137" s="113"/>
      <c r="BL137" s="113"/>
      <c r="BM137" s="113"/>
      <c r="BN137" s="113"/>
      <c r="BO137" s="113"/>
      <c r="BP137" s="113"/>
      <c r="BQ137" s="113"/>
      <c r="BR137" s="113"/>
      <c r="BS137" s="113"/>
      <c r="BT137" s="113"/>
      <c r="BU137" s="113"/>
      <c r="BV137" s="113"/>
      <c r="BW137" s="113"/>
      <c r="BX137" s="113"/>
      <c r="BY137" s="113"/>
      <c r="BZ137" s="113"/>
      <c r="CA137" s="113"/>
      <c r="CB137" s="113"/>
      <c r="CC137" s="113"/>
      <c r="CD137" s="113"/>
      <c r="CE137" s="113"/>
      <c r="CF137" s="113"/>
      <c r="CG137" s="113"/>
      <c r="CH137" s="113"/>
      <c r="CI137" s="113"/>
      <c r="CJ137" s="113"/>
      <c r="CK137" s="113"/>
      <c r="CL137" s="113"/>
      <c r="CM137" s="113"/>
      <c r="CN137" s="113"/>
      <c r="CO137" s="113"/>
      <c r="CP137" s="113"/>
      <c r="CQ137" s="113"/>
      <c r="CR137" s="113"/>
      <c r="CS137" s="113"/>
      <c r="CT137" s="113"/>
      <c r="CU137" s="113"/>
      <c r="CV137" s="113"/>
      <c r="CW137" s="113"/>
      <c r="CX137" s="113"/>
      <c r="CY137" s="113"/>
      <c r="CZ137" s="113"/>
      <c r="DA137" s="113"/>
      <c r="DB137" s="113"/>
      <c r="DC137" s="113"/>
      <c r="DD137" s="113"/>
      <c r="DE137" s="113"/>
      <c r="DF137" s="113"/>
      <c r="DG137" s="113"/>
      <c r="DH137" s="113"/>
      <c r="DI137" s="113"/>
      <c r="DJ137" s="113"/>
      <c r="DK137" s="113"/>
      <c r="DL137" s="113"/>
      <c r="DM137" s="113"/>
      <c r="DN137" s="113"/>
      <c r="DO137" s="113"/>
      <c r="DP137" s="113"/>
      <c r="DQ137" s="113"/>
      <c r="DR137" s="113"/>
      <c r="DS137" s="113"/>
      <c r="DT137" s="113"/>
      <c r="DU137" s="113"/>
      <c r="DV137" s="113"/>
      <c r="DW137" s="113"/>
      <c r="DX137" s="113"/>
      <c r="DY137" s="113"/>
      <c r="DZ137" s="113"/>
      <c r="EA137" s="113"/>
      <c r="EB137" s="113"/>
      <c r="EC137" s="113"/>
      <c r="ED137" s="113"/>
      <c r="EE137" s="113"/>
      <c r="EF137" s="113"/>
      <c r="EG137" s="113"/>
      <c r="EH137" s="113"/>
      <c r="EI137" s="113"/>
      <c r="EJ137" s="113"/>
      <c r="EK137" s="113"/>
      <c r="EL137" s="113"/>
      <c r="EM137" s="113"/>
      <c r="EN137" s="113"/>
      <c r="EO137" s="113"/>
      <c r="EP137" s="113"/>
      <c r="EQ137" s="113"/>
      <c r="ER137" s="113"/>
      <c r="ES137" s="113"/>
      <c r="ET137" s="113"/>
      <c r="EU137" s="113"/>
      <c r="EV137" s="113"/>
      <c r="EW137" s="113"/>
      <c r="EX137" s="113"/>
      <c r="EY137" s="113"/>
      <c r="EZ137" s="113"/>
      <c r="FA137" s="113"/>
      <c r="FB137" s="113"/>
      <c r="FC137" s="113"/>
      <c r="FD137" s="113"/>
      <c r="FE137" s="113"/>
      <c r="FF137" s="113"/>
      <c r="FG137" s="113"/>
      <c r="FH137" s="113"/>
      <c r="FI137" s="113"/>
      <c r="FJ137" s="113"/>
      <c r="FK137" s="113"/>
      <c r="FL137" s="113"/>
      <c r="FM137" s="113"/>
      <c r="FN137" s="113"/>
      <c r="FO137" s="113"/>
      <c r="FP137" s="113"/>
      <c r="FQ137" s="113"/>
      <c r="FR137" s="113"/>
      <c r="FS137" s="113"/>
      <c r="FT137" s="113"/>
      <c r="FU137" s="113"/>
      <c r="FV137" s="113"/>
      <c r="FW137" s="113"/>
      <c r="FX137" s="113"/>
      <c r="FY137" s="113"/>
      <c r="FZ137" s="113"/>
      <c r="GA137" s="113"/>
      <c r="GB137" s="113"/>
      <c r="GC137" s="113"/>
      <c r="GD137" s="113"/>
      <c r="GE137" s="113"/>
      <c r="GF137" s="113"/>
      <c r="GG137" s="113"/>
      <c r="GH137" s="113"/>
      <c r="GI137" s="113"/>
      <c r="GJ137" s="113"/>
      <c r="GK137" s="113"/>
      <c r="GL137" s="113"/>
      <c r="GM137" s="113"/>
      <c r="GN137" s="113"/>
      <c r="GO137" s="113"/>
      <c r="GP137" s="113"/>
      <c r="GQ137" s="113"/>
      <c r="GR137" s="113"/>
      <c r="GS137" s="113"/>
      <c r="GT137" s="113"/>
      <c r="GU137" s="113"/>
      <c r="GV137" s="113"/>
      <c r="GW137" s="113"/>
      <c r="GX137" s="113"/>
      <c r="GY137" s="113"/>
      <c r="GZ137" s="113"/>
      <c r="HA137" s="113"/>
      <c r="HB137" s="113"/>
      <c r="HC137" s="113"/>
      <c r="HD137" s="113"/>
      <c r="HE137" s="113"/>
      <c r="HF137" s="113"/>
      <c r="HG137" s="113"/>
      <c r="HH137" s="113"/>
      <c r="HI137" s="113"/>
      <c r="HJ137" s="113"/>
      <c r="HK137" s="113"/>
      <c r="HL137" s="113"/>
      <c r="HM137" s="113"/>
      <c r="HN137" s="113"/>
      <c r="HO137" s="113"/>
      <c r="HP137" s="113"/>
      <c r="HQ137" s="113"/>
      <c r="HR137" s="113"/>
      <c r="HS137" s="113"/>
      <c r="HT137" s="113"/>
      <c r="HU137" s="113"/>
      <c r="HV137" s="113"/>
      <c r="HW137" s="113"/>
      <c r="HX137" s="113"/>
      <c r="HY137" s="113"/>
      <c r="HZ137" s="113"/>
      <c r="IA137" s="113"/>
      <c r="IB137" s="113"/>
      <c r="IC137" s="113"/>
      <c r="ID137" s="113"/>
      <c r="IE137" s="113"/>
      <c r="IF137" s="113"/>
      <c r="IG137" s="113"/>
      <c r="IH137" s="113"/>
      <c r="II137" s="113"/>
      <c r="IJ137" s="113"/>
      <c r="IK137" s="113"/>
      <c r="IL137" s="113"/>
      <c r="IM137" s="113"/>
      <c r="IN137" s="113"/>
      <c r="IO137" s="113"/>
      <c r="IP137" s="113"/>
      <c r="IQ137" s="113"/>
      <c r="IR137" s="113"/>
      <c r="IS137" s="113"/>
      <c r="IT137" s="113"/>
      <c r="IU137" s="113"/>
      <c r="IV137" s="113"/>
      <c r="IW137" s="113"/>
      <c r="IX137" s="113"/>
      <c r="IY137" s="113"/>
      <c r="IZ137" s="113"/>
      <c r="JA137" s="113"/>
      <c r="JB137" s="113"/>
      <c r="JC137" s="113"/>
      <c r="JD137" s="113"/>
      <c r="JE137" s="113"/>
      <c r="JF137" s="113"/>
      <c r="JG137" s="113"/>
      <c r="JH137" s="113"/>
      <c r="JI137" s="113"/>
      <c r="JJ137" s="113"/>
      <c r="JK137" s="113"/>
      <c r="JL137" s="113"/>
      <c r="JM137" s="113"/>
      <c r="JN137" s="113"/>
      <c r="JO137" s="113"/>
      <c r="JP137" s="113"/>
      <c r="JQ137" s="113"/>
      <c r="JR137" s="113"/>
      <c r="JS137" s="113"/>
      <c r="JT137" s="113"/>
      <c r="JU137" s="113"/>
      <c r="JV137" s="113"/>
      <c r="JW137" s="113"/>
      <c r="JX137" s="113"/>
      <c r="JY137" s="113"/>
      <c r="JZ137" s="113"/>
      <c r="KA137" s="113"/>
      <c r="KB137" s="113"/>
      <c r="KC137" s="113"/>
      <c r="KD137" s="113"/>
      <c r="KE137" s="113"/>
      <c r="KF137" s="113"/>
      <c r="KG137" s="113"/>
      <c r="KH137" s="113"/>
      <c r="KI137" s="113"/>
      <c r="KJ137" s="113"/>
      <c r="KK137" s="113"/>
      <c r="KL137" s="113"/>
      <c r="KM137" s="113"/>
      <c r="KN137" s="113"/>
      <c r="KO137" s="113"/>
      <c r="KP137" s="113"/>
      <c r="KQ137" s="113"/>
      <c r="KR137" s="113"/>
      <c r="KS137" s="113"/>
      <c r="KT137" s="113"/>
      <c r="KU137" s="113"/>
      <c r="KV137" s="113"/>
      <c r="KW137" s="113"/>
      <c r="KX137" s="113"/>
      <c r="KY137" s="113"/>
      <c r="KZ137" s="113"/>
      <c r="LA137" s="113"/>
      <c r="LB137" s="113"/>
      <c r="LC137" s="113"/>
      <c r="LD137" s="113"/>
      <c r="LE137" s="113"/>
      <c r="LF137" s="113"/>
      <c r="LG137" s="113"/>
      <c r="LH137" s="113"/>
      <c r="LI137" s="113"/>
      <c r="LJ137" s="113"/>
      <c r="LK137" s="113"/>
      <c r="LL137" s="113"/>
      <c r="LM137" s="113"/>
      <c r="LN137" s="113"/>
      <c r="LO137" s="113"/>
      <c r="LP137" s="113"/>
      <c r="LQ137" s="113"/>
      <c r="LR137" s="113"/>
      <c r="LS137" s="113"/>
      <c r="LT137" s="113"/>
      <c r="LU137" s="113"/>
      <c r="LV137" s="113"/>
      <c r="LW137" s="113"/>
      <c r="LX137" s="113"/>
      <c r="LY137" s="113"/>
      <c r="LZ137" s="113"/>
      <c r="MA137" s="113"/>
      <c r="MB137" s="113"/>
      <c r="MC137" s="113"/>
      <c r="MD137" s="113"/>
      <c r="ME137" s="113"/>
      <c r="MF137" s="113"/>
      <c r="MG137" s="113"/>
      <c r="MH137" s="113"/>
      <c r="MI137" s="113"/>
      <c r="MJ137" s="113"/>
      <c r="MK137" s="113"/>
      <c r="ML137" s="113"/>
      <c r="MM137" s="113"/>
      <c r="MN137" s="113"/>
      <c r="MO137" s="113"/>
      <c r="MP137" s="113"/>
      <c r="MQ137" s="113"/>
      <c r="MR137" s="113"/>
      <c r="MS137" s="113"/>
      <c r="MT137" s="113"/>
      <c r="MU137" s="113"/>
      <c r="MV137" s="113"/>
      <c r="MW137" s="113"/>
      <c r="MX137" s="113"/>
      <c r="MY137" s="113"/>
      <c r="MZ137" s="113"/>
      <c r="NA137" s="113"/>
      <c r="NB137" s="113"/>
      <c r="NC137" s="113"/>
      <c r="ND137" s="113"/>
      <c r="NE137" s="113"/>
      <c r="NF137" s="113"/>
      <c r="NG137" s="113"/>
      <c r="NH137" s="113"/>
      <c r="NI137" s="113"/>
      <c r="NJ137" s="113"/>
      <c r="NK137" s="113"/>
      <c r="NL137" s="113"/>
      <c r="NM137" s="113"/>
      <c r="NN137" s="113"/>
      <c r="NO137" s="113"/>
      <c r="NP137" s="113"/>
      <c r="NQ137" s="113"/>
      <c r="NR137" s="113"/>
      <c r="NS137" s="113"/>
      <c r="NT137" s="113"/>
      <c r="NU137" s="113"/>
      <c r="NV137" s="113"/>
      <c r="NW137" s="113"/>
      <c r="NX137" s="113"/>
      <c r="NY137" s="113"/>
      <c r="NZ137" s="113"/>
      <c r="OA137" s="113"/>
      <c r="OB137" s="113"/>
      <c r="OC137" s="113"/>
      <c r="OD137" s="113"/>
      <c r="OE137" s="113"/>
      <c r="OF137" s="113"/>
      <c r="OG137" s="113"/>
      <c r="OH137" s="113"/>
      <c r="OI137" s="113"/>
      <c r="OJ137" s="113"/>
      <c r="OK137" s="113"/>
      <c r="OL137" s="113"/>
      <c r="OM137" s="113"/>
      <c r="ON137" s="113"/>
      <c r="OO137" s="113"/>
      <c r="OP137" s="113"/>
      <c r="OQ137" s="113"/>
      <c r="OR137" s="113"/>
      <c r="OS137" s="113"/>
      <c r="OT137" s="113"/>
      <c r="OU137" s="113"/>
      <c r="OV137" s="113"/>
      <c r="OW137" s="113"/>
      <c r="OX137" s="113"/>
      <c r="OY137" s="113"/>
      <c r="OZ137" s="113"/>
      <c r="PA137" s="113"/>
      <c r="PB137" s="113"/>
      <c r="PC137" s="113"/>
      <c r="PD137" s="113"/>
      <c r="PE137" s="113"/>
      <c r="PF137" s="113"/>
      <c r="PG137" s="113"/>
      <c r="PH137" s="113"/>
      <c r="PI137" s="113"/>
      <c r="PJ137" s="113"/>
      <c r="PK137" s="113"/>
      <c r="PL137" s="113"/>
      <c r="PM137" s="113"/>
    </row>
    <row r="138" spans="1:429" s="48" customFormat="1" ht="15.75" customHeight="1">
      <c r="A138" s="113"/>
      <c r="B138" s="110"/>
      <c r="C138" s="71"/>
      <c r="D138" s="71"/>
      <c r="E138" s="72" t="s">
        <v>305</v>
      </c>
      <c r="F138" s="73" t="s">
        <v>771</v>
      </c>
      <c r="G138" s="41">
        <v>3.72</v>
      </c>
      <c r="H138" s="42"/>
      <c r="I138" s="74"/>
      <c r="J138" s="41">
        <v>0.9</v>
      </c>
      <c r="K138" s="42"/>
      <c r="L138" s="74"/>
      <c r="M138" s="42">
        <v>0.36</v>
      </c>
      <c r="N138" s="42"/>
      <c r="O138" s="42"/>
      <c r="P138" s="35">
        <v>2022</v>
      </c>
      <c r="Q138" s="36" t="s">
        <v>306</v>
      </c>
      <c r="R138" s="73" t="s">
        <v>36</v>
      </c>
      <c r="S138" s="115"/>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c r="AO138" s="113"/>
      <c r="AP138" s="113"/>
      <c r="AQ138" s="113"/>
      <c r="AR138" s="113"/>
      <c r="AS138" s="113"/>
      <c r="AT138" s="113"/>
      <c r="AU138" s="113"/>
      <c r="AV138" s="113"/>
      <c r="AW138" s="113"/>
      <c r="AX138" s="113"/>
      <c r="AY138" s="113"/>
      <c r="AZ138" s="113"/>
      <c r="BA138" s="113"/>
      <c r="BB138" s="113"/>
      <c r="BC138" s="113"/>
      <c r="BD138" s="113"/>
      <c r="BE138" s="113"/>
      <c r="BF138" s="113"/>
      <c r="BG138" s="113"/>
      <c r="BH138" s="113"/>
      <c r="BI138" s="113"/>
      <c r="BJ138" s="113"/>
      <c r="BK138" s="113"/>
      <c r="BL138" s="113"/>
      <c r="BM138" s="113"/>
      <c r="BN138" s="113"/>
      <c r="BO138" s="113"/>
      <c r="BP138" s="113"/>
      <c r="BQ138" s="113"/>
      <c r="BR138" s="113"/>
      <c r="BS138" s="113"/>
      <c r="BT138" s="113"/>
      <c r="BU138" s="113"/>
      <c r="BV138" s="113"/>
      <c r="BW138" s="113"/>
      <c r="BX138" s="113"/>
      <c r="BY138" s="113"/>
      <c r="BZ138" s="113"/>
      <c r="CA138" s="113"/>
      <c r="CB138" s="113"/>
      <c r="CC138" s="113"/>
      <c r="CD138" s="113"/>
      <c r="CE138" s="113"/>
      <c r="CF138" s="113"/>
      <c r="CG138" s="113"/>
      <c r="CH138" s="113"/>
      <c r="CI138" s="113"/>
      <c r="CJ138" s="113"/>
      <c r="CK138" s="113"/>
      <c r="CL138" s="113"/>
      <c r="CM138" s="113"/>
      <c r="CN138" s="113"/>
      <c r="CO138" s="113"/>
      <c r="CP138" s="113"/>
      <c r="CQ138" s="113"/>
      <c r="CR138" s="113"/>
      <c r="CS138" s="113"/>
      <c r="CT138" s="113"/>
      <c r="CU138" s="113"/>
      <c r="CV138" s="113"/>
      <c r="CW138" s="113"/>
      <c r="CX138" s="113"/>
      <c r="CY138" s="113"/>
      <c r="CZ138" s="113"/>
      <c r="DA138" s="113"/>
      <c r="DB138" s="113"/>
      <c r="DC138" s="113"/>
      <c r="DD138" s="113"/>
      <c r="DE138" s="113"/>
      <c r="DF138" s="113"/>
      <c r="DG138" s="113"/>
      <c r="DH138" s="113"/>
      <c r="DI138" s="113"/>
      <c r="DJ138" s="113"/>
      <c r="DK138" s="113"/>
      <c r="DL138" s="113"/>
      <c r="DM138" s="113"/>
      <c r="DN138" s="113"/>
      <c r="DO138" s="113"/>
      <c r="DP138" s="113"/>
      <c r="DQ138" s="113"/>
      <c r="DR138" s="113"/>
      <c r="DS138" s="113"/>
      <c r="DT138" s="113"/>
      <c r="DU138" s="113"/>
      <c r="DV138" s="113"/>
      <c r="DW138" s="113"/>
      <c r="DX138" s="113"/>
      <c r="DY138" s="113"/>
      <c r="DZ138" s="113"/>
      <c r="EA138" s="113"/>
      <c r="EB138" s="113"/>
      <c r="EC138" s="113"/>
      <c r="ED138" s="113"/>
      <c r="EE138" s="113"/>
      <c r="EF138" s="113"/>
      <c r="EG138" s="113"/>
      <c r="EH138" s="113"/>
      <c r="EI138" s="113"/>
      <c r="EJ138" s="113"/>
      <c r="EK138" s="113"/>
      <c r="EL138" s="113"/>
      <c r="EM138" s="113"/>
      <c r="EN138" s="113"/>
      <c r="EO138" s="113"/>
      <c r="EP138" s="113"/>
      <c r="EQ138" s="113"/>
      <c r="ER138" s="113"/>
      <c r="ES138" s="113"/>
      <c r="ET138" s="113"/>
      <c r="EU138" s="113"/>
      <c r="EV138" s="113"/>
      <c r="EW138" s="113"/>
      <c r="EX138" s="113"/>
      <c r="EY138" s="113"/>
      <c r="EZ138" s="113"/>
      <c r="FA138" s="113"/>
      <c r="FB138" s="113"/>
      <c r="FC138" s="113"/>
      <c r="FD138" s="113"/>
      <c r="FE138" s="113"/>
      <c r="FF138" s="113"/>
      <c r="FG138" s="113"/>
      <c r="FH138" s="113"/>
      <c r="FI138" s="113"/>
      <c r="FJ138" s="113"/>
      <c r="FK138" s="113"/>
      <c r="FL138" s="113"/>
      <c r="FM138" s="113"/>
      <c r="FN138" s="113"/>
      <c r="FO138" s="113"/>
      <c r="FP138" s="113"/>
      <c r="FQ138" s="113"/>
      <c r="FR138" s="113"/>
      <c r="FS138" s="113"/>
      <c r="FT138" s="113"/>
      <c r="FU138" s="113"/>
      <c r="FV138" s="113"/>
      <c r="FW138" s="113"/>
      <c r="FX138" s="113"/>
      <c r="FY138" s="113"/>
      <c r="FZ138" s="113"/>
      <c r="GA138" s="113"/>
      <c r="GB138" s="113"/>
      <c r="GC138" s="113"/>
      <c r="GD138" s="113"/>
      <c r="GE138" s="113"/>
      <c r="GF138" s="113"/>
      <c r="GG138" s="113"/>
      <c r="GH138" s="113"/>
      <c r="GI138" s="113"/>
      <c r="GJ138" s="113"/>
      <c r="GK138" s="113"/>
      <c r="GL138" s="113"/>
      <c r="GM138" s="113"/>
      <c r="GN138" s="113"/>
      <c r="GO138" s="113"/>
      <c r="GP138" s="113"/>
      <c r="GQ138" s="113"/>
      <c r="GR138" s="113"/>
      <c r="GS138" s="113"/>
      <c r="GT138" s="113"/>
      <c r="GU138" s="113"/>
      <c r="GV138" s="113"/>
      <c r="GW138" s="113"/>
      <c r="GX138" s="113"/>
      <c r="GY138" s="113"/>
      <c r="GZ138" s="113"/>
      <c r="HA138" s="113"/>
      <c r="HB138" s="113"/>
      <c r="HC138" s="113"/>
      <c r="HD138" s="113"/>
      <c r="HE138" s="113"/>
      <c r="HF138" s="113"/>
      <c r="HG138" s="113"/>
      <c r="HH138" s="113"/>
      <c r="HI138" s="113"/>
      <c r="HJ138" s="113"/>
      <c r="HK138" s="113"/>
      <c r="HL138" s="113"/>
      <c r="HM138" s="113"/>
      <c r="HN138" s="113"/>
      <c r="HO138" s="113"/>
      <c r="HP138" s="113"/>
      <c r="HQ138" s="113"/>
      <c r="HR138" s="113"/>
      <c r="HS138" s="113"/>
      <c r="HT138" s="113"/>
      <c r="HU138" s="113"/>
      <c r="HV138" s="113"/>
      <c r="HW138" s="113"/>
      <c r="HX138" s="113"/>
      <c r="HY138" s="113"/>
      <c r="HZ138" s="113"/>
      <c r="IA138" s="113"/>
      <c r="IB138" s="113"/>
      <c r="IC138" s="113"/>
      <c r="ID138" s="113"/>
      <c r="IE138" s="113"/>
      <c r="IF138" s="113"/>
      <c r="IG138" s="113"/>
      <c r="IH138" s="113"/>
      <c r="II138" s="113"/>
      <c r="IJ138" s="113"/>
      <c r="IK138" s="113"/>
      <c r="IL138" s="113"/>
      <c r="IM138" s="113"/>
      <c r="IN138" s="113"/>
      <c r="IO138" s="113"/>
      <c r="IP138" s="113"/>
      <c r="IQ138" s="113"/>
      <c r="IR138" s="113"/>
      <c r="IS138" s="113"/>
      <c r="IT138" s="113"/>
      <c r="IU138" s="113"/>
      <c r="IV138" s="113"/>
      <c r="IW138" s="113"/>
      <c r="IX138" s="113"/>
      <c r="IY138" s="113"/>
      <c r="IZ138" s="113"/>
      <c r="JA138" s="113"/>
      <c r="JB138" s="113"/>
      <c r="JC138" s="113"/>
      <c r="JD138" s="113"/>
      <c r="JE138" s="113"/>
      <c r="JF138" s="113"/>
      <c r="JG138" s="113"/>
      <c r="JH138" s="113"/>
      <c r="JI138" s="113"/>
      <c r="JJ138" s="113"/>
      <c r="JK138" s="113"/>
      <c r="JL138" s="113"/>
      <c r="JM138" s="113"/>
      <c r="JN138" s="113"/>
      <c r="JO138" s="113"/>
      <c r="JP138" s="113"/>
      <c r="JQ138" s="113"/>
      <c r="JR138" s="113"/>
      <c r="JS138" s="113"/>
      <c r="JT138" s="113"/>
      <c r="JU138" s="113"/>
      <c r="JV138" s="113"/>
      <c r="JW138" s="113"/>
      <c r="JX138" s="113"/>
      <c r="JY138" s="113"/>
      <c r="JZ138" s="113"/>
      <c r="KA138" s="113"/>
      <c r="KB138" s="113"/>
      <c r="KC138" s="113"/>
      <c r="KD138" s="113"/>
      <c r="KE138" s="113"/>
      <c r="KF138" s="113"/>
      <c r="KG138" s="113"/>
      <c r="KH138" s="113"/>
      <c r="KI138" s="113"/>
      <c r="KJ138" s="113"/>
      <c r="KK138" s="113"/>
      <c r="KL138" s="113"/>
      <c r="KM138" s="113"/>
      <c r="KN138" s="113"/>
      <c r="KO138" s="113"/>
      <c r="KP138" s="113"/>
      <c r="KQ138" s="113"/>
      <c r="KR138" s="113"/>
      <c r="KS138" s="113"/>
      <c r="KT138" s="113"/>
      <c r="KU138" s="113"/>
      <c r="KV138" s="113"/>
      <c r="KW138" s="113"/>
      <c r="KX138" s="113"/>
      <c r="KY138" s="113"/>
      <c r="KZ138" s="113"/>
      <c r="LA138" s="113"/>
      <c r="LB138" s="113"/>
      <c r="LC138" s="113"/>
      <c r="LD138" s="113"/>
      <c r="LE138" s="113"/>
      <c r="LF138" s="113"/>
      <c r="LG138" s="113"/>
      <c r="LH138" s="113"/>
      <c r="LI138" s="113"/>
      <c r="LJ138" s="113"/>
      <c r="LK138" s="113"/>
      <c r="LL138" s="113"/>
      <c r="LM138" s="113"/>
      <c r="LN138" s="113"/>
      <c r="LO138" s="113"/>
      <c r="LP138" s="113"/>
      <c r="LQ138" s="113"/>
      <c r="LR138" s="113"/>
      <c r="LS138" s="113"/>
      <c r="LT138" s="113"/>
      <c r="LU138" s="113"/>
      <c r="LV138" s="113"/>
      <c r="LW138" s="113"/>
      <c r="LX138" s="113"/>
      <c r="LY138" s="113"/>
      <c r="LZ138" s="113"/>
      <c r="MA138" s="113"/>
      <c r="MB138" s="113"/>
      <c r="MC138" s="113"/>
      <c r="MD138" s="113"/>
      <c r="ME138" s="113"/>
      <c r="MF138" s="113"/>
      <c r="MG138" s="113"/>
      <c r="MH138" s="113"/>
      <c r="MI138" s="113"/>
      <c r="MJ138" s="113"/>
      <c r="MK138" s="113"/>
      <c r="ML138" s="113"/>
      <c r="MM138" s="113"/>
      <c r="MN138" s="113"/>
      <c r="MO138" s="113"/>
      <c r="MP138" s="113"/>
      <c r="MQ138" s="113"/>
      <c r="MR138" s="113"/>
      <c r="MS138" s="113"/>
      <c r="MT138" s="113"/>
      <c r="MU138" s="113"/>
      <c r="MV138" s="113"/>
      <c r="MW138" s="113"/>
      <c r="MX138" s="113"/>
      <c r="MY138" s="113"/>
      <c r="MZ138" s="113"/>
      <c r="NA138" s="113"/>
      <c r="NB138" s="113"/>
      <c r="NC138" s="113"/>
      <c r="ND138" s="113"/>
      <c r="NE138" s="113"/>
      <c r="NF138" s="113"/>
      <c r="NG138" s="113"/>
      <c r="NH138" s="113"/>
      <c r="NI138" s="113"/>
      <c r="NJ138" s="113"/>
      <c r="NK138" s="113"/>
      <c r="NL138" s="113"/>
      <c r="NM138" s="113"/>
      <c r="NN138" s="113"/>
      <c r="NO138" s="113"/>
      <c r="NP138" s="113"/>
      <c r="NQ138" s="113"/>
      <c r="NR138" s="113"/>
      <c r="NS138" s="113"/>
      <c r="NT138" s="113"/>
      <c r="NU138" s="113"/>
      <c r="NV138" s="113"/>
      <c r="NW138" s="113"/>
      <c r="NX138" s="113"/>
      <c r="NY138" s="113"/>
      <c r="NZ138" s="113"/>
      <c r="OA138" s="113"/>
      <c r="OB138" s="113"/>
      <c r="OC138" s="113"/>
      <c r="OD138" s="113"/>
      <c r="OE138" s="113"/>
      <c r="OF138" s="113"/>
      <c r="OG138" s="113"/>
      <c r="OH138" s="113"/>
      <c r="OI138" s="113"/>
      <c r="OJ138" s="113"/>
      <c r="OK138" s="113"/>
      <c r="OL138" s="113"/>
      <c r="OM138" s="113"/>
      <c r="ON138" s="113"/>
      <c r="OO138" s="113"/>
      <c r="OP138" s="113"/>
      <c r="OQ138" s="113"/>
      <c r="OR138" s="113"/>
      <c r="OS138" s="113"/>
      <c r="OT138" s="113"/>
      <c r="OU138" s="113"/>
      <c r="OV138" s="113"/>
      <c r="OW138" s="113"/>
      <c r="OX138" s="113"/>
      <c r="OY138" s="113"/>
      <c r="OZ138" s="113"/>
      <c r="PA138" s="113"/>
      <c r="PB138" s="113"/>
      <c r="PC138" s="113"/>
      <c r="PD138" s="113"/>
      <c r="PE138" s="113"/>
      <c r="PF138" s="113"/>
      <c r="PG138" s="113"/>
      <c r="PH138" s="113"/>
      <c r="PI138" s="113"/>
      <c r="PJ138" s="113"/>
      <c r="PK138" s="113"/>
      <c r="PL138" s="113"/>
      <c r="PM138" s="113"/>
    </row>
    <row r="139" spans="1:429" ht="15.75" customHeight="1">
      <c r="B139" s="110"/>
      <c r="C139" s="71"/>
      <c r="D139" s="71"/>
      <c r="E139" s="72" t="s">
        <v>305</v>
      </c>
      <c r="F139" s="73" t="s">
        <v>771</v>
      </c>
      <c r="G139" s="41">
        <v>4.1223524931237199</v>
      </c>
      <c r="H139" s="42"/>
      <c r="I139" s="74"/>
      <c r="J139" s="41">
        <v>0.91298090599664306</v>
      </c>
      <c r="K139" s="42"/>
      <c r="L139" s="74"/>
      <c r="M139" s="42"/>
      <c r="N139" s="42"/>
      <c r="O139" s="42"/>
      <c r="P139" s="35">
        <v>2021</v>
      </c>
      <c r="Q139" s="36" t="s">
        <v>306</v>
      </c>
      <c r="R139" s="73" t="s">
        <v>496</v>
      </c>
    </row>
    <row r="140" spans="1:429" ht="15.75" customHeight="1">
      <c r="B140" s="110"/>
      <c r="C140" s="71"/>
      <c r="D140" s="71"/>
      <c r="E140" s="72" t="s">
        <v>305</v>
      </c>
      <c r="F140" s="73" t="s">
        <v>771</v>
      </c>
      <c r="G140" s="41">
        <v>2.79</v>
      </c>
      <c r="H140" s="42">
        <v>3.82</v>
      </c>
      <c r="I140" s="74">
        <v>1.78</v>
      </c>
      <c r="J140" s="41">
        <v>0.76</v>
      </c>
      <c r="K140" s="42">
        <v>1.06</v>
      </c>
      <c r="L140" s="74">
        <v>0.47</v>
      </c>
      <c r="M140" s="42">
        <v>0.25</v>
      </c>
      <c r="N140" s="42">
        <v>0.24</v>
      </c>
      <c r="O140" s="42">
        <v>0.24</v>
      </c>
      <c r="P140" s="35">
        <v>2019</v>
      </c>
      <c r="Q140" s="36" t="s">
        <v>265</v>
      </c>
      <c r="R140" s="73" t="s">
        <v>792</v>
      </c>
    </row>
    <row r="141" spans="1:429" ht="15.75" customHeight="1">
      <c r="B141" s="110"/>
      <c r="C141" s="71"/>
      <c r="D141" s="71"/>
      <c r="E141" s="72" t="s">
        <v>305</v>
      </c>
      <c r="F141" s="73" t="s">
        <v>771</v>
      </c>
      <c r="G141" s="41">
        <v>3.1</v>
      </c>
      <c r="H141" s="42">
        <v>4.43</v>
      </c>
      <c r="I141" s="74">
        <v>1.79</v>
      </c>
      <c r="J141" s="41">
        <v>0.8</v>
      </c>
      <c r="K141" s="42">
        <v>1.1000000000000001</v>
      </c>
      <c r="L141" s="74">
        <v>0.4</v>
      </c>
      <c r="M141" s="42">
        <v>0.3</v>
      </c>
      <c r="N141" s="42">
        <v>0.4</v>
      </c>
      <c r="O141" s="42">
        <v>0.2</v>
      </c>
      <c r="P141" s="35">
        <v>2019</v>
      </c>
      <c r="Q141" s="36" t="s">
        <v>306</v>
      </c>
      <c r="R141" s="73" t="s">
        <v>24</v>
      </c>
    </row>
    <row r="142" spans="1:429" ht="15.75" customHeight="1">
      <c r="B142" s="110"/>
      <c r="C142" s="71"/>
      <c r="D142" s="71"/>
      <c r="E142" s="72" t="s">
        <v>305</v>
      </c>
      <c r="F142" s="73" t="s">
        <v>771</v>
      </c>
      <c r="G142" s="41">
        <v>3.1</v>
      </c>
      <c r="H142" s="42">
        <v>4.43</v>
      </c>
      <c r="I142" s="74">
        <v>1.79</v>
      </c>
      <c r="J142" s="41">
        <v>0.77</v>
      </c>
      <c r="K142" s="42">
        <v>1.1200000000000001</v>
      </c>
      <c r="L142" s="74">
        <v>0.43</v>
      </c>
      <c r="M142" s="42">
        <v>0.34</v>
      </c>
      <c r="N142" s="42">
        <v>0.44</v>
      </c>
      <c r="O142" s="42">
        <v>0.25</v>
      </c>
      <c r="P142" s="35" t="s">
        <v>793</v>
      </c>
      <c r="Q142" s="36" t="s">
        <v>306</v>
      </c>
      <c r="R142" s="73" t="s">
        <v>794</v>
      </c>
    </row>
    <row r="143" spans="1:429" ht="15.75" customHeight="1">
      <c r="B143" s="110"/>
      <c r="C143" s="71"/>
      <c r="D143" s="71"/>
      <c r="E143" s="72" t="s">
        <v>305</v>
      </c>
      <c r="F143" s="73" t="s">
        <v>771</v>
      </c>
      <c r="G143" s="41">
        <v>2.78</v>
      </c>
      <c r="H143" s="42">
        <v>4.17</v>
      </c>
      <c r="I143" s="74">
        <v>1.39</v>
      </c>
      <c r="J143" s="41">
        <v>0.78</v>
      </c>
      <c r="K143" s="42">
        <v>1.25</v>
      </c>
      <c r="L143" s="74">
        <v>0.31</v>
      </c>
      <c r="M143" s="42">
        <v>0.3</v>
      </c>
      <c r="N143" s="42">
        <v>0.43</v>
      </c>
      <c r="O143" s="42">
        <v>0.18</v>
      </c>
      <c r="P143" s="35" t="s">
        <v>795</v>
      </c>
      <c r="Q143" s="36" t="s">
        <v>306</v>
      </c>
      <c r="R143" s="73" t="s">
        <v>794</v>
      </c>
    </row>
    <row r="144" spans="1:429" ht="15.75" customHeight="1">
      <c r="B144" s="110"/>
      <c r="C144" s="71"/>
      <c r="D144" s="71"/>
      <c r="E144" s="72" t="s">
        <v>305</v>
      </c>
      <c r="F144" s="73" t="s">
        <v>771</v>
      </c>
      <c r="G144" s="41">
        <v>2.3199999999999998</v>
      </c>
      <c r="H144" s="42">
        <v>3.35</v>
      </c>
      <c r="I144" s="74">
        <v>1.3</v>
      </c>
      <c r="J144" s="41">
        <v>0.35</v>
      </c>
      <c r="K144" s="42">
        <v>0.47</v>
      </c>
      <c r="L144" s="74">
        <v>0.23</v>
      </c>
      <c r="M144" s="42">
        <v>0.15</v>
      </c>
      <c r="N144" s="42">
        <v>0.19</v>
      </c>
      <c r="O144" s="42">
        <v>0.11</v>
      </c>
      <c r="P144" s="35" t="s">
        <v>796</v>
      </c>
      <c r="Q144" s="36" t="s">
        <v>306</v>
      </c>
      <c r="R144" s="73" t="s">
        <v>794</v>
      </c>
    </row>
    <row r="145" spans="1:429" ht="15.75" customHeight="1">
      <c r="B145" s="110"/>
      <c r="C145" s="71"/>
      <c r="D145" s="71"/>
      <c r="E145" s="72" t="s">
        <v>305</v>
      </c>
      <c r="F145" s="73" t="s">
        <v>771</v>
      </c>
      <c r="G145" s="41">
        <v>2.37</v>
      </c>
      <c r="H145" s="42">
        <v>3.62</v>
      </c>
      <c r="I145" s="74">
        <v>1.1399999999999999</v>
      </c>
      <c r="J145" s="41">
        <v>0.28999999999999998</v>
      </c>
      <c r="K145" s="42">
        <v>0.48</v>
      </c>
      <c r="L145" s="74">
        <v>0.1</v>
      </c>
      <c r="M145" s="42">
        <v>0.06</v>
      </c>
      <c r="N145" s="42">
        <v>0.11</v>
      </c>
      <c r="O145" s="42">
        <v>0.02</v>
      </c>
      <c r="P145" s="35" t="s">
        <v>797</v>
      </c>
      <c r="Q145" s="36" t="s">
        <v>306</v>
      </c>
      <c r="R145" s="73" t="s">
        <v>794</v>
      </c>
    </row>
    <row r="146" spans="1:429" ht="15.75" customHeight="1">
      <c r="B146" s="110"/>
      <c r="C146" s="71"/>
      <c r="D146" s="71"/>
      <c r="E146" s="72" t="s">
        <v>305</v>
      </c>
      <c r="F146" s="73" t="s">
        <v>771</v>
      </c>
      <c r="G146" s="41">
        <v>2.58</v>
      </c>
      <c r="H146" s="42">
        <v>3.7</v>
      </c>
      <c r="I146" s="74">
        <v>1.5</v>
      </c>
      <c r="J146" s="41">
        <v>0.49</v>
      </c>
      <c r="K146" s="42">
        <v>0.69</v>
      </c>
      <c r="L146" s="74">
        <v>0.3</v>
      </c>
      <c r="M146" s="42">
        <v>0.08</v>
      </c>
      <c r="N146" s="42">
        <v>0.1</v>
      </c>
      <c r="O146" s="42">
        <v>0</v>
      </c>
      <c r="P146" s="35" t="s">
        <v>798</v>
      </c>
      <c r="Q146" s="36" t="s">
        <v>306</v>
      </c>
      <c r="R146" s="73" t="s">
        <v>799</v>
      </c>
    </row>
    <row r="147" spans="1:429" ht="15.75" customHeight="1">
      <c r="B147" s="110"/>
      <c r="C147" s="71"/>
      <c r="D147" s="71"/>
      <c r="E147" s="72" t="s">
        <v>305</v>
      </c>
      <c r="F147" s="73" t="s">
        <v>771</v>
      </c>
      <c r="G147" s="41">
        <v>2.68</v>
      </c>
      <c r="H147" s="42"/>
      <c r="I147" s="74"/>
      <c r="J147" s="41">
        <v>0.6</v>
      </c>
      <c r="K147" s="42">
        <v>0.89</v>
      </c>
      <c r="L147" s="74">
        <v>0.31</v>
      </c>
      <c r="M147" s="42"/>
      <c r="N147" s="42"/>
      <c r="O147" s="42"/>
      <c r="P147" s="35" t="s">
        <v>800</v>
      </c>
      <c r="Q147" s="36" t="s">
        <v>306</v>
      </c>
      <c r="R147" s="73" t="s">
        <v>801</v>
      </c>
    </row>
    <row r="148" spans="1:429" ht="15.75" customHeight="1">
      <c r="B148" s="110"/>
      <c r="C148" s="71"/>
      <c r="D148" s="71"/>
      <c r="E148" s="72" t="s">
        <v>305</v>
      </c>
      <c r="F148" s="73" t="s">
        <v>771</v>
      </c>
      <c r="G148" s="41">
        <v>2.25</v>
      </c>
      <c r="H148" s="42"/>
      <c r="I148" s="74"/>
      <c r="J148" s="41">
        <v>0.37</v>
      </c>
      <c r="K148" s="42">
        <v>0.55000000000000004</v>
      </c>
      <c r="L148" s="74">
        <v>0.18</v>
      </c>
      <c r="M148" s="42"/>
      <c r="N148" s="42"/>
      <c r="O148" s="42"/>
      <c r="P148" s="35" t="s">
        <v>802</v>
      </c>
      <c r="Q148" s="36" t="s">
        <v>306</v>
      </c>
      <c r="R148" s="73" t="s">
        <v>803</v>
      </c>
    </row>
    <row r="149" spans="1:429" ht="15.75" customHeight="1">
      <c r="B149" s="110"/>
      <c r="C149" s="71"/>
      <c r="D149" s="71"/>
      <c r="E149" s="72" t="s">
        <v>305</v>
      </c>
      <c r="F149" s="73" t="s">
        <v>771</v>
      </c>
      <c r="G149" s="41">
        <v>2.5</v>
      </c>
      <c r="H149" s="42"/>
      <c r="I149" s="74"/>
      <c r="J149" s="41">
        <v>0.59</v>
      </c>
      <c r="K149" s="42">
        <v>0.91</v>
      </c>
      <c r="L149" s="74">
        <v>0.27</v>
      </c>
      <c r="M149" s="42">
        <v>0.17</v>
      </c>
      <c r="N149" s="42"/>
      <c r="O149" s="42"/>
      <c r="P149" s="35" t="s">
        <v>767</v>
      </c>
      <c r="Q149" s="36" t="s">
        <v>306</v>
      </c>
      <c r="R149" s="73" t="s">
        <v>768</v>
      </c>
    </row>
    <row r="150" spans="1:429" ht="15.75" customHeight="1">
      <c r="B150" s="110"/>
      <c r="C150" s="71"/>
      <c r="D150" s="71"/>
      <c r="E150" s="72" t="s">
        <v>305</v>
      </c>
      <c r="F150" s="73" t="s">
        <v>771</v>
      </c>
      <c r="G150" s="41">
        <v>2.2000000000000002</v>
      </c>
      <c r="H150" s="42"/>
      <c r="I150" s="74"/>
      <c r="J150" s="41">
        <v>0.64</v>
      </c>
      <c r="K150" s="42">
        <v>0.83</v>
      </c>
      <c r="L150" s="74">
        <v>0.44</v>
      </c>
      <c r="M150" s="42">
        <v>0.3</v>
      </c>
      <c r="N150" s="42"/>
      <c r="O150" s="42"/>
      <c r="P150" s="35" t="s">
        <v>762</v>
      </c>
      <c r="Q150" s="36" t="s">
        <v>306</v>
      </c>
      <c r="R150" s="73" t="s">
        <v>769</v>
      </c>
    </row>
    <row r="151" spans="1:429" ht="15.75" customHeight="1">
      <c r="B151" s="110"/>
      <c r="C151" s="71"/>
      <c r="D151" s="71"/>
      <c r="E151" s="72" t="s">
        <v>305</v>
      </c>
      <c r="F151" s="73" t="s">
        <v>771</v>
      </c>
      <c r="G151" s="41">
        <v>2.0299999999999998</v>
      </c>
      <c r="H151" s="42"/>
      <c r="I151" s="74"/>
      <c r="J151" s="41">
        <v>0.49</v>
      </c>
      <c r="K151" s="42">
        <v>0.79</v>
      </c>
      <c r="L151" s="74">
        <v>0.19</v>
      </c>
      <c r="M151" s="42">
        <v>0.24</v>
      </c>
      <c r="N151" s="42"/>
      <c r="O151" s="42"/>
      <c r="P151" s="35" t="s">
        <v>804</v>
      </c>
      <c r="Q151" s="36" t="s">
        <v>306</v>
      </c>
      <c r="R151" s="73" t="s">
        <v>805</v>
      </c>
    </row>
    <row r="152" spans="1:429" ht="15.75" customHeight="1">
      <c r="B152" s="110"/>
      <c r="C152" s="71"/>
      <c r="D152" s="71"/>
      <c r="E152" s="72" t="s">
        <v>305</v>
      </c>
      <c r="F152" s="73" t="s">
        <v>771</v>
      </c>
      <c r="G152" s="41">
        <v>1.8</v>
      </c>
      <c r="H152" s="42"/>
      <c r="I152" s="74"/>
      <c r="J152" s="41">
        <v>0.6</v>
      </c>
      <c r="K152" s="42"/>
      <c r="L152" s="74"/>
      <c r="M152" s="42">
        <v>0.2</v>
      </c>
      <c r="N152" s="42"/>
      <c r="O152" s="42"/>
      <c r="P152" s="35" t="s">
        <v>806</v>
      </c>
      <c r="Q152" s="36" t="s">
        <v>306</v>
      </c>
      <c r="R152" s="73" t="s">
        <v>805</v>
      </c>
    </row>
    <row r="153" spans="1:429" ht="15.75" customHeight="1">
      <c r="B153" s="110"/>
      <c r="C153" s="71"/>
      <c r="D153" s="71"/>
      <c r="E153" s="72" t="s">
        <v>305</v>
      </c>
      <c r="F153" s="73" t="s">
        <v>771</v>
      </c>
      <c r="G153" s="41">
        <v>1.4</v>
      </c>
      <c r="H153" s="42"/>
      <c r="I153" s="74"/>
      <c r="J153" s="41">
        <v>0.4</v>
      </c>
      <c r="K153" s="42"/>
      <c r="L153" s="74"/>
      <c r="M153" s="42">
        <v>0.2</v>
      </c>
      <c r="N153" s="42"/>
      <c r="O153" s="42"/>
      <c r="P153" s="35" t="s">
        <v>807</v>
      </c>
      <c r="Q153" s="36" t="s">
        <v>306</v>
      </c>
      <c r="R153" s="73" t="s">
        <v>805</v>
      </c>
    </row>
    <row r="154" spans="1:429" ht="15.75" customHeight="1">
      <c r="B154" s="110"/>
      <c r="C154" s="71"/>
      <c r="D154" s="71"/>
      <c r="E154" s="72" t="s">
        <v>808</v>
      </c>
      <c r="F154" s="73" t="s">
        <v>771</v>
      </c>
      <c r="G154" s="41">
        <v>4</v>
      </c>
      <c r="H154" s="42">
        <v>0</v>
      </c>
      <c r="I154" s="74">
        <v>0</v>
      </c>
      <c r="J154" s="41">
        <v>0.5</v>
      </c>
      <c r="K154" s="42">
        <v>0.8</v>
      </c>
      <c r="L154" s="74">
        <v>0.2</v>
      </c>
      <c r="M154" s="42">
        <v>0.2</v>
      </c>
      <c r="N154" s="42">
        <v>0</v>
      </c>
      <c r="O154" s="42">
        <v>0</v>
      </c>
      <c r="P154" s="35" t="s">
        <v>804</v>
      </c>
      <c r="Q154" s="36" t="s">
        <v>27</v>
      </c>
      <c r="R154" s="73" t="s">
        <v>24</v>
      </c>
    </row>
    <row r="155" spans="1:429" ht="15.75" customHeight="1">
      <c r="B155" s="110"/>
      <c r="C155" s="71"/>
      <c r="D155" s="71"/>
      <c r="E155" s="72" t="s">
        <v>808</v>
      </c>
      <c r="F155" s="73" t="s">
        <v>771</v>
      </c>
      <c r="G155" s="41">
        <v>1.8</v>
      </c>
      <c r="H155" s="42"/>
      <c r="I155" s="74">
        <v>0.7</v>
      </c>
      <c r="J155" s="41">
        <v>0.6</v>
      </c>
      <c r="K155" s="42"/>
      <c r="L155" s="74">
        <v>0.25</v>
      </c>
      <c r="M155" s="42">
        <v>0.2</v>
      </c>
      <c r="N155" s="42"/>
      <c r="O155" s="42"/>
      <c r="P155" s="35" t="s">
        <v>806</v>
      </c>
      <c r="Q155" s="36" t="s">
        <v>306</v>
      </c>
      <c r="R155" s="73" t="s">
        <v>809</v>
      </c>
    </row>
    <row r="156" spans="1:429" ht="15.75" customHeight="1">
      <c r="B156" s="110"/>
      <c r="C156" s="71"/>
      <c r="D156" s="71"/>
      <c r="E156" s="72" t="s">
        <v>323</v>
      </c>
      <c r="F156" s="73" t="s">
        <v>771</v>
      </c>
      <c r="G156" s="41">
        <v>1.35</v>
      </c>
      <c r="H156" s="42">
        <v>2.2200000000000002</v>
      </c>
      <c r="I156" s="74">
        <v>0.54</v>
      </c>
      <c r="J156" s="41">
        <v>0.16</v>
      </c>
      <c r="K156" s="42">
        <v>0.3</v>
      </c>
      <c r="L156" s="74">
        <v>0.03</v>
      </c>
      <c r="M156" s="42"/>
      <c r="N156" s="42"/>
      <c r="O156" s="42"/>
      <c r="P156" s="35" t="s">
        <v>798</v>
      </c>
      <c r="Q156" s="36" t="s">
        <v>810</v>
      </c>
      <c r="R156" s="73" t="s">
        <v>811</v>
      </c>
    </row>
    <row r="157" spans="1:429" ht="15.75" customHeight="1">
      <c r="B157" s="110"/>
      <c r="C157" s="71"/>
      <c r="D157" s="71"/>
      <c r="E157" s="72" t="s">
        <v>812</v>
      </c>
      <c r="F157" s="73" t="s">
        <v>771</v>
      </c>
      <c r="G157" s="41">
        <v>1.3</v>
      </c>
      <c r="H157" s="42"/>
      <c r="I157" s="74"/>
      <c r="J157" s="41">
        <v>0.3</v>
      </c>
      <c r="K157" s="42"/>
      <c r="L157" s="74"/>
      <c r="M157" s="42">
        <v>0.1</v>
      </c>
      <c r="N157" s="42"/>
      <c r="O157" s="42"/>
      <c r="P157" s="35" t="s">
        <v>813</v>
      </c>
      <c r="Q157" s="36" t="s">
        <v>306</v>
      </c>
      <c r="R157" s="73" t="s">
        <v>24</v>
      </c>
    </row>
    <row r="158" spans="1:429" s="48" customFormat="1" ht="15.75" customHeight="1">
      <c r="A158" s="113"/>
      <c r="B158" s="110"/>
      <c r="C158" s="71" t="s">
        <v>327</v>
      </c>
      <c r="D158" s="71" t="s">
        <v>328</v>
      </c>
      <c r="E158" s="72" t="s">
        <v>329</v>
      </c>
      <c r="F158" s="73" t="s">
        <v>771</v>
      </c>
      <c r="G158" s="41">
        <v>4.3</v>
      </c>
      <c r="H158" s="42">
        <v>5.0999999999999996</v>
      </c>
      <c r="I158" s="74">
        <v>3.4</v>
      </c>
      <c r="J158" s="41">
        <v>1.4</v>
      </c>
      <c r="K158" s="42">
        <v>1.7</v>
      </c>
      <c r="L158" s="74">
        <v>1</v>
      </c>
      <c r="M158" s="42"/>
      <c r="N158" s="42"/>
      <c r="O158" s="42"/>
      <c r="P158" s="35" t="s">
        <v>330</v>
      </c>
      <c r="Q158" s="36" t="s">
        <v>226</v>
      </c>
      <c r="R158" s="73" t="s">
        <v>36</v>
      </c>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c r="AO158" s="113"/>
      <c r="AP158" s="113"/>
      <c r="AQ158" s="113"/>
      <c r="AR158" s="113"/>
      <c r="AS158" s="113"/>
      <c r="AT158" s="113"/>
      <c r="AU158" s="113"/>
      <c r="AV158" s="113"/>
      <c r="AW158" s="113"/>
      <c r="AX158" s="113"/>
      <c r="AY158" s="113"/>
      <c r="AZ158" s="113"/>
      <c r="BA158" s="113"/>
      <c r="BB158" s="113"/>
      <c r="BC158" s="113"/>
      <c r="BD158" s="113"/>
      <c r="BE158" s="113"/>
      <c r="BF158" s="113"/>
      <c r="BG158" s="113"/>
      <c r="BH158" s="113"/>
      <c r="BI158" s="113"/>
      <c r="BJ158" s="113"/>
      <c r="BK158" s="113"/>
      <c r="BL158" s="113"/>
      <c r="BM158" s="113"/>
      <c r="BN158" s="113"/>
      <c r="BO158" s="113"/>
      <c r="BP158" s="113"/>
      <c r="BQ158" s="113"/>
      <c r="BR158" s="113"/>
      <c r="BS158" s="113"/>
      <c r="BT158" s="113"/>
      <c r="BU158" s="113"/>
      <c r="BV158" s="113"/>
      <c r="BW158" s="113"/>
      <c r="BX158" s="113"/>
      <c r="BY158" s="113"/>
      <c r="BZ158" s="113"/>
      <c r="CA158" s="113"/>
      <c r="CB158" s="113"/>
      <c r="CC158" s="113"/>
      <c r="CD158" s="113"/>
      <c r="CE158" s="113"/>
      <c r="CF158" s="113"/>
      <c r="CG158" s="113"/>
      <c r="CH158" s="113"/>
      <c r="CI158" s="113"/>
      <c r="CJ158" s="113"/>
      <c r="CK158" s="113"/>
      <c r="CL158" s="113"/>
      <c r="CM158" s="113"/>
      <c r="CN158" s="113"/>
      <c r="CO158" s="113"/>
      <c r="CP158" s="113"/>
      <c r="CQ158" s="113"/>
      <c r="CR158" s="113"/>
      <c r="CS158" s="113"/>
      <c r="CT158" s="113"/>
      <c r="CU158" s="113"/>
      <c r="CV158" s="113"/>
      <c r="CW158" s="113"/>
      <c r="CX158" s="113"/>
      <c r="CY158" s="113"/>
      <c r="CZ158" s="113"/>
      <c r="DA158" s="113"/>
      <c r="DB158" s="113"/>
      <c r="DC158" s="113"/>
      <c r="DD158" s="113"/>
      <c r="DE158" s="113"/>
      <c r="DF158" s="113"/>
      <c r="DG158" s="113"/>
      <c r="DH158" s="113"/>
      <c r="DI158" s="113"/>
      <c r="DJ158" s="113"/>
      <c r="DK158" s="113"/>
      <c r="DL158" s="113"/>
      <c r="DM158" s="113"/>
      <c r="DN158" s="113"/>
      <c r="DO158" s="113"/>
      <c r="DP158" s="113"/>
      <c r="DQ158" s="113"/>
      <c r="DR158" s="113"/>
      <c r="DS158" s="113"/>
      <c r="DT158" s="113"/>
      <c r="DU158" s="113"/>
      <c r="DV158" s="113"/>
      <c r="DW158" s="113"/>
      <c r="DX158" s="113"/>
      <c r="DY158" s="113"/>
      <c r="DZ158" s="113"/>
      <c r="EA158" s="113"/>
      <c r="EB158" s="113"/>
      <c r="EC158" s="113"/>
      <c r="ED158" s="113"/>
      <c r="EE158" s="113"/>
      <c r="EF158" s="113"/>
      <c r="EG158" s="113"/>
      <c r="EH158" s="113"/>
      <c r="EI158" s="113"/>
      <c r="EJ158" s="113"/>
      <c r="EK158" s="113"/>
      <c r="EL158" s="113"/>
      <c r="EM158" s="113"/>
      <c r="EN158" s="113"/>
      <c r="EO158" s="113"/>
      <c r="EP158" s="113"/>
      <c r="EQ158" s="113"/>
      <c r="ER158" s="113"/>
      <c r="ES158" s="113"/>
      <c r="ET158" s="113"/>
      <c r="EU158" s="113"/>
      <c r="EV158" s="113"/>
      <c r="EW158" s="113"/>
      <c r="EX158" s="113"/>
      <c r="EY158" s="113"/>
      <c r="EZ158" s="113"/>
      <c r="FA158" s="113"/>
      <c r="FB158" s="113"/>
      <c r="FC158" s="113"/>
      <c r="FD158" s="113"/>
      <c r="FE158" s="113"/>
      <c r="FF158" s="113"/>
      <c r="FG158" s="113"/>
      <c r="FH158" s="113"/>
      <c r="FI158" s="113"/>
      <c r="FJ158" s="113"/>
      <c r="FK158" s="113"/>
      <c r="FL158" s="113"/>
      <c r="FM158" s="113"/>
      <c r="FN158" s="113"/>
      <c r="FO158" s="113"/>
      <c r="FP158" s="113"/>
      <c r="FQ158" s="113"/>
      <c r="FR158" s="113"/>
      <c r="FS158" s="113"/>
      <c r="FT158" s="113"/>
      <c r="FU158" s="113"/>
      <c r="FV158" s="113"/>
      <c r="FW158" s="113"/>
      <c r="FX158" s="113"/>
      <c r="FY158" s="113"/>
      <c r="FZ158" s="113"/>
      <c r="GA158" s="113"/>
      <c r="GB158" s="113"/>
      <c r="GC158" s="113"/>
      <c r="GD158" s="113"/>
      <c r="GE158" s="113"/>
      <c r="GF158" s="113"/>
      <c r="GG158" s="113"/>
      <c r="GH158" s="113"/>
      <c r="GI158" s="113"/>
      <c r="GJ158" s="113"/>
      <c r="GK158" s="113"/>
      <c r="GL158" s="113"/>
      <c r="GM158" s="113"/>
      <c r="GN158" s="113"/>
      <c r="GO158" s="113"/>
      <c r="GP158" s="113"/>
      <c r="GQ158" s="113"/>
      <c r="GR158" s="113"/>
      <c r="GS158" s="113"/>
      <c r="GT158" s="113"/>
      <c r="GU158" s="113"/>
      <c r="GV158" s="113"/>
      <c r="GW158" s="113"/>
      <c r="GX158" s="113"/>
      <c r="GY158" s="113"/>
      <c r="GZ158" s="113"/>
      <c r="HA158" s="113"/>
      <c r="HB158" s="113"/>
      <c r="HC158" s="113"/>
      <c r="HD158" s="113"/>
      <c r="HE158" s="113"/>
      <c r="HF158" s="113"/>
      <c r="HG158" s="113"/>
      <c r="HH158" s="113"/>
      <c r="HI158" s="113"/>
      <c r="HJ158" s="113"/>
      <c r="HK158" s="113"/>
      <c r="HL158" s="113"/>
      <c r="HM158" s="113"/>
      <c r="HN158" s="113"/>
      <c r="HO158" s="113"/>
      <c r="HP158" s="113"/>
      <c r="HQ158" s="113"/>
      <c r="HR158" s="113"/>
      <c r="HS158" s="113"/>
      <c r="HT158" s="113"/>
      <c r="HU158" s="113"/>
      <c r="HV158" s="113"/>
      <c r="HW158" s="113"/>
      <c r="HX158" s="113"/>
      <c r="HY158" s="113"/>
      <c r="HZ158" s="113"/>
      <c r="IA158" s="113"/>
      <c r="IB158" s="113"/>
      <c r="IC158" s="113"/>
      <c r="ID158" s="113"/>
      <c r="IE158" s="113"/>
      <c r="IF158" s="113"/>
      <c r="IG158" s="113"/>
      <c r="IH158" s="113"/>
      <c r="II158" s="113"/>
      <c r="IJ158" s="113"/>
      <c r="IK158" s="113"/>
      <c r="IL158" s="113"/>
      <c r="IM158" s="113"/>
      <c r="IN158" s="113"/>
      <c r="IO158" s="113"/>
      <c r="IP158" s="113"/>
      <c r="IQ158" s="113"/>
      <c r="IR158" s="113"/>
      <c r="IS158" s="113"/>
      <c r="IT158" s="113"/>
      <c r="IU158" s="113"/>
      <c r="IV158" s="113"/>
      <c r="IW158" s="113"/>
      <c r="IX158" s="113"/>
      <c r="IY158" s="113"/>
      <c r="IZ158" s="113"/>
      <c r="JA158" s="113"/>
      <c r="JB158" s="113"/>
      <c r="JC158" s="113"/>
      <c r="JD158" s="113"/>
      <c r="JE158" s="113"/>
      <c r="JF158" s="113"/>
      <c r="JG158" s="113"/>
      <c r="JH158" s="113"/>
      <c r="JI158" s="113"/>
      <c r="JJ158" s="113"/>
      <c r="JK158" s="113"/>
      <c r="JL158" s="113"/>
      <c r="JM158" s="113"/>
      <c r="JN158" s="113"/>
      <c r="JO158" s="113"/>
      <c r="JP158" s="113"/>
      <c r="JQ158" s="113"/>
      <c r="JR158" s="113"/>
      <c r="JS158" s="113"/>
      <c r="JT158" s="113"/>
      <c r="JU158" s="113"/>
      <c r="JV158" s="113"/>
      <c r="JW158" s="113"/>
      <c r="JX158" s="113"/>
      <c r="JY158" s="113"/>
      <c r="JZ158" s="113"/>
      <c r="KA158" s="113"/>
      <c r="KB158" s="113"/>
      <c r="KC158" s="113"/>
      <c r="KD158" s="113"/>
      <c r="KE158" s="113"/>
      <c r="KF158" s="113"/>
      <c r="KG158" s="113"/>
      <c r="KH158" s="113"/>
      <c r="KI158" s="113"/>
      <c r="KJ158" s="113"/>
      <c r="KK158" s="113"/>
      <c r="KL158" s="113"/>
      <c r="KM158" s="113"/>
      <c r="KN158" s="113"/>
      <c r="KO158" s="113"/>
      <c r="KP158" s="113"/>
      <c r="KQ158" s="113"/>
      <c r="KR158" s="113"/>
      <c r="KS158" s="113"/>
      <c r="KT158" s="113"/>
      <c r="KU158" s="113"/>
      <c r="KV158" s="113"/>
      <c r="KW158" s="113"/>
      <c r="KX158" s="113"/>
      <c r="KY158" s="113"/>
      <c r="KZ158" s="113"/>
      <c r="LA158" s="113"/>
      <c r="LB158" s="113"/>
      <c r="LC158" s="113"/>
      <c r="LD158" s="113"/>
      <c r="LE158" s="113"/>
      <c r="LF158" s="113"/>
      <c r="LG158" s="113"/>
      <c r="LH158" s="113"/>
      <c r="LI158" s="113"/>
      <c r="LJ158" s="113"/>
      <c r="LK158" s="113"/>
      <c r="LL158" s="113"/>
      <c r="LM158" s="113"/>
      <c r="LN158" s="113"/>
      <c r="LO158" s="113"/>
      <c r="LP158" s="113"/>
      <c r="LQ158" s="113"/>
      <c r="LR158" s="113"/>
      <c r="LS158" s="113"/>
      <c r="LT158" s="113"/>
      <c r="LU158" s="113"/>
      <c r="LV158" s="113"/>
      <c r="LW158" s="113"/>
      <c r="LX158" s="113"/>
      <c r="LY158" s="113"/>
      <c r="LZ158" s="113"/>
      <c r="MA158" s="113"/>
      <c r="MB158" s="113"/>
      <c r="MC158" s="113"/>
      <c r="MD158" s="113"/>
      <c r="ME158" s="113"/>
      <c r="MF158" s="113"/>
      <c r="MG158" s="113"/>
      <c r="MH158" s="113"/>
      <c r="MI158" s="113"/>
      <c r="MJ158" s="113"/>
      <c r="MK158" s="113"/>
      <c r="ML158" s="113"/>
      <c r="MM158" s="113"/>
      <c r="MN158" s="113"/>
      <c r="MO158" s="113"/>
      <c r="MP158" s="113"/>
      <c r="MQ158" s="113"/>
      <c r="MR158" s="113"/>
      <c r="MS158" s="113"/>
      <c r="MT158" s="113"/>
      <c r="MU158" s="113"/>
      <c r="MV158" s="113"/>
      <c r="MW158" s="113"/>
      <c r="MX158" s="113"/>
      <c r="MY158" s="113"/>
      <c r="MZ158" s="113"/>
      <c r="NA158" s="113"/>
      <c r="NB158" s="113"/>
      <c r="NC158" s="113"/>
      <c r="ND158" s="113"/>
      <c r="NE158" s="113"/>
      <c r="NF158" s="113"/>
      <c r="NG158" s="113"/>
      <c r="NH158" s="113"/>
      <c r="NI158" s="113"/>
      <c r="NJ158" s="113"/>
      <c r="NK158" s="113"/>
      <c r="NL158" s="113"/>
      <c r="NM158" s="113"/>
      <c r="NN158" s="113"/>
      <c r="NO158" s="113"/>
      <c r="NP158" s="113"/>
      <c r="NQ158" s="113"/>
      <c r="NR158" s="113"/>
      <c r="NS158" s="113"/>
      <c r="NT158" s="113"/>
      <c r="NU158" s="113"/>
      <c r="NV158" s="113"/>
      <c r="NW158" s="113"/>
      <c r="NX158" s="113"/>
      <c r="NY158" s="113"/>
      <c r="NZ158" s="113"/>
      <c r="OA158" s="113"/>
      <c r="OB158" s="113"/>
      <c r="OC158" s="113"/>
      <c r="OD158" s="113"/>
      <c r="OE158" s="113"/>
      <c r="OF158" s="113"/>
      <c r="OG158" s="113"/>
      <c r="OH158" s="113"/>
      <c r="OI158" s="113"/>
      <c r="OJ158" s="113"/>
      <c r="OK158" s="113"/>
      <c r="OL158" s="113"/>
      <c r="OM158" s="113"/>
      <c r="ON158" s="113"/>
      <c r="OO158" s="113"/>
      <c r="OP158" s="113"/>
      <c r="OQ158" s="113"/>
      <c r="OR158" s="113"/>
      <c r="OS158" s="113"/>
      <c r="OT158" s="113"/>
      <c r="OU158" s="113"/>
      <c r="OV158" s="113"/>
      <c r="OW158" s="113"/>
      <c r="OX158" s="113"/>
      <c r="OY158" s="113"/>
      <c r="OZ158" s="113"/>
      <c r="PA158" s="113"/>
      <c r="PB158" s="113"/>
      <c r="PC158" s="113"/>
      <c r="PD158" s="113"/>
      <c r="PE158" s="113"/>
      <c r="PF158" s="113"/>
      <c r="PG158" s="113"/>
      <c r="PH158" s="113"/>
      <c r="PI158" s="113"/>
      <c r="PJ158" s="113"/>
      <c r="PK158" s="113"/>
      <c r="PL158" s="113"/>
      <c r="PM158" s="113"/>
    </row>
    <row r="159" spans="1:429" ht="15.75" customHeight="1">
      <c r="B159" s="110"/>
      <c r="C159" s="71"/>
      <c r="D159" s="71"/>
      <c r="E159" s="72" t="s">
        <v>329</v>
      </c>
      <c r="F159" s="73" t="s">
        <v>771</v>
      </c>
      <c r="G159" s="41">
        <v>3.1</v>
      </c>
      <c r="H159" s="42">
        <v>4</v>
      </c>
      <c r="I159" s="74">
        <v>2.2000000000000002</v>
      </c>
      <c r="J159" s="41">
        <v>0.9</v>
      </c>
      <c r="K159" s="42">
        <v>1.2</v>
      </c>
      <c r="L159" s="74">
        <v>0.6</v>
      </c>
      <c r="M159" s="42"/>
      <c r="N159" s="42"/>
      <c r="O159" s="42"/>
      <c r="P159" s="35">
        <v>2019</v>
      </c>
      <c r="Q159" s="36" t="s">
        <v>226</v>
      </c>
      <c r="R159" s="73" t="s">
        <v>24</v>
      </c>
    </row>
    <row r="160" spans="1:429" ht="15.75" customHeight="1">
      <c r="B160" s="110"/>
      <c r="C160" s="71"/>
      <c r="D160" s="71"/>
      <c r="E160" s="72" t="s">
        <v>329</v>
      </c>
      <c r="F160" s="73" t="s">
        <v>771</v>
      </c>
      <c r="G160" s="41">
        <v>1.9</v>
      </c>
      <c r="H160" s="42">
        <v>2.2999999999999998</v>
      </c>
      <c r="I160" s="74">
        <v>1.6</v>
      </c>
      <c r="J160" s="41">
        <v>0.4</v>
      </c>
      <c r="K160" s="42">
        <v>0.4</v>
      </c>
      <c r="L160" s="74">
        <v>0.3</v>
      </c>
      <c r="M160" s="42"/>
      <c r="N160" s="42"/>
      <c r="O160" s="42"/>
      <c r="P160" s="35" t="s">
        <v>777</v>
      </c>
      <c r="Q160" s="36" t="s">
        <v>226</v>
      </c>
      <c r="R160" s="73" t="s">
        <v>24</v>
      </c>
    </row>
    <row r="161" spans="1:429" ht="15.75" customHeight="1">
      <c r="B161" s="110"/>
      <c r="C161" s="71"/>
      <c r="D161" s="71"/>
      <c r="E161" s="72" t="s">
        <v>329</v>
      </c>
      <c r="F161" s="73" t="s">
        <v>771</v>
      </c>
      <c r="G161" s="41">
        <v>1.7</v>
      </c>
      <c r="H161" s="42">
        <v>2.2999999999999998</v>
      </c>
      <c r="I161" s="74">
        <v>1.2</v>
      </c>
      <c r="J161" s="41">
        <v>0.3</v>
      </c>
      <c r="K161" s="42">
        <v>0.4</v>
      </c>
      <c r="L161" s="74">
        <v>0.2</v>
      </c>
      <c r="M161" s="42"/>
      <c r="N161" s="42"/>
      <c r="O161" s="42"/>
      <c r="P161" s="35" t="s">
        <v>791</v>
      </c>
      <c r="Q161" s="36" t="s">
        <v>19</v>
      </c>
      <c r="R161" s="73" t="s">
        <v>24</v>
      </c>
    </row>
    <row r="162" spans="1:429" ht="15.75" customHeight="1">
      <c r="B162" s="110"/>
      <c r="C162" s="71"/>
      <c r="D162" s="71"/>
      <c r="E162" s="72" t="s">
        <v>329</v>
      </c>
      <c r="F162" s="73" t="s">
        <v>771</v>
      </c>
      <c r="G162" s="41">
        <v>1.4000000000000001</v>
      </c>
      <c r="H162" s="42">
        <v>1.7999999999999998</v>
      </c>
      <c r="I162" s="74">
        <v>0.89999999999999991</v>
      </c>
      <c r="J162" s="41">
        <v>0.21</v>
      </c>
      <c r="K162" s="42">
        <v>0.3</v>
      </c>
      <c r="L162" s="74">
        <v>0.2</v>
      </c>
      <c r="M162" s="42"/>
      <c r="N162" s="42"/>
      <c r="O162" s="42"/>
      <c r="P162" s="35">
        <v>2010</v>
      </c>
      <c r="Q162" s="36" t="s">
        <v>226</v>
      </c>
      <c r="R162" s="73" t="s">
        <v>24</v>
      </c>
    </row>
    <row r="163" spans="1:429" ht="15.75" customHeight="1">
      <c r="B163" s="110"/>
      <c r="C163" s="71"/>
      <c r="D163" s="71"/>
      <c r="E163" s="72" t="s">
        <v>329</v>
      </c>
      <c r="F163" s="73" t="s">
        <v>771</v>
      </c>
      <c r="G163" s="41">
        <v>1.3</v>
      </c>
      <c r="H163" s="42"/>
      <c r="I163" s="74">
        <v>0.69999999999999984</v>
      </c>
      <c r="J163" s="41">
        <v>0.20000000000000004</v>
      </c>
      <c r="K163" s="42"/>
      <c r="L163" s="74">
        <v>0.10000000000000002</v>
      </c>
      <c r="M163" s="42"/>
      <c r="N163" s="42"/>
      <c r="O163" s="42"/>
      <c r="P163" s="35">
        <v>2007</v>
      </c>
      <c r="Q163" s="36" t="s">
        <v>27</v>
      </c>
      <c r="R163" s="73" t="s">
        <v>24</v>
      </c>
    </row>
    <row r="164" spans="1:429" ht="15.75" customHeight="1">
      <c r="B164" s="111"/>
      <c r="C164" s="71"/>
      <c r="D164" s="71"/>
      <c r="E164" s="72" t="s">
        <v>331</v>
      </c>
      <c r="F164" s="73" t="s">
        <v>771</v>
      </c>
      <c r="G164" s="41">
        <v>1.2</v>
      </c>
      <c r="H164" s="42">
        <v>1.7</v>
      </c>
      <c r="I164" s="74">
        <v>0.7</v>
      </c>
      <c r="J164" s="41">
        <v>0.3</v>
      </c>
      <c r="K164" s="42">
        <v>0.4</v>
      </c>
      <c r="L164" s="74">
        <v>0.1</v>
      </c>
      <c r="M164" s="42"/>
      <c r="N164" s="42"/>
      <c r="O164" s="42"/>
      <c r="P164" s="35">
        <v>2008</v>
      </c>
      <c r="Q164" s="36" t="s">
        <v>265</v>
      </c>
      <c r="R164" s="73" t="s">
        <v>341</v>
      </c>
    </row>
    <row r="165" spans="1:429" s="48" customFormat="1" ht="16.5" customHeight="1">
      <c r="A165" s="113"/>
      <c r="B165" s="104" t="s">
        <v>814</v>
      </c>
      <c r="C165" s="71" t="s">
        <v>16</v>
      </c>
      <c r="D165" s="71" t="s">
        <v>39</v>
      </c>
      <c r="E165" s="72" t="s">
        <v>42</v>
      </c>
      <c r="F165" s="73" t="s">
        <v>815</v>
      </c>
      <c r="G165" s="41"/>
      <c r="H165" s="42"/>
      <c r="I165" s="74"/>
      <c r="J165" s="41">
        <v>0.2</v>
      </c>
      <c r="K165" s="42"/>
      <c r="L165" s="74"/>
      <c r="M165" s="42"/>
      <c r="N165" s="42"/>
      <c r="O165" s="42"/>
      <c r="P165" s="35">
        <v>2019</v>
      </c>
      <c r="Q165" s="36" t="s">
        <v>27</v>
      </c>
      <c r="R165" s="73" t="s">
        <v>24</v>
      </c>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c r="AO165" s="113"/>
      <c r="AP165" s="113"/>
      <c r="AQ165" s="113"/>
      <c r="AR165" s="113"/>
      <c r="AS165" s="113"/>
      <c r="AT165" s="113"/>
      <c r="AU165" s="113"/>
      <c r="AV165" s="113"/>
      <c r="AW165" s="113"/>
      <c r="AX165" s="113"/>
      <c r="AY165" s="113"/>
      <c r="AZ165" s="113"/>
      <c r="BA165" s="113"/>
      <c r="BB165" s="113"/>
      <c r="BC165" s="113"/>
      <c r="BD165" s="113"/>
      <c r="BE165" s="113"/>
      <c r="BF165" s="113"/>
      <c r="BG165" s="113"/>
      <c r="BH165" s="113"/>
      <c r="BI165" s="113"/>
      <c r="BJ165" s="113"/>
      <c r="BK165" s="113"/>
      <c r="BL165" s="113"/>
      <c r="BM165" s="113"/>
      <c r="BN165" s="113"/>
      <c r="BO165" s="113"/>
      <c r="BP165" s="113"/>
      <c r="BQ165" s="113"/>
      <c r="BR165" s="113"/>
      <c r="BS165" s="113"/>
      <c r="BT165" s="113"/>
      <c r="BU165" s="113"/>
      <c r="BV165" s="113"/>
      <c r="BW165" s="113"/>
      <c r="BX165" s="113"/>
      <c r="BY165" s="113"/>
      <c r="BZ165" s="113"/>
      <c r="CA165" s="113"/>
      <c r="CB165" s="113"/>
      <c r="CC165" s="113"/>
      <c r="CD165" s="113"/>
      <c r="CE165" s="113"/>
      <c r="CF165" s="113"/>
      <c r="CG165" s="113"/>
      <c r="CH165" s="113"/>
      <c r="CI165" s="113"/>
      <c r="CJ165" s="113"/>
      <c r="CK165" s="113"/>
      <c r="CL165" s="113"/>
      <c r="CM165" s="113"/>
      <c r="CN165" s="113"/>
      <c r="CO165" s="113"/>
      <c r="CP165" s="113"/>
      <c r="CQ165" s="113"/>
      <c r="CR165" s="113"/>
      <c r="CS165" s="113"/>
      <c r="CT165" s="113"/>
      <c r="CU165" s="113"/>
      <c r="CV165" s="113"/>
      <c r="CW165" s="113"/>
      <c r="CX165" s="113"/>
      <c r="CY165" s="113"/>
      <c r="CZ165" s="113"/>
      <c r="DA165" s="113"/>
      <c r="DB165" s="113"/>
      <c r="DC165" s="113"/>
      <c r="DD165" s="113"/>
      <c r="DE165" s="113"/>
      <c r="DF165" s="113"/>
      <c r="DG165" s="113"/>
      <c r="DH165" s="113"/>
      <c r="DI165" s="113"/>
      <c r="DJ165" s="113"/>
      <c r="DK165" s="113"/>
      <c r="DL165" s="113"/>
      <c r="DM165" s="113"/>
      <c r="DN165" s="113"/>
      <c r="DO165" s="113"/>
      <c r="DP165" s="113"/>
      <c r="DQ165" s="113"/>
      <c r="DR165" s="113"/>
      <c r="DS165" s="113"/>
      <c r="DT165" s="113"/>
      <c r="DU165" s="113"/>
      <c r="DV165" s="113"/>
      <c r="DW165" s="113"/>
      <c r="DX165" s="113"/>
      <c r="DY165" s="113"/>
      <c r="DZ165" s="113"/>
      <c r="EA165" s="113"/>
      <c r="EB165" s="113"/>
      <c r="EC165" s="113"/>
      <c r="ED165" s="113"/>
      <c r="EE165" s="113"/>
      <c r="EF165" s="113"/>
      <c r="EG165" s="113"/>
      <c r="EH165" s="113"/>
      <c r="EI165" s="113"/>
      <c r="EJ165" s="113"/>
      <c r="EK165" s="113"/>
      <c r="EL165" s="113"/>
      <c r="EM165" s="113"/>
      <c r="EN165" s="113"/>
      <c r="EO165" s="113"/>
      <c r="EP165" s="113"/>
      <c r="EQ165" s="113"/>
      <c r="ER165" s="113"/>
      <c r="ES165" s="113"/>
      <c r="ET165" s="113"/>
      <c r="EU165" s="113"/>
      <c r="EV165" s="113"/>
      <c r="EW165" s="113"/>
      <c r="EX165" s="113"/>
      <c r="EY165" s="113"/>
      <c r="EZ165" s="113"/>
      <c r="FA165" s="113"/>
      <c r="FB165" s="113"/>
      <c r="FC165" s="113"/>
      <c r="FD165" s="113"/>
      <c r="FE165" s="113"/>
      <c r="FF165" s="113"/>
      <c r="FG165" s="113"/>
      <c r="FH165" s="113"/>
      <c r="FI165" s="113"/>
      <c r="FJ165" s="113"/>
      <c r="FK165" s="113"/>
      <c r="FL165" s="113"/>
      <c r="FM165" s="113"/>
      <c r="FN165" s="113"/>
      <c r="FO165" s="113"/>
      <c r="FP165" s="113"/>
      <c r="FQ165" s="113"/>
      <c r="FR165" s="113"/>
      <c r="FS165" s="113"/>
      <c r="FT165" s="113"/>
      <c r="FU165" s="113"/>
      <c r="FV165" s="113"/>
      <c r="FW165" s="113"/>
      <c r="FX165" s="113"/>
      <c r="FY165" s="113"/>
      <c r="FZ165" s="113"/>
      <c r="GA165" s="113"/>
      <c r="GB165" s="113"/>
      <c r="GC165" s="113"/>
      <c r="GD165" s="113"/>
      <c r="GE165" s="113"/>
      <c r="GF165" s="113"/>
      <c r="GG165" s="113"/>
      <c r="GH165" s="113"/>
      <c r="GI165" s="113"/>
      <c r="GJ165" s="113"/>
      <c r="GK165" s="113"/>
      <c r="GL165" s="113"/>
      <c r="GM165" s="113"/>
      <c r="GN165" s="113"/>
      <c r="GO165" s="113"/>
      <c r="GP165" s="113"/>
      <c r="GQ165" s="113"/>
      <c r="GR165" s="113"/>
      <c r="GS165" s="113"/>
      <c r="GT165" s="113"/>
      <c r="GU165" s="113"/>
      <c r="GV165" s="113"/>
      <c r="GW165" s="113"/>
      <c r="GX165" s="113"/>
      <c r="GY165" s="113"/>
      <c r="GZ165" s="113"/>
      <c r="HA165" s="113"/>
      <c r="HB165" s="113"/>
      <c r="HC165" s="113"/>
      <c r="HD165" s="113"/>
      <c r="HE165" s="113"/>
      <c r="HF165" s="113"/>
      <c r="HG165" s="113"/>
      <c r="HH165" s="113"/>
      <c r="HI165" s="113"/>
      <c r="HJ165" s="113"/>
      <c r="HK165" s="113"/>
      <c r="HL165" s="113"/>
      <c r="HM165" s="113"/>
      <c r="HN165" s="113"/>
      <c r="HO165" s="113"/>
      <c r="HP165" s="113"/>
      <c r="HQ165" s="113"/>
      <c r="HR165" s="113"/>
      <c r="HS165" s="113"/>
      <c r="HT165" s="113"/>
      <c r="HU165" s="113"/>
      <c r="HV165" s="113"/>
      <c r="HW165" s="113"/>
      <c r="HX165" s="113"/>
      <c r="HY165" s="113"/>
      <c r="HZ165" s="113"/>
      <c r="IA165" s="113"/>
      <c r="IB165" s="113"/>
      <c r="IC165" s="113"/>
      <c r="ID165" s="113"/>
      <c r="IE165" s="113"/>
      <c r="IF165" s="113"/>
      <c r="IG165" s="113"/>
      <c r="IH165" s="113"/>
      <c r="II165" s="113"/>
      <c r="IJ165" s="113"/>
      <c r="IK165" s="113"/>
      <c r="IL165" s="113"/>
      <c r="IM165" s="113"/>
      <c r="IN165" s="113"/>
      <c r="IO165" s="113"/>
      <c r="IP165" s="113"/>
      <c r="IQ165" s="113"/>
      <c r="IR165" s="113"/>
      <c r="IS165" s="113"/>
      <c r="IT165" s="113"/>
      <c r="IU165" s="113"/>
      <c r="IV165" s="113"/>
      <c r="IW165" s="113"/>
      <c r="IX165" s="113"/>
      <c r="IY165" s="113"/>
      <c r="IZ165" s="113"/>
      <c r="JA165" s="113"/>
      <c r="JB165" s="113"/>
      <c r="JC165" s="113"/>
      <c r="JD165" s="113"/>
      <c r="JE165" s="113"/>
      <c r="JF165" s="113"/>
      <c r="JG165" s="113"/>
      <c r="JH165" s="113"/>
      <c r="JI165" s="113"/>
      <c r="JJ165" s="113"/>
      <c r="JK165" s="113"/>
      <c r="JL165" s="113"/>
      <c r="JM165" s="113"/>
      <c r="JN165" s="113"/>
      <c r="JO165" s="113"/>
      <c r="JP165" s="113"/>
      <c r="JQ165" s="113"/>
      <c r="JR165" s="113"/>
      <c r="JS165" s="113"/>
      <c r="JT165" s="113"/>
      <c r="JU165" s="113"/>
      <c r="JV165" s="113"/>
      <c r="JW165" s="113"/>
      <c r="JX165" s="113"/>
      <c r="JY165" s="113"/>
      <c r="JZ165" s="113"/>
      <c r="KA165" s="113"/>
      <c r="KB165" s="113"/>
      <c r="KC165" s="113"/>
      <c r="KD165" s="113"/>
      <c r="KE165" s="113"/>
      <c r="KF165" s="113"/>
      <c r="KG165" s="113"/>
      <c r="KH165" s="113"/>
      <c r="KI165" s="113"/>
      <c r="KJ165" s="113"/>
      <c r="KK165" s="113"/>
      <c r="KL165" s="113"/>
      <c r="KM165" s="113"/>
      <c r="KN165" s="113"/>
      <c r="KO165" s="113"/>
      <c r="KP165" s="113"/>
      <c r="KQ165" s="113"/>
      <c r="KR165" s="113"/>
      <c r="KS165" s="113"/>
      <c r="KT165" s="113"/>
      <c r="KU165" s="113"/>
      <c r="KV165" s="113"/>
      <c r="KW165" s="113"/>
      <c r="KX165" s="113"/>
      <c r="KY165" s="113"/>
      <c r="KZ165" s="113"/>
      <c r="LA165" s="113"/>
      <c r="LB165" s="113"/>
      <c r="LC165" s="113"/>
      <c r="LD165" s="113"/>
      <c r="LE165" s="113"/>
      <c r="LF165" s="113"/>
      <c r="LG165" s="113"/>
      <c r="LH165" s="113"/>
      <c r="LI165" s="113"/>
      <c r="LJ165" s="113"/>
      <c r="LK165" s="113"/>
      <c r="LL165" s="113"/>
      <c r="LM165" s="113"/>
      <c r="LN165" s="113"/>
      <c r="LO165" s="113"/>
      <c r="LP165" s="113"/>
      <c r="LQ165" s="113"/>
      <c r="LR165" s="113"/>
      <c r="LS165" s="113"/>
      <c r="LT165" s="113"/>
      <c r="LU165" s="113"/>
      <c r="LV165" s="113"/>
      <c r="LW165" s="113"/>
      <c r="LX165" s="113"/>
      <c r="LY165" s="113"/>
      <c r="LZ165" s="113"/>
      <c r="MA165" s="113"/>
      <c r="MB165" s="113"/>
      <c r="MC165" s="113"/>
      <c r="MD165" s="113"/>
      <c r="ME165" s="113"/>
      <c r="MF165" s="113"/>
      <c r="MG165" s="113"/>
      <c r="MH165" s="113"/>
      <c r="MI165" s="113"/>
      <c r="MJ165" s="113"/>
      <c r="MK165" s="113"/>
      <c r="ML165" s="113"/>
      <c r="MM165" s="113"/>
      <c r="MN165" s="113"/>
      <c r="MO165" s="113"/>
      <c r="MP165" s="113"/>
      <c r="MQ165" s="113"/>
      <c r="MR165" s="113"/>
      <c r="MS165" s="113"/>
      <c r="MT165" s="113"/>
      <c r="MU165" s="113"/>
      <c r="MV165" s="113"/>
      <c r="MW165" s="113"/>
      <c r="MX165" s="113"/>
      <c r="MY165" s="113"/>
      <c r="MZ165" s="113"/>
      <c r="NA165" s="113"/>
      <c r="NB165" s="113"/>
      <c r="NC165" s="113"/>
      <c r="ND165" s="113"/>
      <c r="NE165" s="113"/>
      <c r="NF165" s="113"/>
      <c r="NG165" s="113"/>
      <c r="NH165" s="113"/>
      <c r="NI165" s="113"/>
      <c r="NJ165" s="113"/>
      <c r="NK165" s="113"/>
      <c r="NL165" s="113"/>
      <c r="NM165" s="113"/>
      <c r="NN165" s="113"/>
      <c r="NO165" s="113"/>
      <c r="NP165" s="113"/>
      <c r="NQ165" s="113"/>
      <c r="NR165" s="113"/>
      <c r="NS165" s="113"/>
      <c r="NT165" s="113"/>
      <c r="NU165" s="113"/>
      <c r="NV165" s="113"/>
      <c r="NW165" s="113"/>
      <c r="NX165" s="113"/>
      <c r="NY165" s="113"/>
      <c r="NZ165" s="113"/>
      <c r="OA165" s="113"/>
      <c r="OB165" s="113"/>
      <c r="OC165" s="113"/>
      <c r="OD165" s="113"/>
      <c r="OE165" s="113"/>
      <c r="OF165" s="113"/>
      <c r="OG165" s="113"/>
      <c r="OH165" s="113"/>
      <c r="OI165" s="113"/>
      <c r="OJ165" s="113"/>
      <c r="OK165" s="113"/>
      <c r="OL165" s="113"/>
      <c r="OM165" s="113"/>
      <c r="ON165" s="113"/>
      <c r="OO165" s="113"/>
      <c r="OP165" s="113"/>
      <c r="OQ165" s="113"/>
      <c r="OR165" s="113"/>
      <c r="OS165" s="113"/>
      <c r="OT165" s="113"/>
      <c r="OU165" s="113"/>
      <c r="OV165" s="113"/>
      <c r="OW165" s="113"/>
      <c r="OX165" s="113"/>
      <c r="OY165" s="113"/>
      <c r="OZ165" s="113"/>
      <c r="PA165" s="113"/>
      <c r="PB165" s="113"/>
      <c r="PC165" s="113"/>
      <c r="PD165" s="113"/>
      <c r="PE165" s="113"/>
      <c r="PF165" s="113"/>
      <c r="PG165" s="113"/>
      <c r="PH165" s="113"/>
      <c r="PI165" s="113"/>
      <c r="PJ165" s="113"/>
      <c r="PK165" s="113"/>
      <c r="PL165" s="113"/>
      <c r="PM165" s="113"/>
    </row>
    <row r="166" spans="1:429" s="48" customFormat="1" ht="16.5" customHeight="1">
      <c r="A166" s="113"/>
      <c r="B166" s="105"/>
      <c r="C166" s="71" t="s">
        <v>76</v>
      </c>
      <c r="D166" s="71" t="s">
        <v>104</v>
      </c>
      <c r="E166" s="72" t="s">
        <v>107</v>
      </c>
      <c r="F166" s="73" t="s">
        <v>816</v>
      </c>
      <c r="G166" s="41"/>
      <c r="H166" s="42"/>
      <c r="I166" s="74"/>
      <c r="J166" s="41">
        <v>0.106055211</v>
      </c>
      <c r="K166" s="42">
        <v>7.7299160000000006E-2</v>
      </c>
      <c r="L166" s="74">
        <v>0.14549322000000001</v>
      </c>
      <c r="M166" s="42"/>
      <c r="N166" s="42"/>
      <c r="O166" s="42"/>
      <c r="P166" s="35">
        <v>2023</v>
      </c>
      <c r="Q166" s="36" t="s">
        <v>50</v>
      </c>
      <c r="R166" s="73" t="s">
        <v>36</v>
      </c>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c r="AO166" s="113"/>
      <c r="AP166" s="113"/>
      <c r="AQ166" s="113"/>
      <c r="AR166" s="113"/>
      <c r="AS166" s="113"/>
      <c r="AT166" s="113"/>
      <c r="AU166" s="113"/>
      <c r="AV166" s="113"/>
      <c r="AW166" s="113"/>
      <c r="AX166" s="113"/>
      <c r="AY166" s="113"/>
      <c r="AZ166" s="113"/>
      <c r="BA166" s="113"/>
      <c r="BB166" s="113"/>
      <c r="BC166" s="113"/>
      <c r="BD166" s="113"/>
      <c r="BE166" s="113"/>
      <c r="BF166" s="113"/>
      <c r="BG166" s="113"/>
      <c r="BH166" s="113"/>
      <c r="BI166" s="113"/>
      <c r="BJ166" s="113"/>
      <c r="BK166" s="113"/>
      <c r="BL166" s="113"/>
      <c r="BM166" s="113"/>
      <c r="BN166" s="113"/>
      <c r="BO166" s="113"/>
      <c r="BP166" s="113"/>
      <c r="BQ166" s="113"/>
      <c r="BR166" s="113"/>
      <c r="BS166" s="113"/>
      <c r="BT166" s="113"/>
      <c r="BU166" s="113"/>
      <c r="BV166" s="113"/>
      <c r="BW166" s="113"/>
      <c r="BX166" s="113"/>
      <c r="BY166" s="113"/>
      <c r="BZ166" s="113"/>
      <c r="CA166" s="113"/>
      <c r="CB166" s="113"/>
      <c r="CC166" s="113"/>
      <c r="CD166" s="113"/>
      <c r="CE166" s="113"/>
      <c r="CF166" s="113"/>
      <c r="CG166" s="113"/>
      <c r="CH166" s="113"/>
      <c r="CI166" s="113"/>
      <c r="CJ166" s="113"/>
      <c r="CK166" s="113"/>
      <c r="CL166" s="113"/>
      <c r="CM166" s="113"/>
      <c r="CN166" s="113"/>
      <c r="CO166" s="113"/>
      <c r="CP166" s="113"/>
      <c r="CQ166" s="113"/>
      <c r="CR166" s="113"/>
      <c r="CS166" s="113"/>
      <c r="CT166" s="113"/>
      <c r="CU166" s="113"/>
      <c r="CV166" s="113"/>
      <c r="CW166" s="113"/>
      <c r="CX166" s="113"/>
      <c r="CY166" s="113"/>
      <c r="CZ166" s="113"/>
      <c r="DA166" s="113"/>
      <c r="DB166" s="113"/>
      <c r="DC166" s="113"/>
      <c r="DD166" s="113"/>
      <c r="DE166" s="113"/>
      <c r="DF166" s="113"/>
      <c r="DG166" s="113"/>
      <c r="DH166" s="113"/>
      <c r="DI166" s="113"/>
      <c r="DJ166" s="113"/>
      <c r="DK166" s="113"/>
      <c r="DL166" s="113"/>
      <c r="DM166" s="113"/>
      <c r="DN166" s="113"/>
      <c r="DO166" s="113"/>
      <c r="DP166" s="113"/>
      <c r="DQ166" s="113"/>
      <c r="DR166" s="113"/>
      <c r="DS166" s="113"/>
      <c r="DT166" s="113"/>
      <c r="DU166" s="113"/>
      <c r="DV166" s="113"/>
      <c r="DW166" s="113"/>
      <c r="DX166" s="113"/>
      <c r="DY166" s="113"/>
      <c r="DZ166" s="113"/>
      <c r="EA166" s="113"/>
      <c r="EB166" s="113"/>
      <c r="EC166" s="113"/>
      <c r="ED166" s="113"/>
      <c r="EE166" s="113"/>
      <c r="EF166" s="113"/>
      <c r="EG166" s="113"/>
      <c r="EH166" s="113"/>
      <c r="EI166" s="113"/>
      <c r="EJ166" s="113"/>
      <c r="EK166" s="113"/>
      <c r="EL166" s="113"/>
      <c r="EM166" s="113"/>
      <c r="EN166" s="113"/>
      <c r="EO166" s="113"/>
      <c r="EP166" s="113"/>
      <c r="EQ166" s="113"/>
      <c r="ER166" s="113"/>
      <c r="ES166" s="113"/>
      <c r="ET166" s="113"/>
      <c r="EU166" s="113"/>
      <c r="EV166" s="113"/>
      <c r="EW166" s="113"/>
      <c r="EX166" s="113"/>
      <c r="EY166" s="113"/>
      <c r="EZ166" s="113"/>
      <c r="FA166" s="113"/>
      <c r="FB166" s="113"/>
      <c r="FC166" s="113"/>
      <c r="FD166" s="113"/>
      <c r="FE166" s="113"/>
      <c r="FF166" s="113"/>
      <c r="FG166" s="113"/>
      <c r="FH166" s="113"/>
      <c r="FI166" s="113"/>
      <c r="FJ166" s="113"/>
      <c r="FK166" s="113"/>
      <c r="FL166" s="113"/>
      <c r="FM166" s="113"/>
      <c r="FN166" s="113"/>
      <c r="FO166" s="113"/>
      <c r="FP166" s="113"/>
      <c r="FQ166" s="113"/>
      <c r="FR166" s="113"/>
      <c r="FS166" s="113"/>
      <c r="FT166" s="113"/>
      <c r="FU166" s="113"/>
      <c r="FV166" s="113"/>
      <c r="FW166" s="113"/>
      <c r="FX166" s="113"/>
      <c r="FY166" s="113"/>
      <c r="FZ166" s="113"/>
      <c r="GA166" s="113"/>
      <c r="GB166" s="113"/>
      <c r="GC166" s="113"/>
      <c r="GD166" s="113"/>
      <c r="GE166" s="113"/>
      <c r="GF166" s="113"/>
      <c r="GG166" s="113"/>
      <c r="GH166" s="113"/>
      <c r="GI166" s="113"/>
      <c r="GJ166" s="113"/>
      <c r="GK166" s="113"/>
      <c r="GL166" s="113"/>
      <c r="GM166" s="113"/>
      <c r="GN166" s="113"/>
      <c r="GO166" s="113"/>
      <c r="GP166" s="113"/>
      <c r="GQ166" s="113"/>
      <c r="GR166" s="113"/>
      <c r="GS166" s="113"/>
      <c r="GT166" s="113"/>
      <c r="GU166" s="113"/>
      <c r="GV166" s="113"/>
      <c r="GW166" s="113"/>
      <c r="GX166" s="113"/>
      <c r="GY166" s="113"/>
      <c r="GZ166" s="113"/>
      <c r="HA166" s="113"/>
      <c r="HB166" s="113"/>
      <c r="HC166" s="113"/>
      <c r="HD166" s="113"/>
      <c r="HE166" s="113"/>
      <c r="HF166" s="113"/>
      <c r="HG166" s="113"/>
      <c r="HH166" s="113"/>
      <c r="HI166" s="113"/>
      <c r="HJ166" s="113"/>
      <c r="HK166" s="113"/>
      <c r="HL166" s="113"/>
      <c r="HM166" s="113"/>
      <c r="HN166" s="113"/>
      <c r="HO166" s="113"/>
      <c r="HP166" s="113"/>
      <c r="HQ166" s="113"/>
      <c r="HR166" s="113"/>
      <c r="HS166" s="113"/>
      <c r="HT166" s="113"/>
      <c r="HU166" s="113"/>
      <c r="HV166" s="113"/>
      <c r="HW166" s="113"/>
      <c r="HX166" s="113"/>
      <c r="HY166" s="113"/>
      <c r="HZ166" s="113"/>
      <c r="IA166" s="113"/>
      <c r="IB166" s="113"/>
      <c r="IC166" s="113"/>
      <c r="ID166" s="113"/>
      <c r="IE166" s="113"/>
      <c r="IF166" s="113"/>
      <c r="IG166" s="113"/>
      <c r="IH166" s="113"/>
      <c r="II166" s="113"/>
      <c r="IJ166" s="113"/>
      <c r="IK166" s="113"/>
      <c r="IL166" s="113"/>
      <c r="IM166" s="113"/>
      <c r="IN166" s="113"/>
      <c r="IO166" s="113"/>
      <c r="IP166" s="113"/>
      <c r="IQ166" s="113"/>
      <c r="IR166" s="113"/>
      <c r="IS166" s="113"/>
      <c r="IT166" s="113"/>
      <c r="IU166" s="113"/>
      <c r="IV166" s="113"/>
      <c r="IW166" s="113"/>
      <c r="IX166" s="113"/>
      <c r="IY166" s="113"/>
      <c r="IZ166" s="113"/>
      <c r="JA166" s="113"/>
      <c r="JB166" s="113"/>
      <c r="JC166" s="113"/>
      <c r="JD166" s="113"/>
      <c r="JE166" s="113"/>
      <c r="JF166" s="113"/>
      <c r="JG166" s="113"/>
      <c r="JH166" s="113"/>
      <c r="JI166" s="113"/>
      <c r="JJ166" s="113"/>
      <c r="JK166" s="113"/>
      <c r="JL166" s="113"/>
      <c r="JM166" s="113"/>
      <c r="JN166" s="113"/>
      <c r="JO166" s="113"/>
      <c r="JP166" s="113"/>
      <c r="JQ166" s="113"/>
      <c r="JR166" s="113"/>
      <c r="JS166" s="113"/>
      <c r="JT166" s="113"/>
      <c r="JU166" s="113"/>
      <c r="JV166" s="113"/>
      <c r="JW166" s="113"/>
      <c r="JX166" s="113"/>
      <c r="JY166" s="113"/>
      <c r="JZ166" s="113"/>
      <c r="KA166" s="113"/>
      <c r="KB166" s="113"/>
      <c r="KC166" s="113"/>
      <c r="KD166" s="113"/>
      <c r="KE166" s="113"/>
      <c r="KF166" s="113"/>
      <c r="KG166" s="113"/>
      <c r="KH166" s="113"/>
      <c r="KI166" s="113"/>
      <c r="KJ166" s="113"/>
      <c r="KK166" s="113"/>
      <c r="KL166" s="113"/>
      <c r="KM166" s="113"/>
      <c r="KN166" s="113"/>
      <c r="KO166" s="113"/>
      <c r="KP166" s="113"/>
      <c r="KQ166" s="113"/>
      <c r="KR166" s="113"/>
      <c r="KS166" s="113"/>
      <c r="KT166" s="113"/>
      <c r="KU166" s="113"/>
      <c r="KV166" s="113"/>
      <c r="KW166" s="113"/>
      <c r="KX166" s="113"/>
      <c r="KY166" s="113"/>
      <c r="KZ166" s="113"/>
      <c r="LA166" s="113"/>
      <c r="LB166" s="113"/>
      <c r="LC166" s="113"/>
      <c r="LD166" s="113"/>
      <c r="LE166" s="113"/>
      <c r="LF166" s="113"/>
      <c r="LG166" s="113"/>
      <c r="LH166" s="113"/>
      <c r="LI166" s="113"/>
      <c r="LJ166" s="113"/>
      <c r="LK166" s="113"/>
      <c r="LL166" s="113"/>
      <c r="LM166" s="113"/>
      <c r="LN166" s="113"/>
      <c r="LO166" s="113"/>
      <c r="LP166" s="113"/>
      <c r="LQ166" s="113"/>
      <c r="LR166" s="113"/>
      <c r="LS166" s="113"/>
      <c r="LT166" s="113"/>
      <c r="LU166" s="113"/>
      <c r="LV166" s="113"/>
      <c r="LW166" s="113"/>
      <c r="LX166" s="113"/>
      <c r="LY166" s="113"/>
      <c r="LZ166" s="113"/>
      <c r="MA166" s="113"/>
      <c r="MB166" s="113"/>
      <c r="MC166" s="113"/>
      <c r="MD166" s="113"/>
      <c r="ME166" s="113"/>
      <c r="MF166" s="113"/>
      <c r="MG166" s="113"/>
      <c r="MH166" s="113"/>
      <c r="MI166" s="113"/>
      <c r="MJ166" s="113"/>
      <c r="MK166" s="113"/>
      <c r="ML166" s="113"/>
      <c r="MM166" s="113"/>
      <c r="MN166" s="113"/>
      <c r="MO166" s="113"/>
      <c r="MP166" s="113"/>
      <c r="MQ166" s="113"/>
      <c r="MR166" s="113"/>
      <c r="MS166" s="113"/>
      <c r="MT166" s="113"/>
      <c r="MU166" s="113"/>
      <c r="MV166" s="113"/>
      <c r="MW166" s="113"/>
      <c r="MX166" s="113"/>
      <c r="MY166" s="113"/>
      <c r="MZ166" s="113"/>
      <c r="NA166" s="113"/>
      <c r="NB166" s="113"/>
      <c r="NC166" s="113"/>
      <c r="ND166" s="113"/>
      <c r="NE166" s="113"/>
      <c r="NF166" s="113"/>
      <c r="NG166" s="113"/>
      <c r="NH166" s="113"/>
      <c r="NI166" s="113"/>
      <c r="NJ166" s="113"/>
      <c r="NK166" s="113"/>
      <c r="NL166" s="113"/>
      <c r="NM166" s="113"/>
      <c r="NN166" s="113"/>
      <c r="NO166" s="113"/>
      <c r="NP166" s="113"/>
      <c r="NQ166" s="113"/>
      <c r="NR166" s="113"/>
      <c r="NS166" s="113"/>
      <c r="NT166" s="113"/>
      <c r="NU166" s="113"/>
      <c r="NV166" s="113"/>
      <c r="NW166" s="113"/>
      <c r="NX166" s="113"/>
      <c r="NY166" s="113"/>
      <c r="NZ166" s="113"/>
      <c r="OA166" s="113"/>
      <c r="OB166" s="113"/>
      <c r="OC166" s="113"/>
      <c r="OD166" s="113"/>
      <c r="OE166" s="113"/>
      <c r="OF166" s="113"/>
      <c r="OG166" s="113"/>
      <c r="OH166" s="113"/>
      <c r="OI166" s="113"/>
      <c r="OJ166" s="113"/>
      <c r="OK166" s="113"/>
      <c r="OL166" s="113"/>
      <c r="OM166" s="113"/>
      <c r="ON166" s="113"/>
      <c r="OO166" s="113"/>
      <c r="OP166" s="113"/>
      <c r="OQ166" s="113"/>
      <c r="OR166" s="113"/>
      <c r="OS166" s="113"/>
      <c r="OT166" s="113"/>
      <c r="OU166" s="113"/>
      <c r="OV166" s="113"/>
      <c r="OW166" s="113"/>
      <c r="OX166" s="113"/>
      <c r="OY166" s="113"/>
      <c r="OZ166" s="113"/>
      <c r="PA166" s="113"/>
      <c r="PB166" s="113"/>
      <c r="PC166" s="113"/>
      <c r="PD166" s="113"/>
      <c r="PE166" s="113"/>
      <c r="PF166" s="113"/>
      <c r="PG166" s="113"/>
      <c r="PH166" s="113"/>
      <c r="PI166" s="113"/>
      <c r="PJ166" s="113"/>
      <c r="PK166" s="113"/>
      <c r="PL166" s="113"/>
      <c r="PM166" s="113"/>
    </row>
    <row r="167" spans="1:429" ht="15.6" customHeight="1">
      <c r="B167" s="105"/>
      <c r="C167" s="71"/>
      <c r="D167" s="71"/>
      <c r="E167" s="72" t="s">
        <v>113</v>
      </c>
      <c r="F167" s="73" t="s">
        <v>817</v>
      </c>
      <c r="G167" s="41"/>
      <c r="H167" s="42"/>
      <c r="I167" s="74"/>
      <c r="J167" s="41">
        <v>0.3</v>
      </c>
      <c r="K167" s="42"/>
      <c r="L167" s="74"/>
      <c r="M167" s="42"/>
      <c r="N167" s="42"/>
      <c r="O167" s="42"/>
      <c r="P167" s="35">
        <v>2018</v>
      </c>
      <c r="Q167" s="36" t="s">
        <v>750</v>
      </c>
      <c r="R167" s="73" t="s">
        <v>749</v>
      </c>
    </row>
    <row r="168" spans="1:429">
      <c r="B168" s="105"/>
      <c r="C168" s="71"/>
      <c r="D168" s="71"/>
      <c r="E168" s="72" t="s">
        <v>113</v>
      </c>
      <c r="F168" s="73" t="s">
        <v>817</v>
      </c>
      <c r="G168" s="41"/>
      <c r="H168" s="42"/>
      <c r="I168" s="74"/>
      <c r="J168" s="41">
        <v>0.4</v>
      </c>
      <c r="K168" s="42"/>
      <c r="L168" s="74"/>
      <c r="M168" s="42"/>
      <c r="N168" s="42"/>
      <c r="O168" s="42"/>
      <c r="P168" s="35">
        <v>2017</v>
      </c>
      <c r="Q168" s="36" t="s">
        <v>750</v>
      </c>
      <c r="R168" s="73" t="s">
        <v>749</v>
      </c>
    </row>
    <row r="169" spans="1:429">
      <c r="B169" s="105"/>
      <c r="C169" s="71"/>
      <c r="D169" s="71"/>
      <c r="E169" s="72" t="s">
        <v>113</v>
      </c>
      <c r="F169" s="73" t="s">
        <v>817</v>
      </c>
      <c r="G169" s="41"/>
      <c r="H169" s="42"/>
      <c r="I169" s="74"/>
      <c r="J169" s="41">
        <v>0.3</v>
      </c>
      <c r="K169" s="42"/>
      <c r="L169" s="74"/>
      <c r="M169" s="42"/>
      <c r="N169" s="42"/>
      <c r="O169" s="42"/>
      <c r="P169" s="35">
        <v>2016</v>
      </c>
      <c r="Q169" s="36" t="s">
        <v>750</v>
      </c>
      <c r="R169" s="73" t="s">
        <v>749</v>
      </c>
    </row>
    <row r="170" spans="1:429">
      <c r="B170" s="105"/>
      <c r="C170" s="71"/>
      <c r="D170" s="71"/>
      <c r="E170" s="72" t="s">
        <v>113</v>
      </c>
      <c r="F170" s="73" t="s">
        <v>817</v>
      </c>
      <c r="G170" s="41"/>
      <c r="H170" s="42"/>
      <c r="I170" s="74"/>
      <c r="J170" s="41">
        <v>0.3</v>
      </c>
      <c r="K170" s="42"/>
      <c r="L170" s="74"/>
      <c r="M170" s="42"/>
      <c r="N170" s="42"/>
      <c r="O170" s="42"/>
      <c r="P170" s="35">
        <v>2015</v>
      </c>
      <c r="Q170" s="36" t="s">
        <v>750</v>
      </c>
      <c r="R170" s="73" t="s">
        <v>749</v>
      </c>
    </row>
    <row r="171" spans="1:429">
      <c r="B171" s="105"/>
      <c r="C171" s="71"/>
      <c r="D171" s="71"/>
      <c r="E171" s="72" t="s">
        <v>113</v>
      </c>
      <c r="F171" s="73" t="s">
        <v>817</v>
      </c>
      <c r="G171" s="41"/>
      <c r="H171" s="42"/>
      <c r="I171" s="74"/>
      <c r="J171" s="41">
        <v>0.4</v>
      </c>
      <c r="K171" s="42"/>
      <c r="L171" s="74"/>
      <c r="M171" s="42"/>
      <c r="N171" s="42"/>
      <c r="O171" s="42"/>
      <c r="P171" s="35">
        <v>2014</v>
      </c>
      <c r="Q171" s="36" t="s">
        <v>750</v>
      </c>
      <c r="R171" s="73" t="s">
        <v>749</v>
      </c>
    </row>
    <row r="172" spans="1:429">
      <c r="B172" s="105"/>
      <c r="C172" s="71"/>
      <c r="D172" s="71"/>
      <c r="E172" s="72" t="s">
        <v>113</v>
      </c>
      <c r="F172" s="73" t="s">
        <v>817</v>
      </c>
      <c r="G172" s="41"/>
      <c r="H172" s="42"/>
      <c r="I172" s="74"/>
      <c r="J172" s="41">
        <v>0.4</v>
      </c>
      <c r="K172" s="42"/>
      <c r="L172" s="74"/>
      <c r="M172" s="42"/>
      <c r="N172" s="42"/>
      <c r="O172" s="42"/>
      <c r="P172" s="35">
        <v>2013</v>
      </c>
      <c r="Q172" s="36" t="s">
        <v>750</v>
      </c>
      <c r="R172" s="73" t="s">
        <v>749</v>
      </c>
    </row>
    <row r="173" spans="1:429" ht="15.6" customHeight="1">
      <c r="B173" s="105"/>
      <c r="C173" s="71"/>
      <c r="D173" s="71"/>
      <c r="E173" s="72" t="s">
        <v>113</v>
      </c>
      <c r="F173" s="73" t="s">
        <v>817</v>
      </c>
      <c r="G173" s="41"/>
      <c r="H173" s="42"/>
      <c r="I173" s="74"/>
      <c r="J173" s="41">
        <v>0.5</v>
      </c>
      <c r="K173" s="42"/>
      <c r="L173" s="74"/>
      <c r="M173" s="42"/>
      <c r="N173" s="42"/>
      <c r="O173" s="42"/>
      <c r="P173" s="35">
        <v>2012</v>
      </c>
      <c r="Q173" s="36" t="s">
        <v>750</v>
      </c>
      <c r="R173" s="73" t="s">
        <v>749</v>
      </c>
    </row>
    <row r="174" spans="1:429">
      <c r="B174" s="105"/>
      <c r="C174" s="71"/>
      <c r="D174" s="71" t="s">
        <v>752</v>
      </c>
      <c r="E174" s="72" t="s">
        <v>95</v>
      </c>
      <c r="F174" s="73" t="s">
        <v>818</v>
      </c>
      <c r="G174" s="41">
        <v>0.02</v>
      </c>
      <c r="H174" s="42">
        <v>0.04</v>
      </c>
      <c r="I174" s="74">
        <v>0</v>
      </c>
      <c r="J174" s="41">
        <v>0</v>
      </c>
      <c r="K174" s="42">
        <v>0</v>
      </c>
      <c r="L174" s="74">
        <v>0</v>
      </c>
      <c r="M174" s="42">
        <v>0</v>
      </c>
      <c r="N174" s="42">
        <v>0</v>
      </c>
      <c r="O174" s="42">
        <v>0</v>
      </c>
      <c r="P174" s="35">
        <v>2018</v>
      </c>
      <c r="Q174" s="36" t="s">
        <v>27</v>
      </c>
      <c r="R174" s="73" t="s">
        <v>109</v>
      </c>
    </row>
    <row r="175" spans="1:429">
      <c r="B175" s="105"/>
      <c r="C175" s="71"/>
      <c r="D175" s="71"/>
      <c r="E175" s="72" t="s">
        <v>95</v>
      </c>
      <c r="F175" s="73" t="s">
        <v>819</v>
      </c>
      <c r="G175" s="41">
        <v>2.1000000000000001E-2</v>
      </c>
      <c r="H175" s="42">
        <v>0.02</v>
      </c>
      <c r="I175" s="74">
        <v>2.1999999999999999E-2</v>
      </c>
      <c r="J175" s="41">
        <v>8.9999999999999993E-3</v>
      </c>
      <c r="K175" s="42">
        <v>1.7999999999999999E-2</v>
      </c>
      <c r="L175" s="74">
        <v>0</v>
      </c>
      <c r="M175" s="42">
        <v>0</v>
      </c>
      <c r="N175" s="42">
        <v>0</v>
      </c>
      <c r="O175" s="42">
        <v>0</v>
      </c>
      <c r="P175" s="35">
        <v>2016</v>
      </c>
      <c r="Q175" s="36" t="s">
        <v>27</v>
      </c>
      <c r="R175" s="73" t="s">
        <v>24</v>
      </c>
    </row>
    <row r="176" spans="1:429" s="48" customFormat="1">
      <c r="A176" s="113"/>
      <c r="B176" s="105"/>
      <c r="C176" s="71"/>
      <c r="D176" s="71" t="s">
        <v>117</v>
      </c>
      <c r="E176" s="72" t="s">
        <v>126</v>
      </c>
      <c r="F176" s="73" t="s">
        <v>819</v>
      </c>
      <c r="G176" s="41">
        <v>2.27</v>
      </c>
      <c r="H176" s="42">
        <v>2.92</v>
      </c>
      <c r="I176" s="74">
        <v>1.64</v>
      </c>
      <c r="J176" s="41">
        <v>0.79</v>
      </c>
      <c r="K176" s="42">
        <v>1.1399999999999999</v>
      </c>
      <c r="L176" s="74">
        <v>0.45</v>
      </c>
      <c r="M176" s="42">
        <v>0.3</v>
      </c>
      <c r="N176" s="42">
        <v>0.34</v>
      </c>
      <c r="O176" s="42">
        <v>0.25</v>
      </c>
      <c r="P176" s="35">
        <v>2023</v>
      </c>
      <c r="Q176" s="36" t="s">
        <v>27</v>
      </c>
      <c r="R176" s="73" t="s">
        <v>756</v>
      </c>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c r="AX176" s="113"/>
      <c r="AY176" s="113"/>
      <c r="AZ176" s="113"/>
      <c r="BA176" s="113"/>
      <c r="BB176" s="113"/>
      <c r="BC176" s="113"/>
      <c r="BD176" s="113"/>
      <c r="BE176" s="113"/>
      <c r="BF176" s="113"/>
      <c r="BG176" s="113"/>
      <c r="BH176" s="113"/>
      <c r="BI176" s="113"/>
      <c r="BJ176" s="113"/>
      <c r="BK176" s="113"/>
      <c r="BL176" s="113"/>
      <c r="BM176" s="113"/>
      <c r="BN176" s="113"/>
      <c r="BO176" s="113"/>
      <c r="BP176" s="113"/>
      <c r="BQ176" s="113"/>
      <c r="BR176" s="113"/>
      <c r="BS176" s="113"/>
      <c r="BT176" s="113"/>
      <c r="BU176" s="113"/>
      <c r="BV176" s="113"/>
      <c r="BW176" s="113"/>
      <c r="BX176" s="113"/>
      <c r="BY176" s="113"/>
      <c r="BZ176" s="113"/>
      <c r="CA176" s="113"/>
      <c r="CB176" s="113"/>
      <c r="CC176" s="113"/>
      <c r="CD176" s="113"/>
      <c r="CE176" s="113"/>
      <c r="CF176" s="113"/>
      <c r="CG176" s="113"/>
      <c r="CH176" s="113"/>
      <c r="CI176" s="113"/>
      <c r="CJ176" s="113"/>
      <c r="CK176" s="113"/>
      <c r="CL176" s="113"/>
      <c r="CM176" s="113"/>
      <c r="CN176" s="113"/>
      <c r="CO176" s="113"/>
      <c r="CP176" s="113"/>
      <c r="CQ176" s="113"/>
      <c r="CR176" s="113"/>
      <c r="CS176" s="113"/>
      <c r="CT176" s="113"/>
      <c r="CU176" s="113"/>
      <c r="CV176" s="113"/>
      <c r="CW176" s="113"/>
      <c r="CX176" s="113"/>
      <c r="CY176" s="113"/>
      <c r="CZ176" s="113"/>
      <c r="DA176" s="113"/>
      <c r="DB176" s="113"/>
      <c r="DC176" s="113"/>
      <c r="DD176" s="113"/>
      <c r="DE176" s="113"/>
      <c r="DF176" s="113"/>
      <c r="DG176" s="113"/>
      <c r="DH176" s="113"/>
      <c r="DI176" s="113"/>
      <c r="DJ176" s="113"/>
      <c r="DK176" s="113"/>
      <c r="DL176" s="113"/>
      <c r="DM176" s="113"/>
      <c r="DN176" s="113"/>
      <c r="DO176" s="113"/>
      <c r="DP176" s="113"/>
      <c r="DQ176" s="113"/>
      <c r="DR176" s="113"/>
      <c r="DS176" s="113"/>
      <c r="DT176" s="113"/>
      <c r="DU176" s="113"/>
      <c r="DV176" s="113"/>
      <c r="DW176" s="113"/>
      <c r="DX176" s="113"/>
      <c r="DY176" s="113"/>
      <c r="DZ176" s="113"/>
      <c r="EA176" s="113"/>
      <c r="EB176" s="113"/>
      <c r="EC176" s="113"/>
      <c r="ED176" s="113"/>
      <c r="EE176" s="113"/>
      <c r="EF176" s="113"/>
      <c r="EG176" s="113"/>
      <c r="EH176" s="113"/>
      <c r="EI176" s="113"/>
      <c r="EJ176" s="113"/>
      <c r="EK176" s="113"/>
      <c r="EL176" s="113"/>
      <c r="EM176" s="113"/>
      <c r="EN176" s="113"/>
      <c r="EO176" s="113"/>
      <c r="EP176" s="113"/>
      <c r="EQ176" s="113"/>
      <c r="ER176" s="113"/>
      <c r="ES176" s="113"/>
      <c r="ET176" s="113"/>
      <c r="EU176" s="113"/>
      <c r="EV176" s="113"/>
      <c r="EW176" s="113"/>
      <c r="EX176" s="113"/>
      <c r="EY176" s="113"/>
      <c r="EZ176" s="113"/>
      <c r="FA176" s="113"/>
      <c r="FB176" s="113"/>
      <c r="FC176" s="113"/>
      <c r="FD176" s="113"/>
      <c r="FE176" s="113"/>
      <c r="FF176" s="113"/>
      <c r="FG176" s="113"/>
      <c r="FH176" s="113"/>
      <c r="FI176" s="113"/>
      <c r="FJ176" s="113"/>
      <c r="FK176" s="113"/>
      <c r="FL176" s="113"/>
      <c r="FM176" s="113"/>
      <c r="FN176" s="113"/>
      <c r="FO176" s="113"/>
      <c r="FP176" s="113"/>
      <c r="FQ176" s="113"/>
      <c r="FR176" s="113"/>
      <c r="FS176" s="113"/>
      <c r="FT176" s="113"/>
      <c r="FU176" s="113"/>
      <c r="FV176" s="113"/>
      <c r="FW176" s="113"/>
      <c r="FX176" s="113"/>
      <c r="FY176" s="113"/>
      <c r="FZ176" s="113"/>
      <c r="GA176" s="113"/>
      <c r="GB176" s="113"/>
      <c r="GC176" s="113"/>
      <c r="GD176" s="113"/>
      <c r="GE176" s="113"/>
      <c r="GF176" s="113"/>
      <c r="GG176" s="113"/>
      <c r="GH176" s="113"/>
      <c r="GI176" s="113"/>
      <c r="GJ176" s="113"/>
      <c r="GK176" s="113"/>
      <c r="GL176" s="113"/>
      <c r="GM176" s="113"/>
      <c r="GN176" s="113"/>
      <c r="GO176" s="113"/>
      <c r="GP176" s="113"/>
      <c r="GQ176" s="113"/>
      <c r="GR176" s="113"/>
      <c r="GS176" s="113"/>
      <c r="GT176" s="113"/>
      <c r="GU176" s="113"/>
      <c r="GV176" s="113"/>
      <c r="GW176" s="113"/>
      <c r="GX176" s="113"/>
      <c r="GY176" s="113"/>
      <c r="GZ176" s="113"/>
      <c r="HA176" s="113"/>
      <c r="HB176" s="113"/>
      <c r="HC176" s="113"/>
      <c r="HD176" s="113"/>
      <c r="HE176" s="113"/>
      <c r="HF176" s="113"/>
      <c r="HG176" s="113"/>
      <c r="HH176" s="113"/>
      <c r="HI176" s="113"/>
      <c r="HJ176" s="113"/>
      <c r="HK176" s="113"/>
      <c r="HL176" s="113"/>
      <c r="HM176" s="113"/>
      <c r="HN176" s="113"/>
      <c r="HO176" s="113"/>
      <c r="HP176" s="113"/>
      <c r="HQ176" s="113"/>
      <c r="HR176" s="113"/>
      <c r="HS176" s="113"/>
      <c r="HT176" s="113"/>
      <c r="HU176" s="113"/>
      <c r="HV176" s="113"/>
      <c r="HW176" s="113"/>
      <c r="HX176" s="113"/>
      <c r="HY176" s="113"/>
      <c r="HZ176" s="113"/>
      <c r="IA176" s="113"/>
      <c r="IB176" s="113"/>
      <c r="IC176" s="113"/>
      <c r="ID176" s="113"/>
      <c r="IE176" s="113"/>
      <c r="IF176" s="113"/>
      <c r="IG176" s="113"/>
      <c r="IH176" s="113"/>
      <c r="II176" s="113"/>
      <c r="IJ176" s="113"/>
      <c r="IK176" s="113"/>
      <c r="IL176" s="113"/>
      <c r="IM176" s="113"/>
      <c r="IN176" s="113"/>
      <c r="IO176" s="113"/>
      <c r="IP176" s="113"/>
      <c r="IQ176" s="113"/>
      <c r="IR176" s="113"/>
      <c r="IS176" s="113"/>
      <c r="IT176" s="113"/>
      <c r="IU176" s="113"/>
      <c r="IV176" s="113"/>
      <c r="IW176" s="113"/>
      <c r="IX176" s="113"/>
      <c r="IY176" s="113"/>
      <c r="IZ176" s="113"/>
      <c r="JA176" s="113"/>
      <c r="JB176" s="113"/>
      <c r="JC176" s="113"/>
      <c r="JD176" s="113"/>
      <c r="JE176" s="113"/>
      <c r="JF176" s="113"/>
      <c r="JG176" s="113"/>
      <c r="JH176" s="113"/>
      <c r="JI176" s="113"/>
      <c r="JJ176" s="113"/>
      <c r="JK176" s="113"/>
      <c r="JL176" s="113"/>
      <c r="JM176" s="113"/>
      <c r="JN176" s="113"/>
      <c r="JO176" s="113"/>
      <c r="JP176" s="113"/>
      <c r="JQ176" s="113"/>
      <c r="JR176" s="113"/>
      <c r="JS176" s="113"/>
      <c r="JT176" s="113"/>
      <c r="JU176" s="113"/>
      <c r="JV176" s="113"/>
      <c r="JW176" s="113"/>
      <c r="JX176" s="113"/>
      <c r="JY176" s="113"/>
      <c r="JZ176" s="113"/>
      <c r="KA176" s="113"/>
      <c r="KB176" s="113"/>
      <c r="KC176" s="113"/>
      <c r="KD176" s="113"/>
      <c r="KE176" s="113"/>
      <c r="KF176" s="113"/>
      <c r="KG176" s="113"/>
      <c r="KH176" s="113"/>
      <c r="KI176" s="113"/>
      <c r="KJ176" s="113"/>
      <c r="KK176" s="113"/>
      <c r="KL176" s="113"/>
      <c r="KM176" s="113"/>
      <c r="KN176" s="113"/>
      <c r="KO176" s="113"/>
      <c r="KP176" s="113"/>
      <c r="KQ176" s="113"/>
      <c r="KR176" s="113"/>
      <c r="KS176" s="113"/>
      <c r="KT176" s="113"/>
      <c r="KU176" s="113"/>
      <c r="KV176" s="113"/>
      <c r="KW176" s="113"/>
      <c r="KX176" s="113"/>
      <c r="KY176" s="113"/>
      <c r="KZ176" s="113"/>
      <c r="LA176" s="113"/>
      <c r="LB176" s="113"/>
      <c r="LC176" s="113"/>
      <c r="LD176" s="113"/>
      <c r="LE176" s="113"/>
      <c r="LF176" s="113"/>
      <c r="LG176" s="113"/>
      <c r="LH176" s="113"/>
      <c r="LI176" s="113"/>
      <c r="LJ176" s="113"/>
      <c r="LK176" s="113"/>
      <c r="LL176" s="113"/>
      <c r="LM176" s="113"/>
      <c r="LN176" s="113"/>
      <c r="LO176" s="113"/>
      <c r="LP176" s="113"/>
      <c r="LQ176" s="113"/>
      <c r="LR176" s="113"/>
      <c r="LS176" s="113"/>
      <c r="LT176" s="113"/>
      <c r="LU176" s="113"/>
      <c r="LV176" s="113"/>
      <c r="LW176" s="113"/>
      <c r="LX176" s="113"/>
      <c r="LY176" s="113"/>
      <c r="LZ176" s="113"/>
      <c r="MA176" s="113"/>
      <c r="MB176" s="113"/>
      <c r="MC176" s="113"/>
      <c r="MD176" s="113"/>
      <c r="ME176" s="113"/>
      <c r="MF176" s="113"/>
      <c r="MG176" s="113"/>
      <c r="MH176" s="113"/>
      <c r="MI176" s="113"/>
      <c r="MJ176" s="113"/>
      <c r="MK176" s="113"/>
      <c r="ML176" s="113"/>
      <c r="MM176" s="113"/>
      <c r="MN176" s="113"/>
      <c r="MO176" s="113"/>
      <c r="MP176" s="113"/>
      <c r="MQ176" s="113"/>
      <c r="MR176" s="113"/>
      <c r="MS176" s="113"/>
      <c r="MT176" s="113"/>
      <c r="MU176" s="113"/>
      <c r="MV176" s="113"/>
      <c r="MW176" s="113"/>
      <c r="MX176" s="113"/>
      <c r="MY176" s="113"/>
      <c r="MZ176" s="113"/>
      <c r="NA176" s="113"/>
      <c r="NB176" s="113"/>
      <c r="NC176" s="113"/>
      <c r="ND176" s="113"/>
      <c r="NE176" s="113"/>
      <c r="NF176" s="113"/>
      <c r="NG176" s="113"/>
      <c r="NH176" s="113"/>
      <c r="NI176" s="113"/>
      <c r="NJ176" s="113"/>
      <c r="NK176" s="113"/>
      <c r="NL176" s="113"/>
      <c r="NM176" s="113"/>
      <c r="NN176" s="113"/>
      <c r="NO176" s="113"/>
      <c r="NP176" s="113"/>
      <c r="NQ176" s="113"/>
      <c r="NR176" s="113"/>
      <c r="NS176" s="113"/>
      <c r="NT176" s="113"/>
      <c r="NU176" s="113"/>
      <c r="NV176" s="113"/>
      <c r="NW176" s="113"/>
      <c r="NX176" s="113"/>
      <c r="NY176" s="113"/>
      <c r="NZ176" s="113"/>
      <c r="OA176" s="113"/>
      <c r="OB176" s="113"/>
      <c r="OC176" s="113"/>
      <c r="OD176" s="113"/>
      <c r="OE176" s="113"/>
      <c r="OF176" s="113"/>
      <c r="OG176" s="113"/>
      <c r="OH176" s="113"/>
      <c r="OI176" s="113"/>
      <c r="OJ176" s="113"/>
      <c r="OK176" s="113"/>
      <c r="OL176" s="113"/>
      <c r="OM176" s="113"/>
      <c r="ON176" s="113"/>
      <c r="OO176" s="113"/>
      <c r="OP176" s="113"/>
      <c r="OQ176" s="113"/>
      <c r="OR176" s="113"/>
      <c r="OS176" s="113"/>
      <c r="OT176" s="113"/>
      <c r="OU176" s="113"/>
      <c r="OV176" s="113"/>
      <c r="OW176" s="113"/>
      <c r="OX176" s="113"/>
      <c r="OY176" s="113"/>
      <c r="OZ176" s="113"/>
      <c r="PA176" s="113"/>
      <c r="PB176" s="113"/>
      <c r="PC176" s="113"/>
      <c r="PD176" s="113"/>
      <c r="PE176" s="113"/>
      <c r="PF176" s="113"/>
      <c r="PG176" s="113"/>
      <c r="PH176" s="113"/>
      <c r="PI176" s="113"/>
      <c r="PJ176" s="113"/>
      <c r="PK176" s="113"/>
      <c r="PL176" s="113"/>
      <c r="PM176" s="113"/>
    </row>
    <row r="177" spans="1:429" s="48" customFormat="1">
      <c r="A177" s="113"/>
      <c r="B177" s="105"/>
      <c r="C177" s="71"/>
      <c r="D177" s="71"/>
      <c r="E177" s="72" t="s">
        <v>126</v>
      </c>
      <c r="F177" s="73" t="s">
        <v>820</v>
      </c>
      <c r="G177" s="41">
        <v>0.78</v>
      </c>
      <c r="H177" s="42">
        <v>1.22</v>
      </c>
      <c r="I177" s="74">
        <v>0.35</v>
      </c>
      <c r="J177" s="41">
        <v>0.44</v>
      </c>
      <c r="K177" s="42">
        <v>0.68</v>
      </c>
      <c r="L177" s="74">
        <v>0.2</v>
      </c>
      <c r="M177" s="42">
        <v>0.15</v>
      </c>
      <c r="N177" s="42">
        <v>0.2</v>
      </c>
      <c r="O177" s="42">
        <v>0.1</v>
      </c>
      <c r="P177" s="35">
        <v>2023</v>
      </c>
      <c r="Q177" s="36" t="s">
        <v>27</v>
      </c>
      <c r="R177" s="73" t="s">
        <v>756</v>
      </c>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c r="AO177" s="113"/>
      <c r="AP177" s="113"/>
      <c r="AQ177" s="113"/>
      <c r="AR177" s="113"/>
      <c r="AS177" s="113"/>
      <c r="AT177" s="113"/>
      <c r="AU177" s="113"/>
      <c r="AV177" s="113"/>
      <c r="AW177" s="113"/>
      <c r="AX177" s="113"/>
      <c r="AY177" s="113"/>
      <c r="AZ177" s="113"/>
      <c r="BA177" s="113"/>
      <c r="BB177" s="113"/>
      <c r="BC177" s="113"/>
      <c r="BD177" s="113"/>
      <c r="BE177" s="113"/>
      <c r="BF177" s="113"/>
      <c r="BG177" s="113"/>
      <c r="BH177" s="113"/>
      <c r="BI177" s="113"/>
      <c r="BJ177" s="113"/>
      <c r="BK177" s="113"/>
      <c r="BL177" s="113"/>
      <c r="BM177" s="113"/>
      <c r="BN177" s="113"/>
      <c r="BO177" s="113"/>
      <c r="BP177" s="113"/>
      <c r="BQ177" s="113"/>
      <c r="BR177" s="113"/>
      <c r="BS177" s="113"/>
      <c r="BT177" s="113"/>
      <c r="BU177" s="113"/>
      <c r="BV177" s="113"/>
      <c r="BW177" s="113"/>
      <c r="BX177" s="113"/>
      <c r="BY177" s="113"/>
      <c r="BZ177" s="113"/>
      <c r="CA177" s="113"/>
      <c r="CB177" s="113"/>
      <c r="CC177" s="113"/>
      <c r="CD177" s="113"/>
      <c r="CE177" s="113"/>
      <c r="CF177" s="113"/>
      <c r="CG177" s="113"/>
      <c r="CH177" s="113"/>
      <c r="CI177" s="113"/>
      <c r="CJ177" s="113"/>
      <c r="CK177" s="113"/>
      <c r="CL177" s="113"/>
      <c r="CM177" s="113"/>
      <c r="CN177" s="113"/>
      <c r="CO177" s="113"/>
      <c r="CP177" s="113"/>
      <c r="CQ177" s="113"/>
      <c r="CR177" s="113"/>
      <c r="CS177" s="113"/>
      <c r="CT177" s="113"/>
      <c r="CU177" s="113"/>
      <c r="CV177" s="113"/>
      <c r="CW177" s="113"/>
      <c r="CX177" s="113"/>
      <c r="CY177" s="113"/>
      <c r="CZ177" s="113"/>
      <c r="DA177" s="113"/>
      <c r="DB177" s="113"/>
      <c r="DC177" s="113"/>
      <c r="DD177" s="113"/>
      <c r="DE177" s="113"/>
      <c r="DF177" s="113"/>
      <c r="DG177" s="113"/>
      <c r="DH177" s="113"/>
      <c r="DI177" s="113"/>
      <c r="DJ177" s="113"/>
      <c r="DK177" s="113"/>
      <c r="DL177" s="113"/>
      <c r="DM177" s="113"/>
      <c r="DN177" s="113"/>
      <c r="DO177" s="113"/>
      <c r="DP177" s="113"/>
      <c r="DQ177" s="113"/>
      <c r="DR177" s="113"/>
      <c r="DS177" s="113"/>
      <c r="DT177" s="113"/>
      <c r="DU177" s="113"/>
      <c r="DV177" s="113"/>
      <c r="DW177" s="113"/>
      <c r="DX177" s="113"/>
      <c r="DY177" s="113"/>
      <c r="DZ177" s="113"/>
      <c r="EA177" s="113"/>
      <c r="EB177" s="113"/>
      <c r="EC177" s="113"/>
      <c r="ED177" s="113"/>
      <c r="EE177" s="113"/>
      <c r="EF177" s="113"/>
      <c r="EG177" s="113"/>
      <c r="EH177" s="113"/>
      <c r="EI177" s="113"/>
      <c r="EJ177" s="113"/>
      <c r="EK177" s="113"/>
      <c r="EL177" s="113"/>
      <c r="EM177" s="113"/>
      <c r="EN177" s="113"/>
      <c r="EO177" s="113"/>
      <c r="EP177" s="113"/>
      <c r="EQ177" s="113"/>
      <c r="ER177" s="113"/>
      <c r="ES177" s="113"/>
      <c r="ET177" s="113"/>
      <c r="EU177" s="113"/>
      <c r="EV177" s="113"/>
      <c r="EW177" s="113"/>
      <c r="EX177" s="113"/>
      <c r="EY177" s="113"/>
      <c r="EZ177" s="113"/>
      <c r="FA177" s="113"/>
      <c r="FB177" s="113"/>
      <c r="FC177" s="113"/>
      <c r="FD177" s="113"/>
      <c r="FE177" s="113"/>
      <c r="FF177" s="113"/>
      <c r="FG177" s="113"/>
      <c r="FH177" s="113"/>
      <c r="FI177" s="113"/>
      <c r="FJ177" s="113"/>
      <c r="FK177" s="113"/>
      <c r="FL177" s="113"/>
      <c r="FM177" s="113"/>
      <c r="FN177" s="113"/>
      <c r="FO177" s="113"/>
      <c r="FP177" s="113"/>
      <c r="FQ177" s="113"/>
      <c r="FR177" s="113"/>
      <c r="FS177" s="113"/>
      <c r="FT177" s="113"/>
      <c r="FU177" s="113"/>
      <c r="FV177" s="113"/>
      <c r="FW177" s="113"/>
      <c r="FX177" s="113"/>
      <c r="FY177" s="113"/>
      <c r="FZ177" s="113"/>
      <c r="GA177" s="113"/>
      <c r="GB177" s="113"/>
      <c r="GC177" s="113"/>
      <c r="GD177" s="113"/>
      <c r="GE177" s="113"/>
      <c r="GF177" s="113"/>
      <c r="GG177" s="113"/>
      <c r="GH177" s="113"/>
      <c r="GI177" s="113"/>
      <c r="GJ177" s="113"/>
      <c r="GK177" s="113"/>
      <c r="GL177" s="113"/>
      <c r="GM177" s="113"/>
      <c r="GN177" s="113"/>
      <c r="GO177" s="113"/>
      <c r="GP177" s="113"/>
      <c r="GQ177" s="113"/>
      <c r="GR177" s="113"/>
      <c r="GS177" s="113"/>
      <c r="GT177" s="113"/>
      <c r="GU177" s="113"/>
      <c r="GV177" s="113"/>
      <c r="GW177" s="113"/>
      <c r="GX177" s="113"/>
      <c r="GY177" s="113"/>
      <c r="GZ177" s="113"/>
      <c r="HA177" s="113"/>
      <c r="HB177" s="113"/>
      <c r="HC177" s="113"/>
      <c r="HD177" s="113"/>
      <c r="HE177" s="113"/>
      <c r="HF177" s="113"/>
      <c r="HG177" s="113"/>
      <c r="HH177" s="113"/>
      <c r="HI177" s="113"/>
      <c r="HJ177" s="113"/>
      <c r="HK177" s="113"/>
      <c r="HL177" s="113"/>
      <c r="HM177" s="113"/>
      <c r="HN177" s="113"/>
      <c r="HO177" s="113"/>
      <c r="HP177" s="113"/>
      <c r="HQ177" s="113"/>
      <c r="HR177" s="113"/>
      <c r="HS177" s="113"/>
      <c r="HT177" s="113"/>
      <c r="HU177" s="113"/>
      <c r="HV177" s="113"/>
      <c r="HW177" s="113"/>
      <c r="HX177" s="113"/>
      <c r="HY177" s="113"/>
      <c r="HZ177" s="113"/>
      <c r="IA177" s="113"/>
      <c r="IB177" s="113"/>
      <c r="IC177" s="113"/>
      <c r="ID177" s="113"/>
      <c r="IE177" s="113"/>
      <c r="IF177" s="113"/>
      <c r="IG177" s="113"/>
      <c r="IH177" s="113"/>
      <c r="II177" s="113"/>
      <c r="IJ177" s="113"/>
      <c r="IK177" s="113"/>
      <c r="IL177" s="113"/>
      <c r="IM177" s="113"/>
      <c r="IN177" s="113"/>
      <c r="IO177" s="113"/>
      <c r="IP177" s="113"/>
      <c r="IQ177" s="113"/>
      <c r="IR177" s="113"/>
      <c r="IS177" s="113"/>
      <c r="IT177" s="113"/>
      <c r="IU177" s="113"/>
      <c r="IV177" s="113"/>
      <c r="IW177" s="113"/>
      <c r="IX177" s="113"/>
      <c r="IY177" s="113"/>
      <c r="IZ177" s="113"/>
      <c r="JA177" s="113"/>
      <c r="JB177" s="113"/>
      <c r="JC177" s="113"/>
      <c r="JD177" s="113"/>
      <c r="JE177" s="113"/>
      <c r="JF177" s="113"/>
      <c r="JG177" s="113"/>
      <c r="JH177" s="113"/>
      <c r="JI177" s="113"/>
      <c r="JJ177" s="113"/>
      <c r="JK177" s="113"/>
      <c r="JL177" s="113"/>
      <c r="JM177" s="113"/>
      <c r="JN177" s="113"/>
      <c r="JO177" s="113"/>
      <c r="JP177" s="113"/>
      <c r="JQ177" s="113"/>
      <c r="JR177" s="113"/>
      <c r="JS177" s="113"/>
      <c r="JT177" s="113"/>
      <c r="JU177" s="113"/>
      <c r="JV177" s="113"/>
      <c r="JW177" s="113"/>
      <c r="JX177" s="113"/>
      <c r="JY177" s="113"/>
      <c r="JZ177" s="113"/>
      <c r="KA177" s="113"/>
      <c r="KB177" s="113"/>
      <c r="KC177" s="113"/>
      <c r="KD177" s="113"/>
      <c r="KE177" s="113"/>
      <c r="KF177" s="113"/>
      <c r="KG177" s="113"/>
      <c r="KH177" s="113"/>
      <c r="KI177" s="113"/>
      <c r="KJ177" s="113"/>
      <c r="KK177" s="113"/>
      <c r="KL177" s="113"/>
      <c r="KM177" s="113"/>
      <c r="KN177" s="113"/>
      <c r="KO177" s="113"/>
      <c r="KP177" s="113"/>
      <c r="KQ177" s="113"/>
      <c r="KR177" s="113"/>
      <c r="KS177" s="113"/>
      <c r="KT177" s="113"/>
      <c r="KU177" s="113"/>
      <c r="KV177" s="113"/>
      <c r="KW177" s="113"/>
      <c r="KX177" s="113"/>
      <c r="KY177" s="113"/>
      <c r="KZ177" s="113"/>
      <c r="LA177" s="113"/>
      <c r="LB177" s="113"/>
      <c r="LC177" s="113"/>
      <c r="LD177" s="113"/>
      <c r="LE177" s="113"/>
      <c r="LF177" s="113"/>
      <c r="LG177" s="113"/>
      <c r="LH177" s="113"/>
      <c r="LI177" s="113"/>
      <c r="LJ177" s="113"/>
      <c r="LK177" s="113"/>
      <c r="LL177" s="113"/>
      <c r="LM177" s="113"/>
      <c r="LN177" s="113"/>
      <c r="LO177" s="113"/>
      <c r="LP177" s="113"/>
      <c r="LQ177" s="113"/>
      <c r="LR177" s="113"/>
      <c r="LS177" s="113"/>
      <c r="LT177" s="113"/>
      <c r="LU177" s="113"/>
      <c r="LV177" s="113"/>
      <c r="LW177" s="113"/>
      <c r="LX177" s="113"/>
      <c r="LY177" s="113"/>
      <c r="LZ177" s="113"/>
      <c r="MA177" s="113"/>
      <c r="MB177" s="113"/>
      <c r="MC177" s="113"/>
      <c r="MD177" s="113"/>
      <c r="ME177" s="113"/>
      <c r="MF177" s="113"/>
      <c r="MG177" s="113"/>
      <c r="MH177" s="113"/>
      <c r="MI177" s="113"/>
      <c r="MJ177" s="113"/>
      <c r="MK177" s="113"/>
      <c r="ML177" s="113"/>
      <c r="MM177" s="113"/>
      <c r="MN177" s="113"/>
      <c r="MO177" s="113"/>
      <c r="MP177" s="113"/>
      <c r="MQ177" s="113"/>
      <c r="MR177" s="113"/>
      <c r="MS177" s="113"/>
      <c r="MT177" s="113"/>
      <c r="MU177" s="113"/>
      <c r="MV177" s="113"/>
      <c r="MW177" s="113"/>
      <c r="MX177" s="113"/>
      <c r="MY177" s="113"/>
      <c r="MZ177" s="113"/>
      <c r="NA177" s="113"/>
      <c r="NB177" s="113"/>
      <c r="NC177" s="113"/>
      <c r="ND177" s="113"/>
      <c r="NE177" s="113"/>
      <c r="NF177" s="113"/>
      <c r="NG177" s="113"/>
      <c r="NH177" s="113"/>
      <c r="NI177" s="113"/>
      <c r="NJ177" s="113"/>
      <c r="NK177" s="113"/>
      <c r="NL177" s="113"/>
      <c r="NM177" s="113"/>
      <c r="NN177" s="113"/>
      <c r="NO177" s="113"/>
      <c r="NP177" s="113"/>
      <c r="NQ177" s="113"/>
      <c r="NR177" s="113"/>
      <c r="NS177" s="113"/>
      <c r="NT177" s="113"/>
      <c r="NU177" s="113"/>
      <c r="NV177" s="113"/>
      <c r="NW177" s="113"/>
      <c r="NX177" s="113"/>
      <c r="NY177" s="113"/>
      <c r="NZ177" s="113"/>
      <c r="OA177" s="113"/>
      <c r="OB177" s="113"/>
      <c r="OC177" s="113"/>
      <c r="OD177" s="113"/>
      <c r="OE177" s="113"/>
      <c r="OF177" s="113"/>
      <c r="OG177" s="113"/>
      <c r="OH177" s="113"/>
      <c r="OI177" s="113"/>
      <c r="OJ177" s="113"/>
      <c r="OK177" s="113"/>
      <c r="OL177" s="113"/>
      <c r="OM177" s="113"/>
      <c r="ON177" s="113"/>
      <c r="OO177" s="113"/>
      <c r="OP177" s="113"/>
      <c r="OQ177" s="113"/>
      <c r="OR177" s="113"/>
      <c r="OS177" s="113"/>
      <c r="OT177" s="113"/>
      <c r="OU177" s="113"/>
      <c r="OV177" s="113"/>
      <c r="OW177" s="113"/>
      <c r="OX177" s="113"/>
      <c r="OY177" s="113"/>
      <c r="OZ177" s="113"/>
      <c r="PA177" s="113"/>
      <c r="PB177" s="113"/>
      <c r="PC177" s="113"/>
      <c r="PD177" s="113"/>
      <c r="PE177" s="113"/>
      <c r="PF177" s="113"/>
      <c r="PG177" s="113"/>
      <c r="PH177" s="113"/>
      <c r="PI177" s="113"/>
      <c r="PJ177" s="113"/>
      <c r="PK177" s="113"/>
      <c r="PL177" s="113"/>
      <c r="PM177" s="113"/>
    </row>
    <row r="178" spans="1:429" s="48" customFormat="1">
      <c r="A178" s="113"/>
      <c r="B178" s="105"/>
      <c r="C178" s="71" t="s">
        <v>139</v>
      </c>
      <c r="D178" s="71" t="s">
        <v>140</v>
      </c>
      <c r="E178" s="72" t="s">
        <v>143</v>
      </c>
      <c r="F178" s="73" t="s">
        <v>819</v>
      </c>
      <c r="G178" s="41">
        <v>0.1</v>
      </c>
      <c r="H178" s="42">
        <v>0.2</v>
      </c>
      <c r="I178" s="74">
        <v>0.1</v>
      </c>
      <c r="J178" s="41">
        <v>0.1</v>
      </c>
      <c r="K178" s="42">
        <v>0.1</v>
      </c>
      <c r="L178" s="74">
        <v>0</v>
      </c>
      <c r="M178" s="42">
        <v>0</v>
      </c>
      <c r="N178" s="42">
        <v>0</v>
      </c>
      <c r="O178" s="42">
        <v>0</v>
      </c>
      <c r="P178" s="35">
        <v>2022</v>
      </c>
      <c r="Q178" s="36" t="s">
        <v>144</v>
      </c>
      <c r="R178" s="73" t="s">
        <v>36</v>
      </c>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c r="AO178" s="113"/>
      <c r="AP178" s="113"/>
      <c r="AQ178" s="113"/>
      <c r="AR178" s="113"/>
      <c r="AS178" s="113"/>
      <c r="AT178" s="113"/>
      <c r="AU178" s="113"/>
      <c r="AV178" s="113"/>
      <c r="AW178" s="113"/>
      <c r="AX178" s="113"/>
      <c r="AY178" s="113"/>
      <c r="AZ178" s="113"/>
      <c r="BA178" s="113"/>
      <c r="BB178" s="113"/>
      <c r="BC178" s="113"/>
      <c r="BD178" s="113"/>
      <c r="BE178" s="113"/>
      <c r="BF178" s="113"/>
      <c r="BG178" s="113"/>
      <c r="BH178" s="113"/>
      <c r="BI178" s="113"/>
      <c r="BJ178" s="113"/>
      <c r="BK178" s="113"/>
      <c r="BL178" s="113"/>
      <c r="BM178" s="113"/>
      <c r="BN178" s="113"/>
      <c r="BO178" s="113"/>
      <c r="BP178" s="113"/>
      <c r="BQ178" s="113"/>
      <c r="BR178" s="113"/>
      <c r="BS178" s="113"/>
      <c r="BT178" s="113"/>
      <c r="BU178" s="113"/>
      <c r="BV178" s="113"/>
      <c r="BW178" s="113"/>
      <c r="BX178" s="113"/>
      <c r="BY178" s="113"/>
      <c r="BZ178" s="113"/>
      <c r="CA178" s="113"/>
      <c r="CB178" s="113"/>
      <c r="CC178" s="113"/>
      <c r="CD178" s="113"/>
      <c r="CE178" s="113"/>
      <c r="CF178" s="113"/>
      <c r="CG178" s="113"/>
      <c r="CH178" s="113"/>
      <c r="CI178" s="113"/>
      <c r="CJ178" s="113"/>
      <c r="CK178" s="113"/>
      <c r="CL178" s="113"/>
      <c r="CM178" s="113"/>
      <c r="CN178" s="113"/>
      <c r="CO178" s="113"/>
      <c r="CP178" s="113"/>
      <c r="CQ178" s="113"/>
      <c r="CR178" s="113"/>
      <c r="CS178" s="113"/>
      <c r="CT178" s="113"/>
      <c r="CU178" s="113"/>
      <c r="CV178" s="113"/>
      <c r="CW178" s="113"/>
      <c r="CX178" s="113"/>
      <c r="CY178" s="113"/>
      <c r="CZ178" s="113"/>
      <c r="DA178" s="113"/>
      <c r="DB178" s="113"/>
      <c r="DC178" s="113"/>
      <c r="DD178" s="113"/>
      <c r="DE178" s="113"/>
      <c r="DF178" s="113"/>
      <c r="DG178" s="113"/>
      <c r="DH178" s="113"/>
      <c r="DI178" s="113"/>
      <c r="DJ178" s="113"/>
      <c r="DK178" s="113"/>
      <c r="DL178" s="113"/>
      <c r="DM178" s="113"/>
      <c r="DN178" s="113"/>
      <c r="DO178" s="113"/>
      <c r="DP178" s="113"/>
      <c r="DQ178" s="113"/>
      <c r="DR178" s="113"/>
      <c r="DS178" s="113"/>
      <c r="DT178" s="113"/>
      <c r="DU178" s="113"/>
      <c r="DV178" s="113"/>
      <c r="DW178" s="113"/>
      <c r="DX178" s="113"/>
      <c r="DY178" s="113"/>
      <c r="DZ178" s="113"/>
      <c r="EA178" s="113"/>
      <c r="EB178" s="113"/>
      <c r="EC178" s="113"/>
      <c r="ED178" s="113"/>
      <c r="EE178" s="113"/>
      <c r="EF178" s="113"/>
      <c r="EG178" s="113"/>
      <c r="EH178" s="113"/>
      <c r="EI178" s="113"/>
      <c r="EJ178" s="113"/>
      <c r="EK178" s="113"/>
      <c r="EL178" s="113"/>
      <c r="EM178" s="113"/>
      <c r="EN178" s="113"/>
      <c r="EO178" s="113"/>
      <c r="EP178" s="113"/>
      <c r="EQ178" s="113"/>
      <c r="ER178" s="113"/>
      <c r="ES178" s="113"/>
      <c r="ET178" s="113"/>
      <c r="EU178" s="113"/>
      <c r="EV178" s="113"/>
      <c r="EW178" s="113"/>
      <c r="EX178" s="113"/>
      <c r="EY178" s="113"/>
      <c r="EZ178" s="113"/>
      <c r="FA178" s="113"/>
      <c r="FB178" s="113"/>
      <c r="FC178" s="113"/>
      <c r="FD178" s="113"/>
      <c r="FE178" s="113"/>
      <c r="FF178" s="113"/>
      <c r="FG178" s="113"/>
      <c r="FH178" s="113"/>
      <c r="FI178" s="113"/>
      <c r="FJ178" s="113"/>
      <c r="FK178" s="113"/>
      <c r="FL178" s="113"/>
      <c r="FM178" s="113"/>
      <c r="FN178" s="113"/>
      <c r="FO178" s="113"/>
      <c r="FP178" s="113"/>
      <c r="FQ178" s="113"/>
      <c r="FR178" s="113"/>
      <c r="FS178" s="113"/>
      <c r="FT178" s="113"/>
      <c r="FU178" s="113"/>
      <c r="FV178" s="113"/>
      <c r="FW178" s="113"/>
      <c r="FX178" s="113"/>
      <c r="FY178" s="113"/>
      <c r="FZ178" s="113"/>
      <c r="GA178" s="113"/>
      <c r="GB178" s="113"/>
      <c r="GC178" s="113"/>
      <c r="GD178" s="113"/>
      <c r="GE178" s="113"/>
      <c r="GF178" s="113"/>
      <c r="GG178" s="113"/>
      <c r="GH178" s="113"/>
      <c r="GI178" s="113"/>
      <c r="GJ178" s="113"/>
      <c r="GK178" s="113"/>
      <c r="GL178" s="113"/>
      <c r="GM178" s="113"/>
      <c r="GN178" s="113"/>
      <c r="GO178" s="113"/>
      <c r="GP178" s="113"/>
      <c r="GQ178" s="113"/>
      <c r="GR178" s="113"/>
      <c r="GS178" s="113"/>
      <c r="GT178" s="113"/>
      <c r="GU178" s="113"/>
      <c r="GV178" s="113"/>
      <c r="GW178" s="113"/>
      <c r="GX178" s="113"/>
      <c r="GY178" s="113"/>
      <c r="GZ178" s="113"/>
      <c r="HA178" s="113"/>
      <c r="HB178" s="113"/>
      <c r="HC178" s="113"/>
      <c r="HD178" s="113"/>
      <c r="HE178" s="113"/>
      <c r="HF178" s="113"/>
      <c r="HG178" s="113"/>
      <c r="HH178" s="113"/>
      <c r="HI178" s="113"/>
      <c r="HJ178" s="113"/>
      <c r="HK178" s="113"/>
      <c r="HL178" s="113"/>
      <c r="HM178" s="113"/>
      <c r="HN178" s="113"/>
      <c r="HO178" s="113"/>
      <c r="HP178" s="113"/>
      <c r="HQ178" s="113"/>
      <c r="HR178" s="113"/>
      <c r="HS178" s="113"/>
      <c r="HT178" s="113"/>
      <c r="HU178" s="113"/>
      <c r="HV178" s="113"/>
      <c r="HW178" s="113"/>
      <c r="HX178" s="113"/>
      <c r="HY178" s="113"/>
      <c r="HZ178" s="113"/>
      <c r="IA178" s="113"/>
      <c r="IB178" s="113"/>
      <c r="IC178" s="113"/>
      <c r="ID178" s="113"/>
      <c r="IE178" s="113"/>
      <c r="IF178" s="113"/>
      <c r="IG178" s="113"/>
      <c r="IH178" s="113"/>
      <c r="II178" s="113"/>
      <c r="IJ178" s="113"/>
      <c r="IK178" s="113"/>
      <c r="IL178" s="113"/>
      <c r="IM178" s="113"/>
      <c r="IN178" s="113"/>
      <c r="IO178" s="113"/>
      <c r="IP178" s="113"/>
      <c r="IQ178" s="113"/>
      <c r="IR178" s="113"/>
      <c r="IS178" s="113"/>
      <c r="IT178" s="113"/>
      <c r="IU178" s="113"/>
      <c r="IV178" s="113"/>
      <c r="IW178" s="113"/>
      <c r="IX178" s="113"/>
      <c r="IY178" s="113"/>
      <c r="IZ178" s="113"/>
      <c r="JA178" s="113"/>
      <c r="JB178" s="113"/>
      <c r="JC178" s="113"/>
      <c r="JD178" s="113"/>
      <c r="JE178" s="113"/>
      <c r="JF178" s="113"/>
      <c r="JG178" s="113"/>
      <c r="JH178" s="113"/>
      <c r="JI178" s="113"/>
      <c r="JJ178" s="113"/>
      <c r="JK178" s="113"/>
      <c r="JL178" s="113"/>
      <c r="JM178" s="113"/>
      <c r="JN178" s="113"/>
      <c r="JO178" s="113"/>
      <c r="JP178" s="113"/>
      <c r="JQ178" s="113"/>
      <c r="JR178" s="113"/>
      <c r="JS178" s="113"/>
      <c r="JT178" s="113"/>
      <c r="JU178" s="113"/>
      <c r="JV178" s="113"/>
      <c r="JW178" s="113"/>
      <c r="JX178" s="113"/>
      <c r="JY178" s="113"/>
      <c r="JZ178" s="113"/>
      <c r="KA178" s="113"/>
      <c r="KB178" s="113"/>
      <c r="KC178" s="113"/>
      <c r="KD178" s="113"/>
      <c r="KE178" s="113"/>
      <c r="KF178" s="113"/>
      <c r="KG178" s="113"/>
      <c r="KH178" s="113"/>
      <c r="KI178" s="113"/>
      <c r="KJ178" s="113"/>
      <c r="KK178" s="113"/>
      <c r="KL178" s="113"/>
      <c r="KM178" s="113"/>
      <c r="KN178" s="113"/>
      <c r="KO178" s="113"/>
      <c r="KP178" s="113"/>
      <c r="KQ178" s="113"/>
      <c r="KR178" s="113"/>
      <c r="KS178" s="113"/>
      <c r="KT178" s="113"/>
      <c r="KU178" s="113"/>
      <c r="KV178" s="113"/>
      <c r="KW178" s="113"/>
      <c r="KX178" s="113"/>
      <c r="KY178" s="113"/>
      <c r="KZ178" s="113"/>
      <c r="LA178" s="113"/>
      <c r="LB178" s="113"/>
      <c r="LC178" s="113"/>
      <c r="LD178" s="113"/>
      <c r="LE178" s="113"/>
      <c r="LF178" s="113"/>
      <c r="LG178" s="113"/>
      <c r="LH178" s="113"/>
      <c r="LI178" s="113"/>
      <c r="LJ178" s="113"/>
      <c r="LK178" s="113"/>
      <c r="LL178" s="113"/>
      <c r="LM178" s="113"/>
      <c r="LN178" s="113"/>
      <c r="LO178" s="113"/>
      <c r="LP178" s="113"/>
      <c r="LQ178" s="113"/>
      <c r="LR178" s="113"/>
      <c r="LS178" s="113"/>
      <c r="LT178" s="113"/>
      <c r="LU178" s="113"/>
      <c r="LV178" s="113"/>
      <c r="LW178" s="113"/>
      <c r="LX178" s="113"/>
      <c r="LY178" s="113"/>
      <c r="LZ178" s="113"/>
      <c r="MA178" s="113"/>
      <c r="MB178" s="113"/>
      <c r="MC178" s="113"/>
      <c r="MD178" s="113"/>
      <c r="ME178" s="113"/>
      <c r="MF178" s="113"/>
      <c r="MG178" s="113"/>
      <c r="MH178" s="113"/>
      <c r="MI178" s="113"/>
      <c r="MJ178" s="113"/>
      <c r="MK178" s="113"/>
      <c r="ML178" s="113"/>
      <c r="MM178" s="113"/>
      <c r="MN178" s="113"/>
      <c r="MO178" s="113"/>
      <c r="MP178" s="113"/>
      <c r="MQ178" s="113"/>
      <c r="MR178" s="113"/>
      <c r="MS178" s="113"/>
      <c r="MT178" s="113"/>
      <c r="MU178" s="113"/>
      <c r="MV178" s="113"/>
      <c r="MW178" s="113"/>
      <c r="MX178" s="113"/>
      <c r="MY178" s="113"/>
      <c r="MZ178" s="113"/>
      <c r="NA178" s="113"/>
      <c r="NB178" s="113"/>
      <c r="NC178" s="113"/>
      <c r="ND178" s="113"/>
      <c r="NE178" s="113"/>
      <c r="NF178" s="113"/>
      <c r="NG178" s="113"/>
      <c r="NH178" s="113"/>
      <c r="NI178" s="113"/>
      <c r="NJ178" s="113"/>
      <c r="NK178" s="113"/>
      <c r="NL178" s="113"/>
      <c r="NM178" s="113"/>
      <c r="NN178" s="113"/>
      <c r="NO178" s="113"/>
      <c r="NP178" s="113"/>
      <c r="NQ178" s="113"/>
      <c r="NR178" s="113"/>
      <c r="NS178" s="113"/>
      <c r="NT178" s="113"/>
      <c r="NU178" s="113"/>
      <c r="NV178" s="113"/>
      <c r="NW178" s="113"/>
      <c r="NX178" s="113"/>
      <c r="NY178" s="113"/>
      <c r="NZ178" s="113"/>
      <c r="OA178" s="113"/>
      <c r="OB178" s="113"/>
      <c r="OC178" s="113"/>
      <c r="OD178" s="113"/>
      <c r="OE178" s="113"/>
      <c r="OF178" s="113"/>
      <c r="OG178" s="113"/>
      <c r="OH178" s="113"/>
      <c r="OI178" s="113"/>
      <c r="OJ178" s="113"/>
      <c r="OK178" s="113"/>
      <c r="OL178" s="113"/>
      <c r="OM178" s="113"/>
      <c r="ON178" s="113"/>
      <c r="OO178" s="113"/>
      <c r="OP178" s="113"/>
      <c r="OQ178" s="113"/>
      <c r="OR178" s="113"/>
      <c r="OS178" s="113"/>
      <c r="OT178" s="113"/>
      <c r="OU178" s="113"/>
      <c r="OV178" s="113"/>
      <c r="OW178" s="113"/>
      <c r="OX178" s="113"/>
      <c r="OY178" s="113"/>
      <c r="OZ178" s="113"/>
      <c r="PA178" s="113"/>
      <c r="PB178" s="113"/>
      <c r="PC178" s="113"/>
      <c r="PD178" s="113"/>
      <c r="PE178" s="113"/>
      <c r="PF178" s="113"/>
      <c r="PG178" s="113"/>
      <c r="PH178" s="113"/>
      <c r="PI178" s="113"/>
      <c r="PJ178" s="113"/>
      <c r="PK178" s="113"/>
      <c r="PL178" s="113"/>
      <c r="PM178" s="113"/>
    </row>
    <row r="179" spans="1:429">
      <c r="B179" s="105"/>
      <c r="C179" s="71"/>
      <c r="D179" s="71"/>
      <c r="E179" s="72" t="s">
        <v>149</v>
      </c>
      <c r="F179" s="73" t="s">
        <v>819</v>
      </c>
      <c r="G179" s="41">
        <v>3.9</v>
      </c>
      <c r="H179" s="42">
        <v>5.3</v>
      </c>
      <c r="I179" s="74">
        <v>2.6</v>
      </c>
      <c r="J179" s="41">
        <v>1.1000000000000001</v>
      </c>
      <c r="K179" s="42">
        <v>1.9</v>
      </c>
      <c r="L179" s="74">
        <v>0.5</v>
      </c>
      <c r="M179" s="42"/>
      <c r="N179" s="42"/>
      <c r="O179" s="42"/>
      <c r="P179" s="35">
        <v>2021</v>
      </c>
      <c r="Q179" s="36" t="s">
        <v>27</v>
      </c>
      <c r="R179" s="73" t="s">
        <v>24</v>
      </c>
    </row>
    <row r="180" spans="1:429" s="48" customFormat="1">
      <c r="A180" s="113"/>
      <c r="B180" s="105"/>
      <c r="C180" s="71"/>
      <c r="D180" s="71" t="s">
        <v>152</v>
      </c>
      <c r="E180" s="72" t="s">
        <v>170</v>
      </c>
      <c r="F180" s="73" t="s">
        <v>819</v>
      </c>
      <c r="G180" s="41">
        <v>2.06</v>
      </c>
      <c r="H180" s="42"/>
      <c r="I180" s="74"/>
      <c r="J180" s="41"/>
      <c r="K180" s="42"/>
      <c r="L180" s="74"/>
      <c r="M180" s="42">
        <v>1.1100000000000001</v>
      </c>
      <c r="N180" s="42"/>
      <c r="O180" s="42"/>
      <c r="P180" s="35" t="s">
        <v>171</v>
      </c>
      <c r="Q180" s="36" t="s">
        <v>27</v>
      </c>
      <c r="R180" s="73" t="s">
        <v>821</v>
      </c>
      <c r="S180" s="116"/>
      <c r="T180" s="116"/>
      <c r="U180" s="113"/>
      <c r="V180" s="113"/>
      <c r="W180" s="113"/>
      <c r="X180" s="113"/>
      <c r="Y180" s="113"/>
      <c r="Z180" s="113"/>
      <c r="AA180" s="113"/>
      <c r="AB180" s="113"/>
      <c r="AC180" s="113"/>
      <c r="AD180" s="113"/>
      <c r="AE180" s="113"/>
      <c r="AF180" s="113"/>
      <c r="AG180" s="113"/>
      <c r="AH180" s="113"/>
      <c r="AI180" s="113"/>
      <c r="AJ180" s="113"/>
      <c r="AK180" s="113"/>
      <c r="AL180" s="113"/>
      <c r="AM180" s="113"/>
      <c r="AN180" s="113"/>
      <c r="AO180" s="113"/>
      <c r="AP180" s="113"/>
      <c r="AQ180" s="113"/>
      <c r="AR180" s="113"/>
      <c r="AS180" s="113"/>
      <c r="AT180" s="113"/>
      <c r="AU180" s="113"/>
      <c r="AV180" s="113"/>
      <c r="AW180" s="113"/>
      <c r="AX180" s="113"/>
      <c r="AY180" s="113"/>
      <c r="AZ180" s="113"/>
      <c r="BA180" s="113"/>
      <c r="BB180" s="113"/>
      <c r="BC180" s="113"/>
      <c r="BD180" s="113"/>
      <c r="BE180" s="113"/>
      <c r="BF180" s="113"/>
      <c r="BG180" s="113"/>
      <c r="BH180" s="113"/>
      <c r="BI180" s="113"/>
      <c r="BJ180" s="113"/>
      <c r="BK180" s="113"/>
      <c r="BL180" s="113"/>
      <c r="BM180" s="113"/>
      <c r="BN180" s="113"/>
      <c r="BO180" s="113"/>
      <c r="BP180" s="113"/>
      <c r="BQ180" s="113"/>
      <c r="BR180" s="113"/>
      <c r="BS180" s="113"/>
      <c r="BT180" s="113"/>
      <c r="BU180" s="113"/>
      <c r="BV180" s="113"/>
      <c r="BW180" s="113"/>
      <c r="BX180" s="113"/>
      <c r="BY180" s="113"/>
      <c r="BZ180" s="113"/>
      <c r="CA180" s="113"/>
      <c r="CB180" s="113"/>
      <c r="CC180" s="113"/>
      <c r="CD180" s="113"/>
      <c r="CE180" s="113"/>
      <c r="CF180" s="113"/>
      <c r="CG180" s="113"/>
      <c r="CH180" s="113"/>
      <c r="CI180" s="113"/>
      <c r="CJ180" s="113"/>
      <c r="CK180" s="113"/>
      <c r="CL180" s="113"/>
      <c r="CM180" s="113"/>
      <c r="CN180" s="113"/>
      <c r="CO180" s="113"/>
      <c r="CP180" s="113"/>
      <c r="CQ180" s="113"/>
      <c r="CR180" s="113"/>
      <c r="CS180" s="113"/>
      <c r="CT180" s="113"/>
      <c r="CU180" s="113"/>
      <c r="CV180" s="113"/>
      <c r="CW180" s="113"/>
      <c r="CX180" s="113"/>
      <c r="CY180" s="113"/>
      <c r="CZ180" s="113"/>
      <c r="DA180" s="113"/>
      <c r="DB180" s="113"/>
      <c r="DC180" s="113"/>
      <c r="DD180" s="113"/>
      <c r="DE180" s="113"/>
      <c r="DF180" s="113"/>
      <c r="DG180" s="113"/>
      <c r="DH180" s="113"/>
      <c r="DI180" s="113"/>
      <c r="DJ180" s="113"/>
      <c r="DK180" s="113"/>
      <c r="DL180" s="113"/>
      <c r="DM180" s="113"/>
      <c r="DN180" s="113"/>
      <c r="DO180" s="113"/>
      <c r="DP180" s="113"/>
      <c r="DQ180" s="113"/>
      <c r="DR180" s="113"/>
      <c r="DS180" s="113"/>
      <c r="DT180" s="113"/>
      <c r="DU180" s="113"/>
      <c r="DV180" s="113"/>
      <c r="DW180" s="113"/>
      <c r="DX180" s="113"/>
      <c r="DY180" s="113"/>
      <c r="DZ180" s="113"/>
      <c r="EA180" s="113"/>
      <c r="EB180" s="113"/>
      <c r="EC180" s="113"/>
      <c r="ED180" s="113"/>
      <c r="EE180" s="113"/>
      <c r="EF180" s="113"/>
      <c r="EG180" s="113"/>
      <c r="EH180" s="113"/>
      <c r="EI180" s="113"/>
      <c r="EJ180" s="113"/>
      <c r="EK180" s="113"/>
      <c r="EL180" s="113"/>
      <c r="EM180" s="113"/>
      <c r="EN180" s="113"/>
      <c r="EO180" s="113"/>
      <c r="EP180" s="113"/>
      <c r="EQ180" s="113"/>
      <c r="ER180" s="113"/>
      <c r="ES180" s="113"/>
      <c r="ET180" s="113"/>
      <c r="EU180" s="113"/>
      <c r="EV180" s="113"/>
      <c r="EW180" s="113"/>
      <c r="EX180" s="113"/>
      <c r="EY180" s="113"/>
      <c r="EZ180" s="113"/>
      <c r="FA180" s="113"/>
      <c r="FB180" s="113"/>
      <c r="FC180" s="113"/>
      <c r="FD180" s="113"/>
      <c r="FE180" s="113"/>
      <c r="FF180" s="113"/>
      <c r="FG180" s="113"/>
      <c r="FH180" s="113"/>
      <c r="FI180" s="113"/>
      <c r="FJ180" s="113"/>
      <c r="FK180" s="113"/>
      <c r="FL180" s="113"/>
      <c r="FM180" s="113"/>
      <c r="FN180" s="113"/>
      <c r="FO180" s="113"/>
      <c r="FP180" s="113"/>
      <c r="FQ180" s="113"/>
      <c r="FR180" s="113"/>
      <c r="FS180" s="113"/>
      <c r="FT180" s="113"/>
      <c r="FU180" s="113"/>
      <c r="FV180" s="113"/>
      <c r="FW180" s="113"/>
      <c r="FX180" s="113"/>
      <c r="FY180" s="113"/>
      <c r="FZ180" s="113"/>
      <c r="GA180" s="113"/>
      <c r="GB180" s="113"/>
      <c r="GC180" s="113"/>
      <c r="GD180" s="113"/>
      <c r="GE180" s="113"/>
      <c r="GF180" s="113"/>
      <c r="GG180" s="113"/>
      <c r="GH180" s="113"/>
      <c r="GI180" s="113"/>
      <c r="GJ180" s="113"/>
      <c r="GK180" s="113"/>
      <c r="GL180" s="113"/>
      <c r="GM180" s="113"/>
      <c r="GN180" s="113"/>
      <c r="GO180" s="113"/>
      <c r="GP180" s="113"/>
      <c r="GQ180" s="113"/>
      <c r="GR180" s="113"/>
      <c r="GS180" s="113"/>
      <c r="GT180" s="113"/>
      <c r="GU180" s="113"/>
      <c r="GV180" s="113"/>
      <c r="GW180" s="113"/>
      <c r="GX180" s="113"/>
      <c r="GY180" s="113"/>
      <c r="GZ180" s="113"/>
      <c r="HA180" s="113"/>
      <c r="HB180" s="113"/>
      <c r="HC180" s="113"/>
      <c r="HD180" s="113"/>
      <c r="HE180" s="113"/>
      <c r="HF180" s="113"/>
      <c r="HG180" s="113"/>
      <c r="HH180" s="113"/>
      <c r="HI180" s="113"/>
      <c r="HJ180" s="113"/>
      <c r="HK180" s="113"/>
      <c r="HL180" s="113"/>
      <c r="HM180" s="113"/>
      <c r="HN180" s="113"/>
      <c r="HO180" s="113"/>
      <c r="HP180" s="113"/>
      <c r="HQ180" s="113"/>
      <c r="HR180" s="113"/>
      <c r="HS180" s="113"/>
      <c r="HT180" s="113"/>
      <c r="HU180" s="113"/>
      <c r="HV180" s="113"/>
      <c r="HW180" s="113"/>
      <c r="HX180" s="113"/>
      <c r="HY180" s="113"/>
      <c r="HZ180" s="113"/>
      <c r="IA180" s="113"/>
      <c r="IB180" s="113"/>
      <c r="IC180" s="113"/>
      <c r="ID180" s="113"/>
      <c r="IE180" s="113"/>
      <c r="IF180" s="113"/>
      <c r="IG180" s="113"/>
      <c r="IH180" s="113"/>
      <c r="II180" s="113"/>
      <c r="IJ180" s="113"/>
      <c r="IK180" s="113"/>
      <c r="IL180" s="113"/>
      <c r="IM180" s="113"/>
      <c r="IN180" s="113"/>
      <c r="IO180" s="113"/>
      <c r="IP180" s="113"/>
      <c r="IQ180" s="113"/>
      <c r="IR180" s="113"/>
      <c r="IS180" s="113"/>
      <c r="IT180" s="113"/>
      <c r="IU180" s="113"/>
      <c r="IV180" s="113"/>
      <c r="IW180" s="113"/>
      <c r="IX180" s="113"/>
      <c r="IY180" s="113"/>
      <c r="IZ180" s="113"/>
      <c r="JA180" s="113"/>
      <c r="JB180" s="113"/>
      <c r="JC180" s="113"/>
      <c r="JD180" s="113"/>
      <c r="JE180" s="113"/>
      <c r="JF180" s="113"/>
      <c r="JG180" s="113"/>
      <c r="JH180" s="113"/>
      <c r="JI180" s="113"/>
      <c r="JJ180" s="113"/>
      <c r="JK180" s="113"/>
      <c r="JL180" s="113"/>
      <c r="JM180" s="113"/>
      <c r="JN180" s="113"/>
      <c r="JO180" s="113"/>
      <c r="JP180" s="113"/>
      <c r="JQ180" s="113"/>
      <c r="JR180" s="113"/>
      <c r="JS180" s="113"/>
      <c r="JT180" s="113"/>
      <c r="JU180" s="113"/>
      <c r="JV180" s="113"/>
      <c r="JW180" s="113"/>
      <c r="JX180" s="113"/>
      <c r="JY180" s="113"/>
      <c r="JZ180" s="113"/>
      <c r="KA180" s="113"/>
      <c r="KB180" s="113"/>
      <c r="KC180" s="113"/>
      <c r="KD180" s="113"/>
      <c r="KE180" s="113"/>
      <c r="KF180" s="113"/>
      <c r="KG180" s="113"/>
      <c r="KH180" s="113"/>
      <c r="KI180" s="113"/>
      <c r="KJ180" s="113"/>
      <c r="KK180" s="113"/>
      <c r="KL180" s="113"/>
      <c r="KM180" s="113"/>
      <c r="KN180" s="113"/>
      <c r="KO180" s="113"/>
      <c r="KP180" s="113"/>
      <c r="KQ180" s="113"/>
      <c r="KR180" s="113"/>
      <c r="KS180" s="113"/>
      <c r="KT180" s="113"/>
      <c r="KU180" s="113"/>
      <c r="KV180" s="113"/>
      <c r="KW180" s="113"/>
      <c r="KX180" s="113"/>
      <c r="KY180" s="113"/>
      <c r="KZ180" s="113"/>
      <c r="LA180" s="113"/>
      <c r="LB180" s="113"/>
      <c r="LC180" s="113"/>
      <c r="LD180" s="113"/>
      <c r="LE180" s="113"/>
      <c r="LF180" s="113"/>
      <c r="LG180" s="113"/>
      <c r="LH180" s="113"/>
      <c r="LI180" s="113"/>
      <c r="LJ180" s="113"/>
      <c r="LK180" s="113"/>
      <c r="LL180" s="113"/>
      <c r="LM180" s="113"/>
      <c r="LN180" s="113"/>
      <c r="LO180" s="113"/>
      <c r="LP180" s="113"/>
      <c r="LQ180" s="113"/>
      <c r="LR180" s="113"/>
      <c r="LS180" s="113"/>
      <c r="LT180" s="113"/>
      <c r="LU180" s="113"/>
      <c r="LV180" s="113"/>
      <c r="LW180" s="113"/>
      <c r="LX180" s="113"/>
      <c r="LY180" s="113"/>
      <c r="LZ180" s="113"/>
      <c r="MA180" s="113"/>
      <c r="MB180" s="113"/>
      <c r="MC180" s="113"/>
      <c r="MD180" s="113"/>
      <c r="ME180" s="113"/>
      <c r="MF180" s="113"/>
      <c r="MG180" s="113"/>
      <c r="MH180" s="113"/>
      <c r="MI180" s="113"/>
      <c r="MJ180" s="113"/>
      <c r="MK180" s="113"/>
      <c r="ML180" s="113"/>
      <c r="MM180" s="113"/>
      <c r="MN180" s="113"/>
      <c r="MO180" s="113"/>
      <c r="MP180" s="113"/>
      <c r="MQ180" s="113"/>
      <c r="MR180" s="113"/>
      <c r="MS180" s="113"/>
      <c r="MT180" s="113"/>
      <c r="MU180" s="113"/>
      <c r="MV180" s="113"/>
      <c r="MW180" s="113"/>
      <c r="MX180" s="113"/>
      <c r="MY180" s="113"/>
      <c r="MZ180" s="113"/>
      <c r="NA180" s="113"/>
      <c r="NB180" s="113"/>
      <c r="NC180" s="113"/>
      <c r="ND180" s="113"/>
      <c r="NE180" s="113"/>
      <c r="NF180" s="113"/>
      <c r="NG180" s="113"/>
      <c r="NH180" s="113"/>
      <c r="NI180" s="113"/>
      <c r="NJ180" s="113"/>
      <c r="NK180" s="113"/>
      <c r="NL180" s="113"/>
      <c r="NM180" s="113"/>
      <c r="NN180" s="113"/>
      <c r="NO180" s="113"/>
      <c r="NP180" s="113"/>
      <c r="NQ180" s="113"/>
      <c r="NR180" s="113"/>
      <c r="NS180" s="113"/>
      <c r="NT180" s="113"/>
      <c r="NU180" s="113"/>
      <c r="NV180" s="113"/>
      <c r="NW180" s="113"/>
      <c r="NX180" s="113"/>
      <c r="NY180" s="113"/>
      <c r="NZ180" s="113"/>
      <c r="OA180" s="113"/>
      <c r="OB180" s="113"/>
      <c r="OC180" s="113"/>
      <c r="OD180" s="113"/>
      <c r="OE180" s="113"/>
      <c r="OF180" s="113"/>
      <c r="OG180" s="113"/>
      <c r="OH180" s="113"/>
      <c r="OI180" s="113"/>
      <c r="OJ180" s="113"/>
      <c r="OK180" s="113"/>
      <c r="OL180" s="113"/>
      <c r="OM180" s="113"/>
      <c r="ON180" s="113"/>
      <c r="OO180" s="113"/>
      <c r="OP180" s="113"/>
      <c r="OQ180" s="113"/>
      <c r="OR180" s="113"/>
      <c r="OS180" s="113"/>
      <c r="OT180" s="113"/>
      <c r="OU180" s="113"/>
      <c r="OV180" s="113"/>
      <c r="OW180" s="113"/>
      <c r="OX180" s="113"/>
      <c r="OY180" s="113"/>
      <c r="OZ180" s="113"/>
      <c r="PA180" s="113"/>
      <c r="PB180" s="113"/>
      <c r="PC180" s="113"/>
      <c r="PD180" s="113"/>
      <c r="PE180" s="113"/>
      <c r="PF180" s="113"/>
      <c r="PG180" s="113"/>
      <c r="PH180" s="113"/>
      <c r="PI180" s="113"/>
      <c r="PJ180" s="113"/>
      <c r="PK180" s="113"/>
      <c r="PL180" s="113"/>
      <c r="PM180" s="113"/>
    </row>
    <row r="181" spans="1:429" s="48" customFormat="1">
      <c r="A181" s="113"/>
      <c r="B181" s="105"/>
      <c r="C181" s="71"/>
      <c r="D181" s="71"/>
      <c r="E181" s="72" t="s">
        <v>166</v>
      </c>
      <c r="F181" s="73" t="s">
        <v>819</v>
      </c>
      <c r="G181" s="41">
        <v>0.3</v>
      </c>
      <c r="H181" s="42">
        <v>0.4</v>
      </c>
      <c r="I181" s="74">
        <v>0.3</v>
      </c>
      <c r="J181" s="41">
        <v>0.14000000000000001</v>
      </c>
      <c r="K181" s="42">
        <v>0.13</v>
      </c>
      <c r="L181" s="74">
        <v>0.15</v>
      </c>
      <c r="M181" s="42"/>
      <c r="N181" s="42"/>
      <c r="O181" s="42"/>
      <c r="P181" s="35">
        <v>2023</v>
      </c>
      <c r="Q181" s="36" t="s">
        <v>27</v>
      </c>
      <c r="R181" s="73" t="s">
        <v>822</v>
      </c>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c r="AO181" s="113"/>
      <c r="AP181" s="113"/>
      <c r="AQ181" s="113"/>
      <c r="AR181" s="113"/>
      <c r="AS181" s="113"/>
      <c r="AT181" s="113"/>
      <c r="AU181" s="113"/>
      <c r="AV181" s="113"/>
      <c r="AW181" s="113"/>
      <c r="AX181" s="113"/>
      <c r="AY181" s="113"/>
      <c r="AZ181" s="113"/>
      <c r="BA181" s="113"/>
      <c r="BB181" s="113"/>
      <c r="BC181" s="113"/>
      <c r="BD181" s="113"/>
      <c r="BE181" s="113"/>
      <c r="BF181" s="113"/>
      <c r="BG181" s="113"/>
      <c r="BH181" s="113"/>
      <c r="BI181" s="113"/>
      <c r="BJ181" s="113"/>
      <c r="BK181" s="113"/>
      <c r="BL181" s="113"/>
      <c r="BM181" s="113"/>
      <c r="BN181" s="113"/>
      <c r="BO181" s="113"/>
      <c r="BP181" s="113"/>
      <c r="BQ181" s="113"/>
      <c r="BR181" s="113"/>
      <c r="BS181" s="113"/>
      <c r="BT181" s="113"/>
      <c r="BU181" s="113"/>
      <c r="BV181" s="113"/>
      <c r="BW181" s="113"/>
      <c r="BX181" s="113"/>
      <c r="BY181" s="113"/>
      <c r="BZ181" s="113"/>
      <c r="CA181" s="113"/>
      <c r="CB181" s="113"/>
      <c r="CC181" s="113"/>
      <c r="CD181" s="113"/>
      <c r="CE181" s="113"/>
      <c r="CF181" s="113"/>
      <c r="CG181" s="113"/>
      <c r="CH181" s="113"/>
      <c r="CI181" s="113"/>
      <c r="CJ181" s="113"/>
      <c r="CK181" s="113"/>
      <c r="CL181" s="113"/>
      <c r="CM181" s="113"/>
      <c r="CN181" s="113"/>
      <c r="CO181" s="113"/>
      <c r="CP181" s="113"/>
      <c r="CQ181" s="113"/>
      <c r="CR181" s="113"/>
      <c r="CS181" s="113"/>
      <c r="CT181" s="113"/>
      <c r="CU181" s="113"/>
      <c r="CV181" s="113"/>
      <c r="CW181" s="113"/>
      <c r="CX181" s="113"/>
      <c r="CY181" s="113"/>
      <c r="CZ181" s="113"/>
      <c r="DA181" s="113"/>
      <c r="DB181" s="113"/>
      <c r="DC181" s="113"/>
      <c r="DD181" s="113"/>
      <c r="DE181" s="113"/>
      <c r="DF181" s="113"/>
      <c r="DG181" s="113"/>
      <c r="DH181" s="113"/>
      <c r="DI181" s="113"/>
      <c r="DJ181" s="113"/>
      <c r="DK181" s="113"/>
      <c r="DL181" s="113"/>
      <c r="DM181" s="113"/>
      <c r="DN181" s="113"/>
      <c r="DO181" s="113"/>
      <c r="DP181" s="113"/>
      <c r="DQ181" s="113"/>
      <c r="DR181" s="113"/>
      <c r="DS181" s="113"/>
      <c r="DT181" s="113"/>
      <c r="DU181" s="113"/>
      <c r="DV181" s="113"/>
      <c r="DW181" s="113"/>
      <c r="DX181" s="113"/>
      <c r="DY181" s="113"/>
      <c r="DZ181" s="113"/>
      <c r="EA181" s="113"/>
      <c r="EB181" s="113"/>
      <c r="EC181" s="113"/>
      <c r="ED181" s="113"/>
      <c r="EE181" s="113"/>
      <c r="EF181" s="113"/>
      <c r="EG181" s="113"/>
      <c r="EH181" s="113"/>
      <c r="EI181" s="113"/>
      <c r="EJ181" s="113"/>
      <c r="EK181" s="113"/>
      <c r="EL181" s="113"/>
      <c r="EM181" s="113"/>
      <c r="EN181" s="113"/>
      <c r="EO181" s="113"/>
      <c r="EP181" s="113"/>
      <c r="EQ181" s="113"/>
      <c r="ER181" s="113"/>
      <c r="ES181" s="113"/>
      <c r="ET181" s="113"/>
      <c r="EU181" s="113"/>
      <c r="EV181" s="113"/>
      <c r="EW181" s="113"/>
      <c r="EX181" s="113"/>
      <c r="EY181" s="113"/>
      <c r="EZ181" s="113"/>
      <c r="FA181" s="113"/>
      <c r="FB181" s="113"/>
      <c r="FC181" s="113"/>
      <c r="FD181" s="113"/>
      <c r="FE181" s="113"/>
      <c r="FF181" s="113"/>
      <c r="FG181" s="113"/>
      <c r="FH181" s="113"/>
      <c r="FI181" s="113"/>
      <c r="FJ181" s="113"/>
      <c r="FK181" s="113"/>
      <c r="FL181" s="113"/>
      <c r="FM181" s="113"/>
      <c r="FN181" s="113"/>
      <c r="FO181" s="113"/>
      <c r="FP181" s="113"/>
      <c r="FQ181" s="113"/>
      <c r="FR181" s="113"/>
      <c r="FS181" s="113"/>
      <c r="FT181" s="113"/>
      <c r="FU181" s="113"/>
      <c r="FV181" s="113"/>
      <c r="FW181" s="113"/>
      <c r="FX181" s="113"/>
      <c r="FY181" s="113"/>
      <c r="FZ181" s="113"/>
      <c r="GA181" s="113"/>
      <c r="GB181" s="113"/>
      <c r="GC181" s="113"/>
      <c r="GD181" s="113"/>
      <c r="GE181" s="113"/>
      <c r="GF181" s="113"/>
      <c r="GG181" s="113"/>
      <c r="GH181" s="113"/>
      <c r="GI181" s="113"/>
      <c r="GJ181" s="113"/>
      <c r="GK181" s="113"/>
      <c r="GL181" s="113"/>
      <c r="GM181" s="113"/>
      <c r="GN181" s="113"/>
      <c r="GO181" s="113"/>
      <c r="GP181" s="113"/>
      <c r="GQ181" s="113"/>
      <c r="GR181" s="113"/>
      <c r="GS181" s="113"/>
      <c r="GT181" s="113"/>
      <c r="GU181" s="113"/>
      <c r="GV181" s="113"/>
      <c r="GW181" s="113"/>
      <c r="GX181" s="113"/>
      <c r="GY181" s="113"/>
      <c r="GZ181" s="113"/>
      <c r="HA181" s="113"/>
      <c r="HB181" s="113"/>
      <c r="HC181" s="113"/>
      <c r="HD181" s="113"/>
      <c r="HE181" s="113"/>
      <c r="HF181" s="113"/>
      <c r="HG181" s="113"/>
      <c r="HH181" s="113"/>
      <c r="HI181" s="113"/>
      <c r="HJ181" s="113"/>
      <c r="HK181" s="113"/>
      <c r="HL181" s="113"/>
      <c r="HM181" s="113"/>
      <c r="HN181" s="113"/>
      <c r="HO181" s="113"/>
      <c r="HP181" s="113"/>
      <c r="HQ181" s="113"/>
      <c r="HR181" s="113"/>
      <c r="HS181" s="113"/>
      <c r="HT181" s="113"/>
      <c r="HU181" s="113"/>
      <c r="HV181" s="113"/>
      <c r="HW181" s="113"/>
      <c r="HX181" s="113"/>
      <c r="HY181" s="113"/>
      <c r="HZ181" s="113"/>
      <c r="IA181" s="113"/>
      <c r="IB181" s="113"/>
      <c r="IC181" s="113"/>
      <c r="ID181" s="113"/>
      <c r="IE181" s="113"/>
      <c r="IF181" s="113"/>
      <c r="IG181" s="113"/>
      <c r="IH181" s="113"/>
      <c r="II181" s="113"/>
      <c r="IJ181" s="113"/>
      <c r="IK181" s="113"/>
      <c r="IL181" s="113"/>
      <c r="IM181" s="113"/>
      <c r="IN181" s="113"/>
      <c r="IO181" s="113"/>
      <c r="IP181" s="113"/>
      <c r="IQ181" s="113"/>
      <c r="IR181" s="113"/>
      <c r="IS181" s="113"/>
      <c r="IT181" s="113"/>
      <c r="IU181" s="113"/>
      <c r="IV181" s="113"/>
      <c r="IW181" s="113"/>
      <c r="IX181" s="113"/>
      <c r="IY181" s="113"/>
      <c r="IZ181" s="113"/>
      <c r="JA181" s="113"/>
      <c r="JB181" s="113"/>
      <c r="JC181" s="113"/>
      <c r="JD181" s="113"/>
      <c r="JE181" s="113"/>
      <c r="JF181" s="113"/>
      <c r="JG181" s="113"/>
      <c r="JH181" s="113"/>
      <c r="JI181" s="113"/>
      <c r="JJ181" s="113"/>
      <c r="JK181" s="113"/>
      <c r="JL181" s="113"/>
      <c r="JM181" s="113"/>
      <c r="JN181" s="113"/>
      <c r="JO181" s="113"/>
      <c r="JP181" s="113"/>
      <c r="JQ181" s="113"/>
      <c r="JR181" s="113"/>
      <c r="JS181" s="113"/>
      <c r="JT181" s="113"/>
      <c r="JU181" s="113"/>
      <c r="JV181" s="113"/>
      <c r="JW181" s="113"/>
      <c r="JX181" s="113"/>
      <c r="JY181" s="113"/>
      <c r="JZ181" s="113"/>
      <c r="KA181" s="113"/>
      <c r="KB181" s="113"/>
      <c r="KC181" s="113"/>
      <c r="KD181" s="113"/>
      <c r="KE181" s="113"/>
      <c r="KF181" s="113"/>
      <c r="KG181" s="113"/>
      <c r="KH181" s="113"/>
      <c r="KI181" s="113"/>
      <c r="KJ181" s="113"/>
      <c r="KK181" s="113"/>
      <c r="KL181" s="113"/>
      <c r="KM181" s="113"/>
      <c r="KN181" s="113"/>
      <c r="KO181" s="113"/>
      <c r="KP181" s="113"/>
      <c r="KQ181" s="113"/>
      <c r="KR181" s="113"/>
      <c r="KS181" s="113"/>
      <c r="KT181" s="113"/>
      <c r="KU181" s="113"/>
      <c r="KV181" s="113"/>
      <c r="KW181" s="113"/>
      <c r="KX181" s="113"/>
      <c r="KY181" s="113"/>
      <c r="KZ181" s="113"/>
      <c r="LA181" s="113"/>
      <c r="LB181" s="113"/>
      <c r="LC181" s="113"/>
      <c r="LD181" s="113"/>
      <c r="LE181" s="113"/>
      <c r="LF181" s="113"/>
      <c r="LG181" s="113"/>
      <c r="LH181" s="113"/>
      <c r="LI181" s="113"/>
      <c r="LJ181" s="113"/>
      <c r="LK181" s="113"/>
      <c r="LL181" s="113"/>
      <c r="LM181" s="113"/>
      <c r="LN181" s="113"/>
      <c r="LO181" s="113"/>
      <c r="LP181" s="113"/>
      <c r="LQ181" s="113"/>
      <c r="LR181" s="113"/>
      <c r="LS181" s="113"/>
      <c r="LT181" s="113"/>
      <c r="LU181" s="113"/>
      <c r="LV181" s="113"/>
      <c r="LW181" s="113"/>
      <c r="LX181" s="113"/>
      <c r="LY181" s="113"/>
      <c r="LZ181" s="113"/>
      <c r="MA181" s="113"/>
      <c r="MB181" s="113"/>
      <c r="MC181" s="113"/>
      <c r="MD181" s="113"/>
      <c r="ME181" s="113"/>
      <c r="MF181" s="113"/>
      <c r="MG181" s="113"/>
      <c r="MH181" s="113"/>
      <c r="MI181" s="113"/>
      <c r="MJ181" s="113"/>
      <c r="MK181" s="113"/>
      <c r="ML181" s="113"/>
      <c r="MM181" s="113"/>
      <c r="MN181" s="113"/>
      <c r="MO181" s="113"/>
      <c r="MP181" s="113"/>
      <c r="MQ181" s="113"/>
      <c r="MR181" s="113"/>
      <c r="MS181" s="113"/>
      <c r="MT181" s="113"/>
      <c r="MU181" s="113"/>
      <c r="MV181" s="113"/>
      <c r="MW181" s="113"/>
      <c r="MX181" s="113"/>
      <c r="MY181" s="113"/>
      <c r="MZ181" s="113"/>
      <c r="NA181" s="113"/>
      <c r="NB181" s="113"/>
      <c r="NC181" s="113"/>
      <c r="ND181" s="113"/>
      <c r="NE181" s="113"/>
      <c r="NF181" s="113"/>
      <c r="NG181" s="113"/>
      <c r="NH181" s="113"/>
      <c r="NI181" s="113"/>
      <c r="NJ181" s="113"/>
      <c r="NK181" s="113"/>
      <c r="NL181" s="113"/>
      <c r="NM181" s="113"/>
      <c r="NN181" s="113"/>
      <c r="NO181" s="113"/>
      <c r="NP181" s="113"/>
      <c r="NQ181" s="113"/>
      <c r="NR181" s="113"/>
      <c r="NS181" s="113"/>
      <c r="NT181" s="113"/>
      <c r="NU181" s="113"/>
      <c r="NV181" s="113"/>
      <c r="NW181" s="113"/>
      <c r="NX181" s="113"/>
      <c r="NY181" s="113"/>
      <c r="NZ181" s="113"/>
      <c r="OA181" s="113"/>
      <c r="OB181" s="113"/>
      <c r="OC181" s="113"/>
      <c r="OD181" s="113"/>
      <c r="OE181" s="113"/>
      <c r="OF181" s="113"/>
      <c r="OG181" s="113"/>
      <c r="OH181" s="113"/>
      <c r="OI181" s="113"/>
      <c r="OJ181" s="113"/>
      <c r="OK181" s="113"/>
      <c r="OL181" s="113"/>
      <c r="OM181" s="113"/>
      <c r="ON181" s="113"/>
      <c r="OO181" s="113"/>
      <c r="OP181" s="113"/>
      <c r="OQ181" s="113"/>
      <c r="OR181" s="113"/>
      <c r="OS181" s="113"/>
      <c r="OT181" s="113"/>
      <c r="OU181" s="113"/>
      <c r="OV181" s="113"/>
      <c r="OW181" s="113"/>
      <c r="OX181" s="113"/>
      <c r="OY181" s="113"/>
      <c r="OZ181" s="113"/>
      <c r="PA181" s="113"/>
      <c r="PB181" s="113"/>
      <c r="PC181" s="113"/>
      <c r="PD181" s="113"/>
      <c r="PE181" s="113"/>
      <c r="PF181" s="113"/>
      <c r="PG181" s="113"/>
      <c r="PH181" s="113"/>
      <c r="PI181" s="113"/>
      <c r="PJ181" s="113"/>
      <c r="PK181" s="113"/>
      <c r="PL181" s="113"/>
      <c r="PM181" s="113"/>
    </row>
    <row r="182" spans="1:429" s="48" customFormat="1">
      <c r="A182" s="113"/>
      <c r="B182" s="105"/>
      <c r="C182" s="71"/>
      <c r="D182" s="71"/>
      <c r="E182" s="72" t="s">
        <v>166</v>
      </c>
      <c r="F182" s="73" t="s">
        <v>819</v>
      </c>
      <c r="G182" s="41">
        <v>0.5</v>
      </c>
      <c r="H182" s="42">
        <v>0.9</v>
      </c>
      <c r="I182" s="74">
        <v>0.1</v>
      </c>
      <c r="J182" s="41">
        <v>0.09</v>
      </c>
      <c r="K182" s="42">
        <v>0.19</v>
      </c>
      <c r="L182" s="74"/>
      <c r="M182" s="42"/>
      <c r="N182" s="42"/>
      <c r="O182" s="42"/>
      <c r="P182" s="35">
        <v>2021</v>
      </c>
      <c r="Q182" s="36" t="s">
        <v>27</v>
      </c>
      <c r="R182" s="73" t="s">
        <v>822</v>
      </c>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c r="AO182" s="113"/>
      <c r="AP182" s="113"/>
      <c r="AQ182" s="113"/>
      <c r="AR182" s="113"/>
      <c r="AS182" s="113"/>
      <c r="AT182" s="113"/>
      <c r="AU182" s="113"/>
      <c r="AV182" s="113"/>
      <c r="AW182" s="113"/>
      <c r="AX182" s="113"/>
      <c r="AY182" s="113"/>
      <c r="AZ182" s="113"/>
      <c r="BA182" s="113"/>
      <c r="BB182" s="113"/>
      <c r="BC182" s="113"/>
      <c r="BD182" s="113"/>
      <c r="BE182" s="113"/>
      <c r="BF182" s="113"/>
      <c r="BG182" s="113"/>
      <c r="BH182" s="113"/>
      <c r="BI182" s="113"/>
      <c r="BJ182" s="113"/>
      <c r="BK182" s="113"/>
      <c r="BL182" s="113"/>
      <c r="BM182" s="113"/>
      <c r="BN182" s="113"/>
      <c r="BO182" s="113"/>
      <c r="BP182" s="113"/>
      <c r="BQ182" s="113"/>
      <c r="BR182" s="113"/>
      <c r="BS182" s="113"/>
      <c r="BT182" s="113"/>
      <c r="BU182" s="113"/>
      <c r="BV182" s="113"/>
      <c r="BW182" s="113"/>
      <c r="BX182" s="113"/>
      <c r="BY182" s="113"/>
      <c r="BZ182" s="113"/>
      <c r="CA182" s="113"/>
      <c r="CB182" s="113"/>
      <c r="CC182" s="113"/>
      <c r="CD182" s="113"/>
      <c r="CE182" s="113"/>
      <c r="CF182" s="113"/>
      <c r="CG182" s="113"/>
      <c r="CH182" s="113"/>
      <c r="CI182" s="113"/>
      <c r="CJ182" s="113"/>
      <c r="CK182" s="113"/>
      <c r="CL182" s="113"/>
      <c r="CM182" s="113"/>
      <c r="CN182" s="113"/>
      <c r="CO182" s="113"/>
      <c r="CP182" s="113"/>
      <c r="CQ182" s="113"/>
      <c r="CR182" s="113"/>
      <c r="CS182" s="113"/>
      <c r="CT182" s="113"/>
      <c r="CU182" s="113"/>
      <c r="CV182" s="113"/>
      <c r="CW182" s="113"/>
      <c r="CX182" s="113"/>
      <c r="CY182" s="113"/>
      <c r="CZ182" s="113"/>
      <c r="DA182" s="113"/>
      <c r="DB182" s="113"/>
      <c r="DC182" s="113"/>
      <c r="DD182" s="113"/>
      <c r="DE182" s="113"/>
      <c r="DF182" s="113"/>
      <c r="DG182" s="113"/>
      <c r="DH182" s="113"/>
      <c r="DI182" s="113"/>
      <c r="DJ182" s="113"/>
      <c r="DK182" s="113"/>
      <c r="DL182" s="113"/>
      <c r="DM182" s="113"/>
      <c r="DN182" s="113"/>
      <c r="DO182" s="113"/>
      <c r="DP182" s="113"/>
      <c r="DQ182" s="113"/>
      <c r="DR182" s="113"/>
      <c r="DS182" s="113"/>
      <c r="DT182" s="113"/>
      <c r="DU182" s="113"/>
      <c r="DV182" s="113"/>
      <c r="DW182" s="113"/>
      <c r="DX182" s="113"/>
      <c r="DY182" s="113"/>
      <c r="DZ182" s="113"/>
      <c r="EA182" s="113"/>
      <c r="EB182" s="113"/>
      <c r="EC182" s="113"/>
      <c r="ED182" s="113"/>
      <c r="EE182" s="113"/>
      <c r="EF182" s="113"/>
      <c r="EG182" s="113"/>
      <c r="EH182" s="113"/>
      <c r="EI182" s="113"/>
      <c r="EJ182" s="113"/>
      <c r="EK182" s="113"/>
      <c r="EL182" s="113"/>
      <c r="EM182" s="113"/>
      <c r="EN182" s="113"/>
      <c r="EO182" s="113"/>
      <c r="EP182" s="113"/>
      <c r="EQ182" s="113"/>
      <c r="ER182" s="113"/>
      <c r="ES182" s="113"/>
      <c r="ET182" s="113"/>
      <c r="EU182" s="113"/>
      <c r="EV182" s="113"/>
      <c r="EW182" s="113"/>
      <c r="EX182" s="113"/>
      <c r="EY182" s="113"/>
      <c r="EZ182" s="113"/>
      <c r="FA182" s="113"/>
      <c r="FB182" s="113"/>
      <c r="FC182" s="113"/>
      <c r="FD182" s="113"/>
      <c r="FE182" s="113"/>
      <c r="FF182" s="113"/>
      <c r="FG182" s="113"/>
      <c r="FH182" s="113"/>
      <c r="FI182" s="113"/>
      <c r="FJ182" s="113"/>
      <c r="FK182" s="113"/>
      <c r="FL182" s="113"/>
      <c r="FM182" s="113"/>
      <c r="FN182" s="113"/>
      <c r="FO182" s="113"/>
      <c r="FP182" s="113"/>
      <c r="FQ182" s="113"/>
      <c r="FR182" s="113"/>
      <c r="FS182" s="113"/>
      <c r="FT182" s="113"/>
      <c r="FU182" s="113"/>
      <c r="FV182" s="113"/>
      <c r="FW182" s="113"/>
      <c r="FX182" s="113"/>
      <c r="FY182" s="113"/>
      <c r="FZ182" s="113"/>
      <c r="GA182" s="113"/>
      <c r="GB182" s="113"/>
      <c r="GC182" s="113"/>
      <c r="GD182" s="113"/>
      <c r="GE182" s="113"/>
      <c r="GF182" s="113"/>
      <c r="GG182" s="113"/>
      <c r="GH182" s="113"/>
      <c r="GI182" s="113"/>
      <c r="GJ182" s="113"/>
      <c r="GK182" s="113"/>
      <c r="GL182" s="113"/>
      <c r="GM182" s="113"/>
      <c r="GN182" s="113"/>
      <c r="GO182" s="113"/>
      <c r="GP182" s="113"/>
      <c r="GQ182" s="113"/>
      <c r="GR182" s="113"/>
      <c r="GS182" s="113"/>
      <c r="GT182" s="113"/>
      <c r="GU182" s="113"/>
      <c r="GV182" s="113"/>
      <c r="GW182" s="113"/>
      <c r="GX182" s="113"/>
      <c r="GY182" s="113"/>
      <c r="GZ182" s="113"/>
      <c r="HA182" s="113"/>
      <c r="HB182" s="113"/>
      <c r="HC182" s="113"/>
      <c r="HD182" s="113"/>
      <c r="HE182" s="113"/>
      <c r="HF182" s="113"/>
      <c r="HG182" s="113"/>
      <c r="HH182" s="113"/>
      <c r="HI182" s="113"/>
      <c r="HJ182" s="113"/>
      <c r="HK182" s="113"/>
      <c r="HL182" s="113"/>
      <c r="HM182" s="113"/>
      <c r="HN182" s="113"/>
      <c r="HO182" s="113"/>
      <c r="HP182" s="113"/>
      <c r="HQ182" s="113"/>
      <c r="HR182" s="113"/>
      <c r="HS182" s="113"/>
      <c r="HT182" s="113"/>
      <c r="HU182" s="113"/>
      <c r="HV182" s="113"/>
      <c r="HW182" s="113"/>
      <c r="HX182" s="113"/>
      <c r="HY182" s="113"/>
      <c r="HZ182" s="113"/>
      <c r="IA182" s="113"/>
      <c r="IB182" s="113"/>
      <c r="IC182" s="113"/>
      <c r="ID182" s="113"/>
      <c r="IE182" s="113"/>
      <c r="IF182" s="113"/>
      <c r="IG182" s="113"/>
      <c r="IH182" s="113"/>
      <c r="II182" s="113"/>
      <c r="IJ182" s="113"/>
      <c r="IK182" s="113"/>
      <c r="IL182" s="113"/>
      <c r="IM182" s="113"/>
      <c r="IN182" s="113"/>
      <c r="IO182" s="113"/>
      <c r="IP182" s="113"/>
      <c r="IQ182" s="113"/>
      <c r="IR182" s="113"/>
      <c r="IS182" s="113"/>
      <c r="IT182" s="113"/>
      <c r="IU182" s="113"/>
      <c r="IV182" s="113"/>
      <c r="IW182" s="113"/>
      <c r="IX182" s="113"/>
      <c r="IY182" s="113"/>
      <c r="IZ182" s="113"/>
      <c r="JA182" s="113"/>
      <c r="JB182" s="113"/>
      <c r="JC182" s="113"/>
      <c r="JD182" s="113"/>
      <c r="JE182" s="113"/>
      <c r="JF182" s="113"/>
      <c r="JG182" s="113"/>
      <c r="JH182" s="113"/>
      <c r="JI182" s="113"/>
      <c r="JJ182" s="113"/>
      <c r="JK182" s="113"/>
      <c r="JL182" s="113"/>
      <c r="JM182" s="113"/>
      <c r="JN182" s="113"/>
      <c r="JO182" s="113"/>
      <c r="JP182" s="113"/>
      <c r="JQ182" s="113"/>
      <c r="JR182" s="113"/>
      <c r="JS182" s="113"/>
      <c r="JT182" s="113"/>
      <c r="JU182" s="113"/>
      <c r="JV182" s="113"/>
      <c r="JW182" s="113"/>
      <c r="JX182" s="113"/>
      <c r="JY182" s="113"/>
      <c r="JZ182" s="113"/>
      <c r="KA182" s="113"/>
      <c r="KB182" s="113"/>
      <c r="KC182" s="113"/>
      <c r="KD182" s="113"/>
      <c r="KE182" s="113"/>
      <c r="KF182" s="113"/>
      <c r="KG182" s="113"/>
      <c r="KH182" s="113"/>
      <c r="KI182" s="113"/>
      <c r="KJ182" s="113"/>
      <c r="KK182" s="113"/>
      <c r="KL182" s="113"/>
      <c r="KM182" s="113"/>
      <c r="KN182" s="113"/>
      <c r="KO182" s="113"/>
      <c r="KP182" s="113"/>
      <c r="KQ182" s="113"/>
      <c r="KR182" s="113"/>
      <c r="KS182" s="113"/>
      <c r="KT182" s="113"/>
      <c r="KU182" s="113"/>
      <c r="KV182" s="113"/>
      <c r="KW182" s="113"/>
      <c r="KX182" s="113"/>
      <c r="KY182" s="113"/>
      <c r="KZ182" s="113"/>
      <c r="LA182" s="113"/>
      <c r="LB182" s="113"/>
      <c r="LC182" s="113"/>
      <c r="LD182" s="113"/>
      <c r="LE182" s="113"/>
      <c r="LF182" s="113"/>
      <c r="LG182" s="113"/>
      <c r="LH182" s="113"/>
      <c r="LI182" s="113"/>
      <c r="LJ182" s="113"/>
      <c r="LK182" s="113"/>
      <c r="LL182" s="113"/>
      <c r="LM182" s="113"/>
      <c r="LN182" s="113"/>
      <c r="LO182" s="113"/>
      <c r="LP182" s="113"/>
      <c r="LQ182" s="113"/>
      <c r="LR182" s="113"/>
      <c r="LS182" s="113"/>
      <c r="LT182" s="113"/>
      <c r="LU182" s="113"/>
      <c r="LV182" s="113"/>
      <c r="LW182" s="113"/>
      <c r="LX182" s="113"/>
      <c r="LY182" s="113"/>
      <c r="LZ182" s="113"/>
      <c r="MA182" s="113"/>
      <c r="MB182" s="113"/>
      <c r="MC182" s="113"/>
      <c r="MD182" s="113"/>
      <c r="ME182" s="113"/>
      <c r="MF182" s="113"/>
      <c r="MG182" s="113"/>
      <c r="MH182" s="113"/>
      <c r="MI182" s="113"/>
      <c r="MJ182" s="113"/>
      <c r="MK182" s="113"/>
      <c r="ML182" s="113"/>
      <c r="MM182" s="113"/>
      <c r="MN182" s="113"/>
      <c r="MO182" s="113"/>
      <c r="MP182" s="113"/>
      <c r="MQ182" s="113"/>
      <c r="MR182" s="113"/>
      <c r="MS182" s="113"/>
      <c r="MT182" s="113"/>
      <c r="MU182" s="113"/>
      <c r="MV182" s="113"/>
      <c r="MW182" s="113"/>
      <c r="MX182" s="113"/>
      <c r="MY182" s="113"/>
      <c r="MZ182" s="113"/>
      <c r="NA182" s="113"/>
      <c r="NB182" s="113"/>
      <c r="NC182" s="113"/>
      <c r="ND182" s="113"/>
      <c r="NE182" s="113"/>
      <c r="NF182" s="113"/>
      <c r="NG182" s="113"/>
      <c r="NH182" s="113"/>
      <c r="NI182" s="113"/>
      <c r="NJ182" s="113"/>
      <c r="NK182" s="113"/>
      <c r="NL182" s="113"/>
      <c r="NM182" s="113"/>
      <c r="NN182" s="113"/>
      <c r="NO182" s="113"/>
      <c r="NP182" s="113"/>
      <c r="NQ182" s="113"/>
      <c r="NR182" s="113"/>
      <c r="NS182" s="113"/>
      <c r="NT182" s="113"/>
      <c r="NU182" s="113"/>
      <c r="NV182" s="113"/>
      <c r="NW182" s="113"/>
      <c r="NX182" s="113"/>
      <c r="NY182" s="113"/>
      <c r="NZ182" s="113"/>
      <c r="OA182" s="113"/>
      <c r="OB182" s="113"/>
      <c r="OC182" s="113"/>
      <c r="OD182" s="113"/>
      <c r="OE182" s="113"/>
      <c r="OF182" s="113"/>
      <c r="OG182" s="113"/>
      <c r="OH182" s="113"/>
      <c r="OI182" s="113"/>
      <c r="OJ182" s="113"/>
      <c r="OK182" s="113"/>
      <c r="OL182" s="113"/>
      <c r="OM182" s="113"/>
      <c r="ON182" s="113"/>
      <c r="OO182" s="113"/>
      <c r="OP182" s="113"/>
      <c r="OQ182" s="113"/>
      <c r="OR182" s="113"/>
      <c r="OS182" s="113"/>
      <c r="OT182" s="113"/>
      <c r="OU182" s="113"/>
      <c r="OV182" s="113"/>
      <c r="OW182" s="113"/>
      <c r="OX182" s="113"/>
      <c r="OY182" s="113"/>
      <c r="OZ182" s="113"/>
      <c r="PA182" s="113"/>
      <c r="PB182" s="113"/>
      <c r="PC182" s="113"/>
      <c r="PD182" s="113"/>
      <c r="PE182" s="113"/>
      <c r="PF182" s="113"/>
      <c r="PG182" s="113"/>
      <c r="PH182" s="113"/>
      <c r="PI182" s="113"/>
      <c r="PJ182" s="113"/>
      <c r="PK182" s="113"/>
      <c r="PL182" s="113"/>
      <c r="PM182" s="113"/>
    </row>
    <row r="183" spans="1:429">
      <c r="B183" s="105"/>
      <c r="C183" s="71"/>
      <c r="D183" s="71"/>
      <c r="E183" s="72" t="s">
        <v>166</v>
      </c>
      <c r="F183" s="73" t="s">
        <v>819</v>
      </c>
      <c r="G183" s="41">
        <v>0.2</v>
      </c>
      <c r="H183" s="42"/>
      <c r="I183" s="74"/>
      <c r="J183" s="41">
        <v>0</v>
      </c>
      <c r="K183" s="42"/>
      <c r="L183" s="74"/>
      <c r="M183" s="42"/>
      <c r="N183" s="42"/>
      <c r="O183" s="42"/>
      <c r="P183" s="35">
        <v>2017</v>
      </c>
      <c r="Q183" s="36" t="s">
        <v>27</v>
      </c>
      <c r="R183" s="73" t="s">
        <v>24</v>
      </c>
    </row>
    <row r="184" spans="1:429">
      <c r="B184" s="105"/>
      <c r="C184" s="71"/>
      <c r="D184" s="71"/>
      <c r="E184" s="72" t="s">
        <v>166</v>
      </c>
      <c r="F184" s="73" t="s">
        <v>819</v>
      </c>
      <c r="G184" s="41">
        <v>0.3</v>
      </c>
      <c r="H184" s="42"/>
      <c r="I184" s="74"/>
      <c r="J184" s="41">
        <v>0.1</v>
      </c>
      <c r="K184" s="42"/>
      <c r="L184" s="74"/>
      <c r="M184" s="42"/>
      <c r="N184" s="42"/>
      <c r="O184" s="42"/>
      <c r="P184" s="35">
        <v>2016</v>
      </c>
      <c r="Q184" s="36" t="s">
        <v>27</v>
      </c>
      <c r="R184" s="73" t="s">
        <v>24</v>
      </c>
    </row>
    <row r="185" spans="1:429">
      <c r="B185" s="105"/>
      <c r="C185" s="71"/>
      <c r="D185" s="71" t="s">
        <v>188</v>
      </c>
      <c r="E185" s="72" t="s">
        <v>200</v>
      </c>
      <c r="F185" s="73" t="s">
        <v>819</v>
      </c>
      <c r="G185" s="41"/>
      <c r="H185" s="42"/>
      <c r="I185" s="74"/>
      <c r="J185" s="41">
        <v>0.2</v>
      </c>
      <c r="K185" s="42">
        <v>0</v>
      </c>
      <c r="L185" s="74">
        <v>0.3</v>
      </c>
      <c r="M185" s="42"/>
      <c r="N185" s="42"/>
      <c r="O185" s="42"/>
      <c r="P185" s="35">
        <v>2020</v>
      </c>
      <c r="Q185" s="36" t="s">
        <v>201</v>
      </c>
      <c r="R185" s="73" t="s">
        <v>24</v>
      </c>
    </row>
    <row r="186" spans="1:429">
      <c r="B186" s="105"/>
      <c r="C186" s="71"/>
      <c r="D186" s="71"/>
      <c r="E186" s="72" t="s">
        <v>200</v>
      </c>
      <c r="F186" s="73" t="s">
        <v>819</v>
      </c>
      <c r="G186" s="41">
        <v>3.3</v>
      </c>
      <c r="H186" s="42">
        <v>5.5</v>
      </c>
      <c r="I186" s="74">
        <v>1</v>
      </c>
      <c r="J186" s="41">
        <v>0.9</v>
      </c>
      <c r="K186" s="42">
        <v>1.7</v>
      </c>
      <c r="L186" s="74">
        <v>0.1</v>
      </c>
      <c r="M186" s="42">
        <v>0.6</v>
      </c>
      <c r="N186" s="42">
        <v>1.1000000000000001</v>
      </c>
      <c r="O186" s="42">
        <v>0.1</v>
      </c>
      <c r="P186" s="35">
        <v>2016</v>
      </c>
      <c r="Q186" s="36" t="s">
        <v>202</v>
      </c>
      <c r="R186" s="73" t="s">
        <v>24</v>
      </c>
    </row>
    <row r="187" spans="1:429">
      <c r="B187" s="105"/>
      <c r="C187" s="71" t="s">
        <v>231</v>
      </c>
      <c r="D187" s="71" t="s">
        <v>760</v>
      </c>
      <c r="E187" s="72" t="s">
        <v>247</v>
      </c>
      <c r="F187" s="73" t="s">
        <v>819</v>
      </c>
      <c r="G187" s="41">
        <v>0.6</v>
      </c>
      <c r="H187" s="42">
        <v>0.5</v>
      </c>
      <c r="I187" s="74">
        <v>0.6</v>
      </c>
      <c r="J187" s="41">
        <v>0.1</v>
      </c>
      <c r="K187" s="42">
        <v>0.2</v>
      </c>
      <c r="L187" s="74"/>
      <c r="M187" s="42"/>
      <c r="N187" s="42"/>
      <c r="O187" s="42"/>
      <c r="P187" s="35">
        <v>2020</v>
      </c>
      <c r="Q187" s="36" t="s">
        <v>27</v>
      </c>
      <c r="R187" s="73" t="s">
        <v>24</v>
      </c>
    </row>
    <row r="188" spans="1:429">
      <c r="B188" s="105"/>
      <c r="C188" s="71"/>
      <c r="D188" s="71"/>
      <c r="E188" s="72" t="s">
        <v>248</v>
      </c>
      <c r="F188" s="73" t="s">
        <v>819</v>
      </c>
      <c r="G188" s="41">
        <v>1.7</v>
      </c>
      <c r="H188" s="42">
        <v>2.6</v>
      </c>
      <c r="I188" s="74">
        <v>0.7</v>
      </c>
      <c r="J188" s="41">
        <v>0.6</v>
      </c>
      <c r="K188" s="42">
        <v>0.8</v>
      </c>
      <c r="L188" s="74">
        <v>0.3</v>
      </c>
      <c r="M188" s="42"/>
      <c r="N188" s="42"/>
      <c r="O188" s="42"/>
      <c r="P188" s="35">
        <v>2019</v>
      </c>
      <c r="Q188" s="36" t="s">
        <v>27</v>
      </c>
      <c r="R188" s="73" t="s">
        <v>24</v>
      </c>
    </row>
    <row r="189" spans="1:429">
      <c r="B189" s="105"/>
      <c r="C189" s="71"/>
      <c r="D189" s="71"/>
      <c r="E189" s="72" t="s">
        <v>248</v>
      </c>
      <c r="F189" s="73" t="s">
        <v>823</v>
      </c>
      <c r="G189" s="41">
        <v>1.5</v>
      </c>
      <c r="H189" s="42">
        <v>2.4</v>
      </c>
      <c r="I189" s="74">
        <v>0.5</v>
      </c>
      <c r="J189" s="41">
        <v>0.2</v>
      </c>
      <c r="K189" s="42">
        <v>0.3</v>
      </c>
      <c r="L189" s="74">
        <v>0</v>
      </c>
      <c r="M189" s="42"/>
      <c r="N189" s="42"/>
      <c r="O189" s="42"/>
      <c r="P189" s="35">
        <v>2019</v>
      </c>
      <c r="Q189" s="36" t="s">
        <v>27</v>
      </c>
      <c r="R189" s="73" t="s">
        <v>24</v>
      </c>
    </row>
    <row r="190" spans="1:429">
      <c r="B190" s="105"/>
      <c r="C190" s="71"/>
      <c r="D190" s="71"/>
      <c r="E190" s="72" t="s">
        <v>248</v>
      </c>
      <c r="F190" s="73" t="s">
        <v>818</v>
      </c>
      <c r="G190" s="41">
        <v>0.3</v>
      </c>
      <c r="H190" s="42"/>
      <c r="I190" s="74"/>
      <c r="J190" s="41"/>
      <c r="K190" s="42"/>
      <c r="L190" s="74"/>
      <c r="M190" s="42">
        <v>1.5</v>
      </c>
      <c r="N190" s="42"/>
      <c r="O190" s="42"/>
      <c r="P190" s="35" t="s">
        <v>762</v>
      </c>
      <c r="Q190" s="36"/>
      <c r="R190" s="73" t="s">
        <v>763</v>
      </c>
    </row>
    <row r="191" spans="1:429">
      <c r="B191" s="105"/>
      <c r="C191" s="71"/>
      <c r="D191" s="71"/>
      <c r="E191" s="72" t="s">
        <v>251</v>
      </c>
      <c r="F191" s="73" t="s">
        <v>824</v>
      </c>
      <c r="G191" s="41">
        <v>2.5</v>
      </c>
      <c r="H191" s="42">
        <v>3.4000000000000004</v>
      </c>
      <c r="I191" s="74">
        <v>1.6</v>
      </c>
      <c r="J191" s="41">
        <v>0.89999999999999991</v>
      </c>
      <c r="K191" s="42">
        <v>1.3</v>
      </c>
      <c r="L191" s="74">
        <v>0.6</v>
      </c>
      <c r="M191" s="42">
        <v>0.3</v>
      </c>
      <c r="N191" s="42">
        <v>0.5</v>
      </c>
      <c r="O191" s="42">
        <v>0.2</v>
      </c>
      <c r="P191" s="35">
        <v>2016</v>
      </c>
      <c r="Q191" s="36" t="s">
        <v>27</v>
      </c>
      <c r="R191" s="73" t="s">
        <v>24</v>
      </c>
    </row>
    <row r="192" spans="1:429">
      <c r="B192" s="105"/>
      <c r="C192" s="71"/>
      <c r="D192" s="71"/>
      <c r="E192" s="72" t="s">
        <v>253</v>
      </c>
      <c r="F192" s="73" t="s">
        <v>819</v>
      </c>
      <c r="G192" s="41">
        <v>6.3</v>
      </c>
      <c r="H192" s="42">
        <v>8.6</v>
      </c>
      <c r="I192" s="74">
        <v>3.8</v>
      </c>
      <c r="J192" s="41">
        <v>3.1</v>
      </c>
      <c r="K192" s="42">
        <v>4.2</v>
      </c>
      <c r="L192" s="74">
        <v>2</v>
      </c>
      <c r="M192" s="42">
        <v>2.5</v>
      </c>
      <c r="N192" s="42">
        <v>3.4</v>
      </c>
      <c r="O192" s="42">
        <v>1.6</v>
      </c>
      <c r="P192" s="35">
        <v>2019</v>
      </c>
      <c r="Q192" s="36" t="s">
        <v>27</v>
      </c>
      <c r="R192" s="73" t="s">
        <v>24</v>
      </c>
    </row>
    <row r="193" spans="1:429">
      <c r="B193" s="105"/>
      <c r="C193" s="71"/>
      <c r="D193" s="71"/>
      <c r="E193" s="72" t="s">
        <v>253</v>
      </c>
      <c r="F193" s="73" t="s">
        <v>819</v>
      </c>
      <c r="G193" s="41">
        <v>2.5</v>
      </c>
      <c r="H193" s="42">
        <v>3.4</v>
      </c>
      <c r="I193" s="74">
        <v>1.6</v>
      </c>
      <c r="J193" s="41">
        <v>0.9</v>
      </c>
      <c r="K193" s="42">
        <v>1.3</v>
      </c>
      <c r="L193" s="74">
        <v>0.6</v>
      </c>
      <c r="M193" s="42">
        <v>0.3</v>
      </c>
      <c r="N193" s="42">
        <v>0.5</v>
      </c>
      <c r="O193" s="42">
        <v>0.2</v>
      </c>
      <c r="P193" s="35">
        <v>2016</v>
      </c>
      <c r="Q193" s="36" t="s">
        <v>27</v>
      </c>
      <c r="R193" s="73" t="s">
        <v>24</v>
      </c>
    </row>
    <row r="194" spans="1:429" s="48" customFormat="1">
      <c r="A194" s="113"/>
      <c r="B194" s="105"/>
      <c r="C194" s="71"/>
      <c r="D194" s="71" t="s">
        <v>257</v>
      </c>
      <c r="E194" s="72" t="s">
        <v>258</v>
      </c>
      <c r="F194" s="73" t="s">
        <v>819</v>
      </c>
      <c r="G194" s="41">
        <v>1.81</v>
      </c>
      <c r="H194" s="42">
        <v>2.0499999999999998</v>
      </c>
      <c r="I194" s="74">
        <v>1.58</v>
      </c>
      <c r="J194" s="41">
        <v>0.62</v>
      </c>
      <c r="K194" s="42">
        <v>0.74</v>
      </c>
      <c r="L194" s="74">
        <v>0.5</v>
      </c>
      <c r="M194" s="42">
        <v>0.33</v>
      </c>
      <c r="N194" s="42">
        <v>0.49</v>
      </c>
      <c r="O194" s="42">
        <v>0.17</v>
      </c>
      <c r="P194" s="35">
        <v>2022</v>
      </c>
      <c r="Q194" s="36" t="s">
        <v>27</v>
      </c>
      <c r="R194" s="73" t="s">
        <v>24</v>
      </c>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c r="AX194" s="113"/>
      <c r="AY194" s="113"/>
      <c r="AZ194" s="113"/>
      <c r="BA194" s="113"/>
      <c r="BB194" s="113"/>
      <c r="BC194" s="113"/>
      <c r="BD194" s="113"/>
      <c r="BE194" s="113"/>
      <c r="BF194" s="113"/>
      <c r="BG194" s="113"/>
      <c r="BH194" s="113"/>
      <c r="BI194" s="113"/>
      <c r="BJ194" s="113"/>
      <c r="BK194" s="113"/>
      <c r="BL194" s="113"/>
      <c r="BM194" s="113"/>
      <c r="BN194" s="113"/>
      <c r="BO194" s="113"/>
      <c r="BP194" s="113"/>
      <c r="BQ194" s="113"/>
      <c r="BR194" s="113"/>
      <c r="BS194" s="113"/>
      <c r="BT194" s="113"/>
      <c r="BU194" s="113"/>
      <c r="BV194" s="113"/>
      <c r="BW194" s="113"/>
      <c r="BX194" s="113"/>
      <c r="BY194" s="113"/>
      <c r="BZ194" s="113"/>
      <c r="CA194" s="113"/>
      <c r="CB194" s="113"/>
      <c r="CC194" s="113"/>
      <c r="CD194" s="113"/>
      <c r="CE194" s="113"/>
      <c r="CF194" s="113"/>
      <c r="CG194" s="113"/>
      <c r="CH194" s="113"/>
      <c r="CI194" s="113"/>
      <c r="CJ194" s="113"/>
      <c r="CK194" s="113"/>
      <c r="CL194" s="113"/>
      <c r="CM194" s="113"/>
      <c r="CN194" s="113"/>
      <c r="CO194" s="113"/>
      <c r="CP194" s="113"/>
      <c r="CQ194" s="113"/>
      <c r="CR194" s="113"/>
      <c r="CS194" s="113"/>
      <c r="CT194" s="113"/>
      <c r="CU194" s="113"/>
      <c r="CV194" s="113"/>
      <c r="CW194" s="113"/>
      <c r="CX194" s="113"/>
      <c r="CY194" s="113"/>
      <c r="CZ194" s="113"/>
      <c r="DA194" s="113"/>
      <c r="DB194" s="113"/>
      <c r="DC194" s="113"/>
      <c r="DD194" s="113"/>
      <c r="DE194" s="113"/>
      <c r="DF194" s="113"/>
      <c r="DG194" s="113"/>
      <c r="DH194" s="113"/>
      <c r="DI194" s="113"/>
      <c r="DJ194" s="113"/>
      <c r="DK194" s="113"/>
      <c r="DL194" s="113"/>
      <c r="DM194" s="113"/>
      <c r="DN194" s="113"/>
      <c r="DO194" s="113"/>
      <c r="DP194" s="113"/>
      <c r="DQ194" s="113"/>
      <c r="DR194" s="113"/>
      <c r="DS194" s="113"/>
      <c r="DT194" s="113"/>
      <c r="DU194" s="113"/>
      <c r="DV194" s="113"/>
      <c r="DW194" s="113"/>
      <c r="DX194" s="113"/>
      <c r="DY194" s="113"/>
      <c r="DZ194" s="113"/>
      <c r="EA194" s="113"/>
      <c r="EB194" s="113"/>
      <c r="EC194" s="113"/>
      <c r="ED194" s="113"/>
      <c r="EE194" s="113"/>
      <c r="EF194" s="113"/>
      <c r="EG194" s="113"/>
      <c r="EH194" s="113"/>
      <c r="EI194" s="113"/>
      <c r="EJ194" s="113"/>
      <c r="EK194" s="113"/>
      <c r="EL194" s="113"/>
      <c r="EM194" s="113"/>
      <c r="EN194" s="113"/>
      <c r="EO194" s="113"/>
      <c r="EP194" s="113"/>
      <c r="EQ194" s="113"/>
      <c r="ER194" s="113"/>
      <c r="ES194" s="113"/>
      <c r="ET194" s="113"/>
      <c r="EU194" s="113"/>
      <c r="EV194" s="113"/>
      <c r="EW194" s="113"/>
      <c r="EX194" s="113"/>
      <c r="EY194" s="113"/>
      <c r="EZ194" s="113"/>
      <c r="FA194" s="113"/>
      <c r="FB194" s="113"/>
      <c r="FC194" s="113"/>
      <c r="FD194" s="113"/>
      <c r="FE194" s="113"/>
      <c r="FF194" s="113"/>
      <c r="FG194" s="113"/>
      <c r="FH194" s="113"/>
      <c r="FI194" s="113"/>
      <c r="FJ194" s="113"/>
      <c r="FK194" s="113"/>
      <c r="FL194" s="113"/>
      <c r="FM194" s="113"/>
      <c r="FN194" s="113"/>
      <c r="FO194" s="113"/>
      <c r="FP194" s="113"/>
      <c r="FQ194" s="113"/>
      <c r="FR194" s="113"/>
      <c r="FS194" s="113"/>
      <c r="FT194" s="113"/>
      <c r="FU194" s="113"/>
      <c r="FV194" s="113"/>
      <c r="FW194" s="113"/>
      <c r="FX194" s="113"/>
      <c r="FY194" s="113"/>
      <c r="FZ194" s="113"/>
      <c r="GA194" s="113"/>
      <c r="GB194" s="113"/>
      <c r="GC194" s="113"/>
      <c r="GD194" s="113"/>
      <c r="GE194" s="113"/>
      <c r="GF194" s="113"/>
      <c r="GG194" s="113"/>
      <c r="GH194" s="113"/>
      <c r="GI194" s="113"/>
      <c r="GJ194" s="113"/>
      <c r="GK194" s="113"/>
      <c r="GL194" s="113"/>
      <c r="GM194" s="113"/>
      <c r="GN194" s="113"/>
      <c r="GO194" s="113"/>
      <c r="GP194" s="113"/>
      <c r="GQ194" s="113"/>
      <c r="GR194" s="113"/>
      <c r="GS194" s="113"/>
      <c r="GT194" s="113"/>
      <c r="GU194" s="113"/>
      <c r="GV194" s="113"/>
      <c r="GW194" s="113"/>
      <c r="GX194" s="113"/>
      <c r="GY194" s="113"/>
      <c r="GZ194" s="113"/>
      <c r="HA194" s="113"/>
      <c r="HB194" s="113"/>
      <c r="HC194" s="113"/>
      <c r="HD194" s="113"/>
      <c r="HE194" s="113"/>
      <c r="HF194" s="113"/>
      <c r="HG194" s="113"/>
      <c r="HH194" s="113"/>
      <c r="HI194" s="113"/>
      <c r="HJ194" s="113"/>
      <c r="HK194" s="113"/>
      <c r="HL194" s="113"/>
      <c r="HM194" s="113"/>
      <c r="HN194" s="113"/>
      <c r="HO194" s="113"/>
      <c r="HP194" s="113"/>
      <c r="HQ194" s="113"/>
      <c r="HR194" s="113"/>
      <c r="HS194" s="113"/>
      <c r="HT194" s="113"/>
      <c r="HU194" s="113"/>
      <c r="HV194" s="113"/>
      <c r="HW194" s="113"/>
      <c r="HX194" s="113"/>
      <c r="HY194" s="113"/>
      <c r="HZ194" s="113"/>
      <c r="IA194" s="113"/>
      <c r="IB194" s="113"/>
      <c r="IC194" s="113"/>
      <c r="ID194" s="113"/>
      <c r="IE194" s="113"/>
      <c r="IF194" s="113"/>
      <c r="IG194" s="113"/>
      <c r="IH194" s="113"/>
      <c r="II194" s="113"/>
      <c r="IJ194" s="113"/>
      <c r="IK194" s="113"/>
      <c r="IL194" s="113"/>
      <c r="IM194" s="113"/>
      <c r="IN194" s="113"/>
      <c r="IO194" s="113"/>
      <c r="IP194" s="113"/>
      <c r="IQ194" s="113"/>
      <c r="IR194" s="113"/>
      <c r="IS194" s="113"/>
      <c r="IT194" s="113"/>
      <c r="IU194" s="113"/>
      <c r="IV194" s="113"/>
      <c r="IW194" s="113"/>
      <c r="IX194" s="113"/>
      <c r="IY194" s="113"/>
      <c r="IZ194" s="113"/>
      <c r="JA194" s="113"/>
      <c r="JB194" s="113"/>
      <c r="JC194" s="113"/>
      <c r="JD194" s="113"/>
      <c r="JE194" s="113"/>
      <c r="JF194" s="113"/>
      <c r="JG194" s="113"/>
      <c r="JH194" s="113"/>
      <c r="JI194" s="113"/>
      <c r="JJ194" s="113"/>
      <c r="JK194" s="113"/>
      <c r="JL194" s="113"/>
      <c r="JM194" s="113"/>
      <c r="JN194" s="113"/>
      <c r="JO194" s="113"/>
      <c r="JP194" s="113"/>
      <c r="JQ194" s="113"/>
      <c r="JR194" s="113"/>
      <c r="JS194" s="113"/>
      <c r="JT194" s="113"/>
      <c r="JU194" s="113"/>
      <c r="JV194" s="113"/>
      <c r="JW194" s="113"/>
      <c r="JX194" s="113"/>
      <c r="JY194" s="113"/>
      <c r="JZ194" s="113"/>
      <c r="KA194" s="113"/>
      <c r="KB194" s="113"/>
      <c r="KC194" s="113"/>
      <c r="KD194" s="113"/>
      <c r="KE194" s="113"/>
      <c r="KF194" s="113"/>
      <c r="KG194" s="113"/>
      <c r="KH194" s="113"/>
      <c r="KI194" s="113"/>
      <c r="KJ194" s="113"/>
      <c r="KK194" s="113"/>
      <c r="KL194" s="113"/>
      <c r="KM194" s="113"/>
      <c r="KN194" s="113"/>
      <c r="KO194" s="113"/>
      <c r="KP194" s="113"/>
      <c r="KQ194" s="113"/>
      <c r="KR194" s="113"/>
      <c r="KS194" s="113"/>
      <c r="KT194" s="113"/>
      <c r="KU194" s="113"/>
      <c r="KV194" s="113"/>
      <c r="KW194" s="113"/>
      <c r="KX194" s="113"/>
      <c r="KY194" s="113"/>
      <c r="KZ194" s="113"/>
      <c r="LA194" s="113"/>
      <c r="LB194" s="113"/>
      <c r="LC194" s="113"/>
      <c r="LD194" s="113"/>
      <c r="LE194" s="113"/>
      <c r="LF194" s="113"/>
      <c r="LG194" s="113"/>
      <c r="LH194" s="113"/>
      <c r="LI194" s="113"/>
      <c r="LJ194" s="113"/>
      <c r="LK194" s="113"/>
      <c r="LL194" s="113"/>
      <c r="LM194" s="113"/>
      <c r="LN194" s="113"/>
      <c r="LO194" s="113"/>
      <c r="LP194" s="113"/>
      <c r="LQ194" s="113"/>
      <c r="LR194" s="113"/>
      <c r="LS194" s="113"/>
      <c r="LT194" s="113"/>
      <c r="LU194" s="113"/>
      <c r="LV194" s="113"/>
      <c r="LW194" s="113"/>
      <c r="LX194" s="113"/>
      <c r="LY194" s="113"/>
      <c r="LZ194" s="113"/>
      <c r="MA194" s="113"/>
      <c r="MB194" s="113"/>
      <c r="MC194" s="113"/>
      <c r="MD194" s="113"/>
      <c r="ME194" s="113"/>
      <c r="MF194" s="113"/>
      <c r="MG194" s="113"/>
      <c r="MH194" s="113"/>
      <c r="MI194" s="113"/>
      <c r="MJ194" s="113"/>
      <c r="MK194" s="113"/>
      <c r="ML194" s="113"/>
      <c r="MM194" s="113"/>
      <c r="MN194" s="113"/>
      <c r="MO194" s="113"/>
      <c r="MP194" s="113"/>
      <c r="MQ194" s="113"/>
      <c r="MR194" s="113"/>
      <c r="MS194" s="113"/>
      <c r="MT194" s="113"/>
      <c r="MU194" s="113"/>
      <c r="MV194" s="113"/>
      <c r="MW194" s="113"/>
      <c r="MX194" s="113"/>
      <c r="MY194" s="113"/>
      <c r="MZ194" s="113"/>
      <c r="NA194" s="113"/>
      <c r="NB194" s="113"/>
      <c r="NC194" s="113"/>
      <c r="ND194" s="113"/>
      <c r="NE194" s="113"/>
      <c r="NF194" s="113"/>
      <c r="NG194" s="113"/>
      <c r="NH194" s="113"/>
      <c r="NI194" s="113"/>
      <c r="NJ194" s="113"/>
      <c r="NK194" s="113"/>
      <c r="NL194" s="113"/>
      <c r="NM194" s="113"/>
      <c r="NN194" s="113"/>
      <c r="NO194" s="113"/>
      <c r="NP194" s="113"/>
      <c r="NQ194" s="113"/>
      <c r="NR194" s="113"/>
      <c r="NS194" s="113"/>
      <c r="NT194" s="113"/>
      <c r="NU194" s="113"/>
      <c r="NV194" s="113"/>
      <c r="NW194" s="113"/>
      <c r="NX194" s="113"/>
      <c r="NY194" s="113"/>
      <c r="NZ194" s="113"/>
      <c r="OA194" s="113"/>
      <c r="OB194" s="113"/>
      <c r="OC194" s="113"/>
      <c r="OD194" s="113"/>
      <c r="OE194" s="113"/>
      <c r="OF194" s="113"/>
      <c r="OG194" s="113"/>
      <c r="OH194" s="113"/>
      <c r="OI194" s="113"/>
      <c r="OJ194" s="113"/>
      <c r="OK194" s="113"/>
      <c r="OL194" s="113"/>
      <c r="OM194" s="113"/>
      <c r="ON194" s="113"/>
      <c r="OO194" s="113"/>
      <c r="OP194" s="113"/>
      <c r="OQ194" s="113"/>
      <c r="OR194" s="113"/>
      <c r="OS194" s="113"/>
      <c r="OT194" s="113"/>
      <c r="OU194" s="113"/>
      <c r="OV194" s="113"/>
      <c r="OW194" s="113"/>
      <c r="OX194" s="113"/>
      <c r="OY194" s="113"/>
      <c r="OZ194" s="113"/>
      <c r="PA194" s="113"/>
      <c r="PB194" s="113"/>
      <c r="PC194" s="113"/>
      <c r="PD194" s="113"/>
      <c r="PE194" s="113"/>
      <c r="PF194" s="113"/>
      <c r="PG194" s="113"/>
      <c r="PH194" s="113"/>
      <c r="PI194" s="113"/>
      <c r="PJ194" s="113"/>
      <c r="PK194" s="113"/>
      <c r="PL194" s="113"/>
      <c r="PM194" s="113"/>
    </row>
    <row r="195" spans="1:429">
      <c r="B195" s="105"/>
      <c r="C195" s="71"/>
      <c r="D195" s="71"/>
      <c r="E195" s="72" t="s">
        <v>258</v>
      </c>
      <c r="F195" s="73" t="s">
        <v>819</v>
      </c>
      <c r="G195" s="41">
        <v>7</v>
      </c>
      <c r="H195" s="42"/>
      <c r="I195" s="74"/>
      <c r="J195" s="41">
        <v>2</v>
      </c>
      <c r="K195" s="42"/>
      <c r="L195" s="74"/>
      <c r="M195" s="42">
        <v>0</v>
      </c>
      <c r="N195" s="42"/>
      <c r="O195" s="42"/>
      <c r="P195" s="35">
        <v>2014</v>
      </c>
      <c r="Q195" s="36" t="s">
        <v>27</v>
      </c>
      <c r="R195" s="73" t="s">
        <v>788</v>
      </c>
    </row>
    <row r="196" spans="1:429" s="75" customFormat="1">
      <c r="A196" s="113"/>
      <c r="B196" s="105"/>
      <c r="C196" s="71"/>
      <c r="D196" s="71"/>
      <c r="E196" s="72" t="s">
        <v>260</v>
      </c>
      <c r="F196" s="73" t="s">
        <v>819</v>
      </c>
      <c r="G196" s="41"/>
      <c r="H196" s="42"/>
      <c r="I196" s="74"/>
      <c r="J196" s="41">
        <v>0.3</v>
      </c>
      <c r="K196" s="42">
        <v>0.4</v>
      </c>
      <c r="L196" s="74">
        <v>0.2</v>
      </c>
      <c r="M196" s="42"/>
      <c r="N196" s="42"/>
      <c r="O196" s="42"/>
      <c r="P196" s="35">
        <v>2018</v>
      </c>
      <c r="Q196" s="36" t="s">
        <v>27</v>
      </c>
      <c r="R196" s="73" t="s">
        <v>825</v>
      </c>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c r="AO196" s="113"/>
      <c r="AP196" s="113"/>
      <c r="AQ196" s="113"/>
      <c r="AR196" s="113"/>
      <c r="AS196" s="113"/>
      <c r="AT196" s="113"/>
      <c r="AU196" s="113"/>
      <c r="AV196" s="113"/>
      <c r="AW196" s="113"/>
      <c r="AX196" s="113"/>
      <c r="AY196" s="113"/>
      <c r="AZ196" s="113"/>
      <c r="BA196" s="113"/>
      <c r="BB196" s="113"/>
      <c r="BC196" s="113"/>
      <c r="BD196" s="113"/>
      <c r="BE196" s="113"/>
      <c r="BF196" s="113"/>
      <c r="BG196" s="113"/>
      <c r="BH196" s="113"/>
      <c r="BI196" s="113"/>
      <c r="BJ196" s="113"/>
      <c r="BK196" s="113"/>
      <c r="BL196" s="113"/>
      <c r="BM196" s="113"/>
      <c r="BN196" s="113"/>
      <c r="BO196" s="113"/>
      <c r="BP196" s="113"/>
      <c r="BQ196" s="113"/>
      <c r="BR196" s="113"/>
      <c r="BS196" s="113"/>
      <c r="BT196" s="113"/>
      <c r="BU196" s="113"/>
      <c r="BV196" s="113"/>
      <c r="BW196" s="113"/>
      <c r="BX196" s="113"/>
      <c r="BY196" s="113"/>
      <c r="BZ196" s="113"/>
      <c r="CA196" s="113"/>
      <c r="CB196" s="113"/>
      <c r="CC196" s="113"/>
      <c r="CD196" s="113"/>
      <c r="CE196" s="113"/>
      <c r="CF196" s="113"/>
      <c r="CG196" s="113"/>
      <c r="CH196" s="113"/>
      <c r="CI196" s="113"/>
      <c r="CJ196" s="113"/>
      <c r="CK196" s="113"/>
      <c r="CL196" s="113"/>
      <c r="CM196" s="113"/>
      <c r="CN196" s="113"/>
      <c r="CO196" s="113"/>
      <c r="CP196" s="113"/>
      <c r="CQ196" s="113"/>
      <c r="CR196" s="113"/>
      <c r="CS196" s="113"/>
      <c r="CT196" s="113"/>
      <c r="CU196" s="113"/>
      <c r="CV196" s="113"/>
      <c r="CW196" s="113"/>
      <c r="CX196" s="113"/>
      <c r="CY196" s="113"/>
      <c r="CZ196" s="113"/>
      <c r="DA196" s="113"/>
      <c r="DB196" s="113"/>
      <c r="DC196" s="113"/>
      <c r="DD196" s="113"/>
      <c r="DE196" s="113"/>
      <c r="DF196" s="113"/>
      <c r="DG196" s="113"/>
      <c r="DH196" s="113"/>
      <c r="DI196" s="113"/>
      <c r="DJ196" s="113"/>
      <c r="DK196" s="113"/>
      <c r="DL196" s="113"/>
      <c r="DM196" s="113"/>
      <c r="DN196" s="113"/>
      <c r="DO196" s="113"/>
      <c r="DP196" s="113"/>
      <c r="DQ196" s="113"/>
      <c r="DR196" s="113"/>
      <c r="DS196" s="113"/>
      <c r="DT196" s="113"/>
      <c r="DU196" s="113"/>
      <c r="DV196" s="113"/>
      <c r="DW196" s="113"/>
      <c r="DX196" s="113"/>
      <c r="DY196" s="113"/>
      <c r="DZ196" s="113"/>
      <c r="EA196" s="113"/>
      <c r="EB196" s="113"/>
      <c r="EC196" s="113"/>
      <c r="ED196" s="113"/>
      <c r="EE196" s="113"/>
      <c r="EF196" s="113"/>
      <c r="EG196" s="113"/>
      <c r="EH196" s="113"/>
      <c r="EI196" s="113"/>
      <c r="EJ196" s="113"/>
      <c r="EK196" s="113"/>
      <c r="EL196" s="113"/>
      <c r="EM196" s="113"/>
      <c r="EN196" s="113"/>
      <c r="EO196" s="113"/>
      <c r="EP196" s="113"/>
      <c r="EQ196" s="113"/>
      <c r="ER196" s="113"/>
      <c r="ES196" s="113"/>
      <c r="ET196" s="113"/>
      <c r="EU196" s="113"/>
      <c r="EV196" s="113"/>
      <c r="EW196" s="113"/>
      <c r="EX196" s="113"/>
      <c r="EY196" s="113"/>
      <c r="EZ196" s="113"/>
      <c r="FA196" s="113"/>
      <c r="FB196" s="113"/>
      <c r="FC196" s="113"/>
      <c r="FD196" s="113"/>
      <c r="FE196" s="113"/>
      <c r="FF196" s="113"/>
      <c r="FG196" s="113"/>
      <c r="FH196" s="113"/>
      <c r="FI196" s="113"/>
      <c r="FJ196" s="113"/>
      <c r="FK196" s="113"/>
      <c r="FL196" s="113"/>
      <c r="FM196" s="113"/>
      <c r="FN196" s="113"/>
      <c r="FO196" s="113"/>
      <c r="FP196" s="113"/>
      <c r="FQ196" s="113"/>
      <c r="FR196" s="113"/>
      <c r="FS196" s="113"/>
      <c r="FT196" s="113"/>
      <c r="FU196" s="113"/>
      <c r="FV196" s="113"/>
      <c r="FW196" s="113"/>
      <c r="FX196" s="113"/>
      <c r="FY196" s="113"/>
      <c r="FZ196" s="113"/>
      <c r="GA196" s="113"/>
      <c r="GB196" s="113"/>
      <c r="GC196" s="113"/>
      <c r="GD196" s="113"/>
      <c r="GE196" s="113"/>
      <c r="GF196" s="113"/>
      <c r="GG196" s="113"/>
      <c r="GH196" s="113"/>
      <c r="GI196" s="113"/>
      <c r="GJ196" s="113"/>
      <c r="GK196" s="113"/>
      <c r="GL196" s="113"/>
      <c r="GM196" s="113"/>
      <c r="GN196" s="113"/>
      <c r="GO196" s="113"/>
      <c r="GP196" s="113"/>
      <c r="GQ196" s="113"/>
      <c r="GR196" s="113"/>
      <c r="GS196" s="113"/>
      <c r="GT196" s="113"/>
      <c r="GU196" s="113"/>
      <c r="GV196" s="113"/>
      <c r="GW196" s="113"/>
      <c r="GX196" s="113"/>
      <c r="GY196" s="113"/>
      <c r="GZ196" s="113"/>
      <c r="HA196" s="113"/>
      <c r="HB196" s="113"/>
      <c r="HC196" s="113"/>
      <c r="HD196" s="113"/>
      <c r="HE196" s="113"/>
      <c r="HF196" s="113"/>
      <c r="HG196" s="113"/>
      <c r="HH196" s="113"/>
      <c r="HI196" s="113"/>
      <c r="HJ196" s="113"/>
      <c r="HK196" s="113"/>
      <c r="HL196" s="113"/>
      <c r="HM196" s="113"/>
      <c r="HN196" s="113"/>
      <c r="HO196" s="113"/>
      <c r="HP196" s="113"/>
      <c r="HQ196" s="113"/>
      <c r="HR196" s="113"/>
      <c r="HS196" s="113"/>
      <c r="HT196" s="113"/>
      <c r="HU196" s="113"/>
      <c r="HV196" s="113"/>
      <c r="HW196" s="113"/>
      <c r="HX196" s="113"/>
      <c r="HY196" s="113"/>
      <c r="HZ196" s="113"/>
      <c r="IA196" s="113"/>
      <c r="IB196" s="113"/>
      <c r="IC196" s="113"/>
      <c r="ID196" s="113"/>
      <c r="IE196" s="113"/>
      <c r="IF196" s="113"/>
      <c r="IG196" s="113"/>
      <c r="IH196" s="113"/>
      <c r="II196" s="113"/>
      <c r="IJ196" s="113"/>
      <c r="IK196" s="113"/>
      <c r="IL196" s="113"/>
      <c r="IM196" s="113"/>
      <c r="IN196" s="113"/>
      <c r="IO196" s="113"/>
      <c r="IP196" s="113"/>
      <c r="IQ196" s="113"/>
      <c r="IR196" s="113"/>
      <c r="IS196" s="113"/>
      <c r="IT196" s="113"/>
      <c r="IU196" s="113"/>
      <c r="IV196" s="113"/>
      <c r="IW196" s="113"/>
      <c r="IX196" s="113"/>
      <c r="IY196" s="113"/>
      <c r="IZ196" s="113"/>
      <c r="JA196" s="113"/>
      <c r="JB196" s="113"/>
      <c r="JC196" s="113"/>
      <c r="JD196" s="113"/>
      <c r="JE196" s="113"/>
      <c r="JF196" s="113"/>
      <c r="JG196" s="113"/>
      <c r="JH196" s="113"/>
      <c r="JI196" s="113"/>
      <c r="JJ196" s="113"/>
      <c r="JK196" s="113"/>
      <c r="JL196" s="113"/>
      <c r="JM196" s="113"/>
      <c r="JN196" s="113"/>
      <c r="JO196" s="113"/>
      <c r="JP196" s="113"/>
      <c r="JQ196" s="113"/>
      <c r="JR196" s="113"/>
      <c r="JS196" s="113"/>
      <c r="JT196" s="113"/>
      <c r="JU196" s="113"/>
      <c r="JV196" s="113"/>
      <c r="JW196" s="113"/>
      <c r="JX196" s="113"/>
      <c r="JY196" s="113"/>
      <c r="JZ196" s="113"/>
      <c r="KA196" s="113"/>
      <c r="KB196" s="113"/>
      <c r="KC196" s="113"/>
      <c r="KD196" s="113"/>
      <c r="KE196" s="113"/>
      <c r="KF196" s="113"/>
      <c r="KG196" s="113"/>
      <c r="KH196" s="113"/>
      <c r="KI196" s="113"/>
      <c r="KJ196" s="113"/>
      <c r="KK196" s="113"/>
      <c r="KL196" s="113"/>
      <c r="KM196" s="113"/>
      <c r="KN196" s="113"/>
      <c r="KO196" s="113"/>
      <c r="KP196" s="113"/>
      <c r="KQ196" s="113"/>
      <c r="KR196" s="113"/>
      <c r="KS196" s="113"/>
      <c r="KT196" s="113"/>
      <c r="KU196" s="113"/>
      <c r="KV196" s="113"/>
      <c r="KW196" s="113"/>
      <c r="KX196" s="113"/>
      <c r="KY196" s="113"/>
      <c r="KZ196" s="113"/>
      <c r="LA196" s="113"/>
      <c r="LB196" s="113"/>
      <c r="LC196" s="113"/>
      <c r="LD196" s="113"/>
      <c r="LE196" s="113"/>
      <c r="LF196" s="113"/>
      <c r="LG196" s="113"/>
      <c r="LH196" s="113"/>
      <c r="LI196" s="113"/>
      <c r="LJ196" s="113"/>
      <c r="LK196" s="113"/>
      <c r="LL196" s="113"/>
      <c r="LM196" s="113"/>
      <c r="LN196" s="113"/>
      <c r="LO196" s="113"/>
      <c r="LP196" s="113"/>
      <c r="LQ196" s="113"/>
      <c r="LR196" s="113"/>
      <c r="LS196" s="113"/>
      <c r="LT196" s="113"/>
      <c r="LU196" s="113"/>
      <c r="LV196" s="113"/>
      <c r="LW196" s="113"/>
      <c r="LX196" s="113"/>
      <c r="LY196" s="113"/>
      <c r="LZ196" s="113"/>
      <c r="MA196" s="113"/>
      <c r="MB196" s="113"/>
      <c r="MC196" s="113"/>
      <c r="MD196" s="113"/>
      <c r="ME196" s="113"/>
      <c r="MF196" s="113"/>
      <c r="MG196" s="113"/>
      <c r="MH196" s="113"/>
      <c r="MI196" s="113"/>
      <c r="MJ196" s="113"/>
      <c r="MK196" s="113"/>
      <c r="ML196" s="113"/>
      <c r="MM196" s="113"/>
      <c r="MN196" s="113"/>
      <c r="MO196" s="113"/>
      <c r="MP196" s="113"/>
      <c r="MQ196" s="113"/>
      <c r="MR196" s="113"/>
      <c r="MS196" s="113"/>
      <c r="MT196" s="113"/>
      <c r="MU196" s="113"/>
      <c r="MV196" s="113"/>
      <c r="MW196" s="113"/>
      <c r="MX196" s="113"/>
      <c r="MY196" s="113"/>
      <c r="MZ196" s="113"/>
      <c r="NA196" s="113"/>
      <c r="NB196" s="113"/>
      <c r="NC196" s="113"/>
      <c r="ND196" s="113"/>
      <c r="NE196" s="113"/>
      <c r="NF196" s="113"/>
      <c r="NG196" s="113"/>
      <c r="NH196" s="113"/>
      <c r="NI196" s="113"/>
      <c r="NJ196" s="113"/>
      <c r="NK196" s="113"/>
      <c r="NL196" s="113"/>
      <c r="NM196" s="113"/>
      <c r="NN196" s="113"/>
      <c r="NO196" s="113"/>
      <c r="NP196" s="113"/>
      <c r="NQ196" s="113"/>
      <c r="NR196" s="113"/>
      <c r="NS196" s="113"/>
      <c r="NT196" s="113"/>
      <c r="NU196" s="113"/>
      <c r="NV196" s="113"/>
      <c r="NW196" s="113"/>
      <c r="NX196" s="113"/>
      <c r="NY196" s="113"/>
      <c r="NZ196" s="113"/>
      <c r="OA196" s="113"/>
      <c r="OB196" s="113"/>
      <c r="OC196" s="113"/>
      <c r="OD196" s="113"/>
      <c r="OE196" s="113"/>
      <c r="OF196" s="113"/>
      <c r="OG196" s="113"/>
      <c r="OH196" s="113"/>
      <c r="OI196" s="113"/>
      <c r="OJ196" s="113"/>
      <c r="OK196" s="113"/>
      <c r="OL196" s="113"/>
      <c r="OM196" s="113"/>
      <c r="ON196" s="113"/>
      <c r="OO196" s="113"/>
      <c r="OP196" s="113"/>
      <c r="OQ196" s="113"/>
      <c r="OR196" s="113"/>
      <c r="OS196" s="113"/>
      <c r="OT196" s="113"/>
      <c r="OU196" s="113"/>
      <c r="OV196" s="113"/>
      <c r="OW196" s="113"/>
      <c r="OX196" s="113"/>
      <c r="OY196" s="113"/>
      <c r="OZ196" s="113"/>
      <c r="PA196" s="113"/>
      <c r="PB196" s="113"/>
      <c r="PC196" s="113"/>
      <c r="PD196" s="113"/>
      <c r="PE196" s="113"/>
      <c r="PF196" s="113"/>
      <c r="PG196" s="113"/>
      <c r="PH196" s="113"/>
      <c r="PI196" s="113"/>
      <c r="PJ196" s="113"/>
      <c r="PK196" s="113"/>
      <c r="PL196" s="113"/>
      <c r="PM196" s="113"/>
    </row>
    <row r="197" spans="1:429">
      <c r="B197" s="105"/>
      <c r="C197" s="71"/>
      <c r="D197" s="71"/>
      <c r="E197" s="72" t="s">
        <v>260</v>
      </c>
      <c r="F197" s="73" t="s">
        <v>819</v>
      </c>
      <c r="G197" s="41"/>
      <c r="H197" s="42"/>
      <c r="I197" s="74"/>
      <c r="J197" s="41">
        <v>0.2</v>
      </c>
      <c r="K197" s="42"/>
      <c r="L197" s="74"/>
      <c r="M197" s="42"/>
      <c r="N197" s="42"/>
      <c r="O197" s="42"/>
      <c r="P197" s="35">
        <v>2013</v>
      </c>
      <c r="Q197" s="36" t="s">
        <v>826</v>
      </c>
      <c r="R197" s="73" t="s">
        <v>827</v>
      </c>
    </row>
    <row r="198" spans="1:429">
      <c r="B198" s="105"/>
      <c r="C198" s="71"/>
      <c r="D198" s="71"/>
      <c r="E198" s="72" t="s">
        <v>260</v>
      </c>
      <c r="F198" s="73" t="s">
        <v>819</v>
      </c>
      <c r="G198" s="41"/>
      <c r="H198" s="42"/>
      <c r="I198" s="74"/>
      <c r="J198" s="41">
        <v>0.1</v>
      </c>
      <c r="K198" s="42">
        <v>0.1</v>
      </c>
      <c r="L198" s="74">
        <v>0.1</v>
      </c>
      <c r="M198" s="42"/>
      <c r="N198" s="42"/>
      <c r="O198" s="42"/>
      <c r="P198" s="35">
        <v>2013</v>
      </c>
      <c r="Q198" s="36" t="s">
        <v>27</v>
      </c>
      <c r="R198" s="73" t="s">
        <v>827</v>
      </c>
    </row>
    <row r="199" spans="1:429" s="48" customFormat="1">
      <c r="A199" s="113"/>
      <c r="B199" s="105"/>
      <c r="C199" s="71"/>
      <c r="D199" s="71"/>
      <c r="E199" s="72" t="s">
        <v>262</v>
      </c>
      <c r="F199" s="73" t="s">
        <v>819</v>
      </c>
      <c r="G199" s="41">
        <v>0.5</v>
      </c>
      <c r="H199" s="42">
        <v>0.6</v>
      </c>
      <c r="I199" s="74">
        <v>0.3</v>
      </c>
      <c r="J199" s="41">
        <v>0.3</v>
      </c>
      <c r="K199" s="42">
        <v>0.5</v>
      </c>
      <c r="L199" s="74">
        <v>0.2</v>
      </c>
      <c r="M199" s="42">
        <v>0.2</v>
      </c>
      <c r="N199" s="42">
        <v>0.2</v>
      </c>
      <c r="O199" s="42">
        <v>0.1</v>
      </c>
      <c r="P199" s="35">
        <v>2022</v>
      </c>
      <c r="Q199" s="36" t="s">
        <v>27</v>
      </c>
      <c r="R199" s="73" t="s">
        <v>38</v>
      </c>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c r="AO199" s="113"/>
      <c r="AP199" s="113"/>
      <c r="AQ199" s="113"/>
      <c r="AR199" s="113"/>
      <c r="AS199" s="113"/>
      <c r="AT199" s="113"/>
      <c r="AU199" s="113"/>
      <c r="AV199" s="113"/>
      <c r="AW199" s="113"/>
      <c r="AX199" s="113"/>
      <c r="AY199" s="113"/>
      <c r="AZ199" s="113"/>
      <c r="BA199" s="113"/>
      <c r="BB199" s="113"/>
      <c r="BC199" s="113"/>
      <c r="BD199" s="113"/>
      <c r="BE199" s="113"/>
      <c r="BF199" s="113"/>
      <c r="BG199" s="113"/>
      <c r="BH199" s="113"/>
      <c r="BI199" s="113"/>
      <c r="BJ199" s="113"/>
      <c r="BK199" s="113"/>
      <c r="BL199" s="113"/>
      <c r="BM199" s="113"/>
      <c r="BN199" s="113"/>
      <c r="BO199" s="113"/>
      <c r="BP199" s="113"/>
      <c r="BQ199" s="113"/>
      <c r="BR199" s="113"/>
      <c r="BS199" s="113"/>
      <c r="BT199" s="113"/>
      <c r="BU199" s="113"/>
      <c r="BV199" s="113"/>
      <c r="BW199" s="113"/>
      <c r="BX199" s="113"/>
      <c r="BY199" s="113"/>
      <c r="BZ199" s="113"/>
      <c r="CA199" s="113"/>
      <c r="CB199" s="113"/>
      <c r="CC199" s="113"/>
      <c r="CD199" s="113"/>
      <c r="CE199" s="113"/>
      <c r="CF199" s="113"/>
      <c r="CG199" s="113"/>
      <c r="CH199" s="113"/>
      <c r="CI199" s="113"/>
      <c r="CJ199" s="113"/>
      <c r="CK199" s="113"/>
      <c r="CL199" s="113"/>
      <c r="CM199" s="113"/>
      <c r="CN199" s="113"/>
      <c r="CO199" s="113"/>
      <c r="CP199" s="113"/>
      <c r="CQ199" s="113"/>
      <c r="CR199" s="113"/>
      <c r="CS199" s="113"/>
      <c r="CT199" s="113"/>
      <c r="CU199" s="113"/>
      <c r="CV199" s="113"/>
      <c r="CW199" s="113"/>
      <c r="CX199" s="113"/>
      <c r="CY199" s="113"/>
      <c r="CZ199" s="113"/>
      <c r="DA199" s="113"/>
      <c r="DB199" s="113"/>
      <c r="DC199" s="113"/>
      <c r="DD199" s="113"/>
      <c r="DE199" s="113"/>
      <c r="DF199" s="113"/>
      <c r="DG199" s="113"/>
      <c r="DH199" s="113"/>
      <c r="DI199" s="113"/>
      <c r="DJ199" s="113"/>
      <c r="DK199" s="113"/>
      <c r="DL199" s="113"/>
      <c r="DM199" s="113"/>
      <c r="DN199" s="113"/>
      <c r="DO199" s="113"/>
      <c r="DP199" s="113"/>
      <c r="DQ199" s="113"/>
      <c r="DR199" s="113"/>
      <c r="DS199" s="113"/>
      <c r="DT199" s="113"/>
      <c r="DU199" s="113"/>
      <c r="DV199" s="113"/>
      <c r="DW199" s="113"/>
      <c r="DX199" s="113"/>
      <c r="DY199" s="113"/>
      <c r="DZ199" s="113"/>
      <c r="EA199" s="113"/>
      <c r="EB199" s="113"/>
      <c r="EC199" s="113"/>
      <c r="ED199" s="113"/>
      <c r="EE199" s="113"/>
      <c r="EF199" s="113"/>
      <c r="EG199" s="113"/>
      <c r="EH199" s="113"/>
      <c r="EI199" s="113"/>
      <c r="EJ199" s="113"/>
      <c r="EK199" s="113"/>
      <c r="EL199" s="113"/>
      <c r="EM199" s="113"/>
      <c r="EN199" s="113"/>
      <c r="EO199" s="113"/>
      <c r="EP199" s="113"/>
      <c r="EQ199" s="113"/>
      <c r="ER199" s="113"/>
      <c r="ES199" s="113"/>
      <c r="ET199" s="113"/>
      <c r="EU199" s="113"/>
      <c r="EV199" s="113"/>
      <c r="EW199" s="113"/>
      <c r="EX199" s="113"/>
      <c r="EY199" s="113"/>
      <c r="EZ199" s="113"/>
      <c r="FA199" s="113"/>
      <c r="FB199" s="113"/>
      <c r="FC199" s="113"/>
      <c r="FD199" s="113"/>
      <c r="FE199" s="113"/>
      <c r="FF199" s="113"/>
      <c r="FG199" s="113"/>
      <c r="FH199" s="113"/>
      <c r="FI199" s="113"/>
      <c r="FJ199" s="113"/>
      <c r="FK199" s="113"/>
      <c r="FL199" s="113"/>
      <c r="FM199" s="113"/>
      <c r="FN199" s="113"/>
      <c r="FO199" s="113"/>
      <c r="FP199" s="113"/>
      <c r="FQ199" s="113"/>
      <c r="FR199" s="113"/>
      <c r="FS199" s="113"/>
      <c r="FT199" s="113"/>
      <c r="FU199" s="113"/>
      <c r="FV199" s="113"/>
      <c r="FW199" s="113"/>
      <c r="FX199" s="113"/>
      <c r="FY199" s="113"/>
      <c r="FZ199" s="113"/>
      <c r="GA199" s="113"/>
      <c r="GB199" s="113"/>
      <c r="GC199" s="113"/>
      <c r="GD199" s="113"/>
      <c r="GE199" s="113"/>
      <c r="GF199" s="113"/>
      <c r="GG199" s="113"/>
      <c r="GH199" s="113"/>
      <c r="GI199" s="113"/>
      <c r="GJ199" s="113"/>
      <c r="GK199" s="113"/>
      <c r="GL199" s="113"/>
      <c r="GM199" s="113"/>
      <c r="GN199" s="113"/>
      <c r="GO199" s="113"/>
      <c r="GP199" s="113"/>
      <c r="GQ199" s="113"/>
      <c r="GR199" s="113"/>
      <c r="GS199" s="113"/>
      <c r="GT199" s="113"/>
      <c r="GU199" s="113"/>
      <c r="GV199" s="113"/>
      <c r="GW199" s="113"/>
      <c r="GX199" s="113"/>
      <c r="GY199" s="113"/>
      <c r="GZ199" s="113"/>
      <c r="HA199" s="113"/>
      <c r="HB199" s="113"/>
      <c r="HC199" s="113"/>
      <c r="HD199" s="113"/>
      <c r="HE199" s="113"/>
      <c r="HF199" s="113"/>
      <c r="HG199" s="113"/>
      <c r="HH199" s="113"/>
      <c r="HI199" s="113"/>
      <c r="HJ199" s="113"/>
      <c r="HK199" s="113"/>
      <c r="HL199" s="113"/>
      <c r="HM199" s="113"/>
      <c r="HN199" s="113"/>
      <c r="HO199" s="113"/>
      <c r="HP199" s="113"/>
      <c r="HQ199" s="113"/>
      <c r="HR199" s="113"/>
      <c r="HS199" s="113"/>
      <c r="HT199" s="113"/>
      <c r="HU199" s="113"/>
      <c r="HV199" s="113"/>
      <c r="HW199" s="113"/>
      <c r="HX199" s="113"/>
      <c r="HY199" s="113"/>
      <c r="HZ199" s="113"/>
      <c r="IA199" s="113"/>
      <c r="IB199" s="113"/>
      <c r="IC199" s="113"/>
      <c r="ID199" s="113"/>
      <c r="IE199" s="113"/>
      <c r="IF199" s="113"/>
      <c r="IG199" s="113"/>
      <c r="IH199" s="113"/>
      <c r="II199" s="113"/>
      <c r="IJ199" s="113"/>
      <c r="IK199" s="113"/>
      <c r="IL199" s="113"/>
      <c r="IM199" s="113"/>
      <c r="IN199" s="113"/>
      <c r="IO199" s="113"/>
      <c r="IP199" s="113"/>
      <c r="IQ199" s="113"/>
      <c r="IR199" s="113"/>
      <c r="IS199" s="113"/>
      <c r="IT199" s="113"/>
      <c r="IU199" s="113"/>
      <c r="IV199" s="113"/>
      <c r="IW199" s="113"/>
      <c r="IX199" s="113"/>
      <c r="IY199" s="113"/>
      <c r="IZ199" s="113"/>
      <c r="JA199" s="113"/>
      <c r="JB199" s="113"/>
      <c r="JC199" s="113"/>
      <c r="JD199" s="113"/>
      <c r="JE199" s="113"/>
      <c r="JF199" s="113"/>
      <c r="JG199" s="113"/>
      <c r="JH199" s="113"/>
      <c r="JI199" s="113"/>
      <c r="JJ199" s="113"/>
      <c r="JK199" s="113"/>
      <c r="JL199" s="113"/>
      <c r="JM199" s="113"/>
      <c r="JN199" s="113"/>
      <c r="JO199" s="113"/>
      <c r="JP199" s="113"/>
      <c r="JQ199" s="113"/>
      <c r="JR199" s="113"/>
      <c r="JS199" s="113"/>
      <c r="JT199" s="113"/>
      <c r="JU199" s="113"/>
      <c r="JV199" s="113"/>
      <c r="JW199" s="113"/>
      <c r="JX199" s="113"/>
      <c r="JY199" s="113"/>
      <c r="JZ199" s="113"/>
      <c r="KA199" s="113"/>
      <c r="KB199" s="113"/>
      <c r="KC199" s="113"/>
      <c r="KD199" s="113"/>
      <c r="KE199" s="113"/>
      <c r="KF199" s="113"/>
      <c r="KG199" s="113"/>
      <c r="KH199" s="113"/>
      <c r="KI199" s="113"/>
      <c r="KJ199" s="113"/>
      <c r="KK199" s="113"/>
      <c r="KL199" s="113"/>
      <c r="KM199" s="113"/>
      <c r="KN199" s="113"/>
      <c r="KO199" s="113"/>
      <c r="KP199" s="113"/>
      <c r="KQ199" s="113"/>
      <c r="KR199" s="113"/>
      <c r="KS199" s="113"/>
      <c r="KT199" s="113"/>
      <c r="KU199" s="113"/>
      <c r="KV199" s="113"/>
      <c r="KW199" s="113"/>
      <c r="KX199" s="113"/>
      <c r="KY199" s="113"/>
      <c r="KZ199" s="113"/>
      <c r="LA199" s="113"/>
      <c r="LB199" s="113"/>
      <c r="LC199" s="113"/>
      <c r="LD199" s="113"/>
      <c r="LE199" s="113"/>
      <c r="LF199" s="113"/>
      <c r="LG199" s="113"/>
      <c r="LH199" s="113"/>
      <c r="LI199" s="113"/>
      <c r="LJ199" s="113"/>
      <c r="LK199" s="113"/>
      <c r="LL199" s="113"/>
      <c r="LM199" s="113"/>
      <c r="LN199" s="113"/>
      <c r="LO199" s="113"/>
      <c r="LP199" s="113"/>
      <c r="LQ199" s="113"/>
      <c r="LR199" s="113"/>
      <c r="LS199" s="113"/>
      <c r="LT199" s="113"/>
      <c r="LU199" s="113"/>
      <c r="LV199" s="113"/>
      <c r="LW199" s="113"/>
      <c r="LX199" s="113"/>
      <c r="LY199" s="113"/>
      <c r="LZ199" s="113"/>
      <c r="MA199" s="113"/>
      <c r="MB199" s="113"/>
      <c r="MC199" s="113"/>
      <c r="MD199" s="113"/>
      <c r="ME199" s="113"/>
      <c r="MF199" s="113"/>
      <c r="MG199" s="113"/>
      <c r="MH199" s="113"/>
      <c r="MI199" s="113"/>
      <c r="MJ199" s="113"/>
      <c r="MK199" s="113"/>
      <c r="ML199" s="113"/>
      <c r="MM199" s="113"/>
      <c r="MN199" s="113"/>
      <c r="MO199" s="113"/>
      <c r="MP199" s="113"/>
      <c r="MQ199" s="113"/>
      <c r="MR199" s="113"/>
      <c r="MS199" s="113"/>
      <c r="MT199" s="113"/>
      <c r="MU199" s="113"/>
      <c r="MV199" s="113"/>
      <c r="MW199" s="113"/>
      <c r="MX199" s="113"/>
      <c r="MY199" s="113"/>
      <c r="MZ199" s="113"/>
      <c r="NA199" s="113"/>
      <c r="NB199" s="113"/>
      <c r="NC199" s="113"/>
      <c r="ND199" s="113"/>
      <c r="NE199" s="113"/>
      <c r="NF199" s="113"/>
      <c r="NG199" s="113"/>
      <c r="NH199" s="113"/>
      <c r="NI199" s="113"/>
      <c r="NJ199" s="113"/>
      <c r="NK199" s="113"/>
      <c r="NL199" s="113"/>
      <c r="NM199" s="113"/>
      <c r="NN199" s="113"/>
      <c r="NO199" s="113"/>
      <c r="NP199" s="113"/>
      <c r="NQ199" s="113"/>
      <c r="NR199" s="113"/>
      <c r="NS199" s="113"/>
      <c r="NT199" s="113"/>
      <c r="NU199" s="113"/>
      <c r="NV199" s="113"/>
      <c r="NW199" s="113"/>
      <c r="NX199" s="113"/>
      <c r="NY199" s="113"/>
      <c r="NZ199" s="113"/>
      <c r="OA199" s="113"/>
      <c r="OB199" s="113"/>
      <c r="OC199" s="113"/>
      <c r="OD199" s="113"/>
      <c r="OE199" s="113"/>
      <c r="OF199" s="113"/>
      <c r="OG199" s="113"/>
      <c r="OH199" s="113"/>
      <c r="OI199" s="113"/>
      <c r="OJ199" s="113"/>
      <c r="OK199" s="113"/>
      <c r="OL199" s="113"/>
      <c r="OM199" s="113"/>
      <c r="ON199" s="113"/>
      <c r="OO199" s="113"/>
      <c r="OP199" s="113"/>
      <c r="OQ199" s="113"/>
      <c r="OR199" s="113"/>
      <c r="OS199" s="113"/>
      <c r="OT199" s="113"/>
      <c r="OU199" s="113"/>
      <c r="OV199" s="113"/>
      <c r="OW199" s="113"/>
      <c r="OX199" s="113"/>
      <c r="OY199" s="113"/>
      <c r="OZ199" s="113"/>
      <c r="PA199" s="113"/>
      <c r="PB199" s="113"/>
      <c r="PC199" s="113"/>
      <c r="PD199" s="113"/>
      <c r="PE199" s="113"/>
      <c r="PF199" s="113"/>
      <c r="PG199" s="113"/>
      <c r="PH199" s="113"/>
      <c r="PI199" s="113"/>
      <c r="PJ199" s="113"/>
      <c r="PK199" s="113"/>
      <c r="PL199" s="113"/>
      <c r="PM199" s="113"/>
    </row>
    <row r="200" spans="1:429">
      <c r="B200" s="105"/>
      <c r="C200" s="71"/>
      <c r="D200" s="71"/>
      <c r="E200" s="72" t="s">
        <v>262</v>
      </c>
      <c r="F200" s="73" t="s">
        <v>819</v>
      </c>
      <c r="G200" s="41">
        <v>0.6</v>
      </c>
      <c r="H200" s="42">
        <v>0.9</v>
      </c>
      <c r="I200" s="74">
        <v>0.3</v>
      </c>
      <c r="J200" s="41">
        <v>0.2</v>
      </c>
      <c r="K200" s="42">
        <v>0.4</v>
      </c>
      <c r="L200" s="74">
        <v>0.1</v>
      </c>
      <c r="M200" s="42"/>
      <c r="N200" s="42"/>
      <c r="O200" s="42"/>
      <c r="P200" s="35">
        <v>2019</v>
      </c>
      <c r="Q200" s="36" t="s">
        <v>27</v>
      </c>
      <c r="R200" s="73" t="s">
        <v>24</v>
      </c>
    </row>
    <row r="201" spans="1:429" s="48" customFormat="1">
      <c r="A201" s="113"/>
      <c r="B201" s="105"/>
      <c r="C201" s="71"/>
      <c r="D201" s="71"/>
      <c r="E201" s="72" t="s">
        <v>263</v>
      </c>
      <c r="F201" s="73" t="s">
        <v>819</v>
      </c>
      <c r="G201" s="41">
        <v>1.6</v>
      </c>
      <c r="H201" s="42">
        <v>1.8</v>
      </c>
      <c r="I201" s="74">
        <v>1.5</v>
      </c>
      <c r="J201" s="41">
        <v>0.4</v>
      </c>
      <c r="K201" s="42">
        <v>0.3</v>
      </c>
      <c r="L201" s="74">
        <v>0.5</v>
      </c>
      <c r="M201" s="42"/>
      <c r="N201" s="42"/>
      <c r="O201" s="42"/>
      <c r="P201" s="35">
        <v>2021</v>
      </c>
      <c r="Q201" s="36" t="s">
        <v>27</v>
      </c>
      <c r="R201" s="73" t="s">
        <v>24</v>
      </c>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c r="AO201" s="113"/>
      <c r="AP201" s="113"/>
      <c r="AQ201" s="113"/>
      <c r="AR201" s="113"/>
      <c r="AS201" s="113"/>
      <c r="AT201" s="113"/>
      <c r="AU201" s="113"/>
      <c r="AV201" s="113"/>
      <c r="AW201" s="113"/>
      <c r="AX201" s="113"/>
      <c r="AY201" s="113"/>
      <c r="AZ201" s="113"/>
      <c r="BA201" s="113"/>
      <c r="BB201" s="113"/>
      <c r="BC201" s="113"/>
      <c r="BD201" s="113"/>
      <c r="BE201" s="113"/>
      <c r="BF201" s="113"/>
      <c r="BG201" s="113"/>
      <c r="BH201" s="113"/>
      <c r="BI201" s="113"/>
      <c r="BJ201" s="113"/>
      <c r="BK201" s="113"/>
      <c r="BL201" s="113"/>
      <c r="BM201" s="113"/>
      <c r="BN201" s="113"/>
      <c r="BO201" s="113"/>
      <c r="BP201" s="113"/>
      <c r="BQ201" s="113"/>
      <c r="BR201" s="113"/>
      <c r="BS201" s="113"/>
      <c r="BT201" s="113"/>
      <c r="BU201" s="113"/>
      <c r="BV201" s="113"/>
      <c r="BW201" s="113"/>
      <c r="BX201" s="113"/>
      <c r="BY201" s="113"/>
      <c r="BZ201" s="113"/>
      <c r="CA201" s="113"/>
      <c r="CB201" s="113"/>
      <c r="CC201" s="113"/>
      <c r="CD201" s="113"/>
      <c r="CE201" s="113"/>
      <c r="CF201" s="113"/>
      <c r="CG201" s="113"/>
      <c r="CH201" s="113"/>
      <c r="CI201" s="113"/>
      <c r="CJ201" s="113"/>
      <c r="CK201" s="113"/>
      <c r="CL201" s="113"/>
      <c r="CM201" s="113"/>
      <c r="CN201" s="113"/>
      <c r="CO201" s="113"/>
      <c r="CP201" s="113"/>
      <c r="CQ201" s="113"/>
      <c r="CR201" s="113"/>
      <c r="CS201" s="113"/>
      <c r="CT201" s="113"/>
      <c r="CU201" s="113"/>
      <c r="CV201" s="113"/>
      <c r="CW201" s="113"/>
      <c r="CX201" s="113"/>
      <c r="CY201" s="113"/>
      <c r="CZ201" s="113"/>
      <c r="DA201" s="113"/>
      <c r="DB201" s="113"/>
      <c r="DC201" s="113"/>
      <c r="DD201" s="113"/>
      <c r="DE201" s="113"/>
      <c r="DF201" s="113"/>
      <c r="DG201" s="113"/>
      <c r="DH201" s="113"/>
      <c r="DI201" s="113"/>
      <c r="DJ201" s="113"/>
      <c r="DK201" s="113"/>
      <c r="DL201" s="113"/>
      <c r="DM201" s="113"/>
      <c r="DN201" s="113"/>
      <c r="DO201" s="113"/>
      <c r="DP201" s="113"/>
      <c r="DQ201" s="113"/>
      <c r="DR201" s="113"/>
      <c r="DS201" s="113"/>
      <c r="DT201" s="113"/>
      <c r="DU201" s="113"/>
      <c r="DV201" s="113"/>
      <c r="DW201" s="113"/>
      <c r="DX201" s="113"/>
      <c r="DY201" s="113"/>
      <c r="DZ201" s="113"/>
      <c r="EA201" s="113"/>
      <c r="EB201" s="113"/>
      <c r="EC201" s="113"/>
      <c r="ED201" s="113"/>
      <c r="EE201" s="113"/>
      <c r="EF201" s="113"/>
      <c r="EG201" s="113"/>
      <c r="EH201" s="113"/>
      <c r="EI201" s="113"/>
      <c r="EJ201" s="113"/>
      <c r="EK201" s="113"/>
      <c r="EL201" s="113"/>
      <c r="EM201" s="113"/>
      <c r="EN201" s="113"/>
      <c r="EO201" s="113"/>
      <c r="EP201" s="113"/>
      <c r="EQ201" s="113"/>
      <c r="ER201" s="113"/>
      <c r="ES201" s="113"/>
      <c r="ET201" s="113"/>
      <c r="EU201" s="113"/>
      <c r="EV201" s="113"/>
      <c r="EW201" s="113"/>
      <c r="EX201" s="113"/>
      <c r="EY201" s="113"/>
      <c r="EZ201" s="113"/>
      <c r="FA201" s="113"/>
      <c r="FB201" s="113"/>
      <c r="FC201" s="113"/>
      <c r="FD201" s="113"/>
      <c r="FE201" s="113"/>
      <c r="FF201" s="113"/>
      <c r="FG201" s="113"/>
      <c r="FH201" s="113"/>
      <c r="FI201" s="113"/>
      <c r="FJ201" s="113"/>
      <c r="FK201" s="113"/>
      <c r="FL201" s="113"/>
      <c r="FM201" s="113"/>
      <c r="FN201" s="113"/>
      <c r="FO201" s="113"/>
      <c r="FP201" s="113"/>
      <c r="FQ201" s="113"/>
      <c r="FR201" s="113"/>
      <c r="FS201" s="113"/>
      <c r="FT201" s="113"/>
      <c r="FU201" s="113"/>
      <c r="FV201" s="113"/>
      <c r="FW201" s="113"/>
      <c r="FX201" s="113"/>
      <c r="FY201" s="113"/>
      <c r="FZ201" s="113"/>
      <c r="GA201" s="113"/>
      <c r="GB201" s="113"/>
      <c r="GC201" s="113"/>
      <c r="GD201" s="113"/>
      <c r="GE201" s="113"/>
      <c r="GF201" s="113"/>
      <c r="GG201" s="113"/>
      <c r="GH201" s="113"/>
      <c r="GI201" s="113"/>
      <c r="GJ201" s="113"/>
      <c r="GK201" s="113"/>
      <c r="GL201" s="113"/>
      <c r="GM201" s="113"/>
      <c r="GN201" s="113"/>
      <c r="GO201" s="113"/>
      <c r="GP201" s="113"/>
      <c r="GQ201" s="113"/>
      <c r="GR201" s="113"/>
      <c r="GS201" s="113"/>
      <c r="GT201" s="113"/>
      <c r="GU201" s="113"/>
      <c r="GV201" s="113"/>
      <c r="GW201" s="113"/>
      <c r="GX201" s="113"/>
      <c r="GY201" s="113"/>
      <c r="GZ201" s="113"/>
      <c r="HA201" s="113"/>
      <c r="HB201" s="113"/>
      <c r="HC201" s="113"/>
      <c r="HD201" s="113"/>
      <c r="HE201" s="113"/>
      <c r="HF201" s="113"/>
      <c r="HG201" s="113"/>
      <c r="HH201" s="113"/>
      <c r="HI201" s="113"/>
      <c r="HJ201" s="113"/>
      <c r="HK201" s="113"/>
      <c r="HL201" s="113"/>
      <c r="HM201" s="113"/>
      <c r="HN201" s="113"/>
      <c r="HO201" s="113"/>
      <c r="HP201" s="113"/>
      <c r="HQ201" s="113"/>
      <c r="HR201" s="113"/>
      <c r="HS201" s="113"/>
      <c r="HT201" s="113"/>
      <c r="HU201" s="113"/>
      <c r="HV201" s="113"/>
      <c r="HW201" s="113"/>
      <c r="HX201" s="113"/>
      <c r="HY201" s="113"/>
      <c r="HZ201" s="113"/>
      <c r="IA201" s="113"/>
      <c r="IB201" s="113"/>
      <c r="IC201" s="113"/>
      <c r="ID201" s="113"/>
      <c r="IE201" s="113"/>
      <c r="IF201" s="113"/>
      <c r="IG201" s="113"/>
      <c r="IH201" s="113"/>
      <c r="II201" s="113"/>
      <c r="IJ201" s="113"/>
      <c r="IK201" s="113"/>
      <c r="IL201" s="113"/>
      <c r="IM201" s="113"/>
      <c r="IN201" s="113"/>
      <c r="IO201" s="113"/>
      <c r="IP201" s="113"/>
      <c r="IQ201" s="113"/>
      <c r="IR201" s="113"/>
      <c r="IS201" s="113"/>
      <c r="IT201" s="113"/>
      <c r="IU201" s="113"/>
      <c r="IV201" s="113"/>
      <c r="IW201" s="113"/>
      <c r="IX201" s="113"/>
      <c r="IY201" s="113"/>
      <c r="IZ201" s="113"/>
      <c r="JA201" s="113"/>
      <c r="JB201" s="113"/>
      <c r="JC201" s="113"/>
      <c r="JD201" s="113"/>
      <c r="JE201" s="113"/>
      <c r="JF201" s="113"/>
      <c r="JG201" s="113"/>
      <c r="JH201" s="113"/>
      <c r="JI201" s="113"/>
      <c r="JJ201" s="113"/>
      <c r="JK201" s="113"/>
      <c r="JL201" s="113"/>
      <c r="JM201" s="113"/>
      <c r="JN201" s="113"/>
      <c r="JO201" s="113"/>
      <c r="JP201" s="113"/>
      <c r="JQ201" s="113"/>
      <c r="JR201" s="113"/>
      <c r="JS201" s="113"/>
      <c r="JT201" s="113"/>
      <c r="JU201" s="113"/>
      <c r="JV201" s="113"/>
      <c r="JW201" s="113"/>
      <c r="JX201" s="113"/>
      <c r="JY201" s="113"/>
      <c r="JZ201" s="113"/>
      <c r="KA201" s="113"/>
      <c r="KB201" s="113"/>
      <c r="KC201" s="113"/>
      <c r="KD201" s="113"/>
      <c r="KE201" s="113"/>
      <c r="KF201" s="113"/>
      <c r="KG201" s="113"/>
      <c r="KH201" s="113"/>
      <c r="KI201" s="113"/>
      <c r="KJ201" s="113"/>
      <c r="KK201" s="113"/>
      <c r="KL201" s="113"/>
      <c r="KM201" s="113"/>
      <c r="KN201" s="113"/>
      <c r="KO201" s="113"/>
      <c r="KP201" s="113"/>
      <c r="KQ201" s="113"/>
      <c r="KR201" s="113"/>
      <c r="KS201" s="113"/>
      <c r="KT201" s="113"/>
      <c r="KU201" s="113"/>
      <c r="KV201" s="113"/>
      <c r="KW201" s="113"/>
      <c r="KX201" s="113"/>
      <c r="KY201" s="113"/>
      <c r="KZ201" s="113"/>
      <c r="LA201" s="113"/>
      <c r="LB201" s="113"/>
      <c r="LC201" s="113"/>
      <c r="LD201" s="113"/>
      <c r="LE201" s="113"/>
      <c r="LF201" s="113"/>
      <c r="LG201" s="113"/>
      <c r="LH201" s="113"/>
      <c r="LI201" s="113"/>
      <c r="LJ201" s="113"/>
      <c r="LK201" s="113"/>
      <c r="LL201" s="113"/>
      <c r="LM201" s="113"/>
      <c r="LN201" s="113"/>
      <c r="LO201" s="113"/>
      <c r="LP201" s="113"/>
      <c r="LQ201" s="113"/>
      <c r="LR201" s="113"/>
      <c r="LS201" s="113"/>
      <c r="LT201" s="113"/>
      <c r="LU201" s="113"/>
      <c r="LV201" s="113"/>
      <c r="LW201" s="113"/>
      <c r="LX201" s="113"/>
      <c r="LY201" s="113"/>
      <c r="LZ201" s="113"/>
      <c r="MA201" s="113"/>
      <c r="MB201" s="113"/>
      <c r="MC201" s="113"/>
      <c r="MD201" s="113"/>
      <c r="ME201" s="113"/>
      <c r="MF201" s="113"/>
      <c r="MG201" s="113"/>
      <c r="MH201" s="113"/>
      <c r="MI201" s="113"/>
      <c r="MJ201" s="113"/>
      <c r="MK201" s="113"/>
      <c r="ML201" s="113"/>
      <c r="MM201" s="113"/>
      <c r="MN201" s="113"/>
      <c r="MO201" s="113"/>
      <c r="MP201" s="113"/>
      <c r="MQ201" s="113"/>
      <c r="MR201" s="113"/>
      <c r="MS201" s="113"/>
      <c r="MT201" s="113"/>
      <c r="MU201" s="113"/>
      <c r="MV201" s="113"/>
      <c r="MW201" s="113"/>
      <c r="MX201" s="113"/>
      <c r="MY201" s="113"/>
      <c r="MZ201" s="113"/>
      <c r="NA201" s="113"/>
      <c r="NB201" s="113"/>
      <c r="NC201" s="113"/>
      <c r="ND201" s="113"/>
      <c r="NE201" s="113"/>
      <c r="NF201" s="113"/>
      <c r="NG201" s="113"/>
      <c r="NH201" s="113"/>
      <c r="NI201" s="113"/>
      <c r="NJ201" s="113"/>
      <c r="NK201" s="113"/>
      <c r="NL201" s="113"/>
      <c r="NM201" s="113"/>
      <c r="NN201" s="113"/>
      <c r="NO201" s="113"/>
      <c r="NP201" s="113"/>
      <c r="NQ201" s="113"/>
      <c r="NR201" s="113"/>
      <c r="NS201" s="113"/>
      <c r="NT201" s="113"/>
      <c r="NU201" s="113"/>
      <c r="NV201" s="113"/>
      <c r="NW201" s="113"/>
      <c r="NX201" s="113"/>
      <c r="NY201" s="113"/>
      <c r="NZ201" s="113"/>
      <c r="OA201" s="113"/>
      <c r="OB201" s="113"/>
      <c r="OC201" s="113"/>
      <c r="OD201" s="113"/>
      <c r="OE201" s="113"/>
      <c r="OF201" s="113"/>
      <c r="OG201" s="113"/>
      <c r="OH201" s="113"/>
      <c r="OI201" s="113"/>
      <c r="OJ201" s="113"/>
      <c r="OK201" s="113"/>
      <c r="OL201" s="113"/>
      <c r="OM201" s="113"/>
      <c r="ON201" s="113"/>
      <c r="OO201" s="113"/>
      <c r="OP201" s="113"/>
      <c r="OQ201" s="113"/>
      <c r="OR201" s="113"/>
      <c r="OS201" s="113"/>
      <c r="OT201" s="113"/>
      <c r="OU201" s="113"/>
      <c r="OV201" s="113"/>
      <c r="OW201" s="113"/>
      <c r="OX201" s="113"/>
      <c r="OY201" s="113"/>
      <c r="OZ201" s="113"/>
      <c r="PA201" s="113"/>
      <c r="PB201" s="113"/>
      <c r="PC201" s="113"/>
      <c r="PD201" s="113"/>
      <c r="PE201" s="113"/>
      <c r="PF201" s="113"/>
      <c r="PG201" s="113"/>
      <c r="PH201" s="113"/>
      <c r="PI201" s="113"/>
      <c r="PJ201" s="113"/>
      <c r="PK201" s="113"/>
      <c r="PL201" s="113"/>
      <c r="PM201" s="113"/>
    </row>
    <row r="202" spans="1:429">
      <c r="B202" s="105"/>
      <c r="C202" s="71"/>
      <c r="D202" s="71"/>
      <c r="E202" s="72" t="s">
        <v>263</v>
      </c>
      <c r="F202" s="73" t="s">
        <v>819</v>
      </c>
      <c r="G202" s="41"/>
      <c r="H202" s="42"/>
      <c r="I202" s="74"/>
      <c r="J202" s="41"/>
      <c r="K202" s="42"/>
      <c r="L202" s="74"/>
      <c r="M202" s="42">
        <v>0.1</v>
      </c>
      <c r="N202" s="42">
        <v>0.1</v>
      </c>
      <c r="O202" s="42">
        <v>0.1</v>
      </c>
      <c r="P202" s="35">
        <v>2020</v>
      </c>
      <c r="Q202" s="36" t="s">
        <v>27</v>
      </c>
      <c r="R202" s="73" t="s">
        <v>24</v>
      </c>
    </row>
    <row r="203" spans="1:429">
      <c r="B203" s="105"/>
      <c r="C203" s="71"/>
      <c r="D203" s="71"/>
      <c r="E203" s="72" t="s">
        <v>263</v>
      </c>
      <c r="F203" s="73" t="s">
        <v>819</v>
      </c>
      <c r="G203" s="41">
        <v>3.2</v>
      </c>
      <c r="H203" s="42">
        <v>4.0999999999999996</v>
      </c>
      <c r="I203" s="74">
        <v>2.2000000000000002</v>
      </c>
      <c r="J203" s="41">
        <v>1</v>
      </c>
      <c r="K203" s="42">
        <v>1</v>
      </c>
      <c r="L203" s="74">
        <v>1</v>
      </c>
      <c r="M203" s="42">
        <v>0.1</v>
      </c>
      <c r="N203" s="42">
        <v>0.2</v>
      </c>
      <c r="O203" s="42">
        <v>0</v>
      </c>
      <c r="P203" s="35">
        <v>2019</v>
      </c>
      <c r="Q203" s="36" t="s">
        <v>27</v>
      </c>
      <c r="R203" s="73" t="s">
        <v>24</v>
      </c>
    </row>
    <row r="204" spans="1:429">
      <c r="B204" s="105"/>
      <c r="C204" s="71"/>
      <c r="D204" s="71"/>
      <c r="E204" s="72" t="s">
        <v>263</v>
      </c>
      <c r="F204" s="73" t="s">
        <v>819</v>
      </c>
      <c r="G204" s="41">
        <v>4.5</v>
      </c>
      <c r="H204" s="42">
        <v>6.4</v>
      </c>
      <c r="I204" s="74">
        <v>2.7</v>
      </c>
      <c r="J204" s="41">
        <v>1.2</v>
      </c>
      <c r="K204" s="42">
        <v>1.7000000000000002</v>
      </c>
      <c r="L204" s="74">
        <v>0.70000000000000007</v>
      </c>
      <c r="M204" s="42">
        <v>0.4</v>
      </c>
      <c r="N204" s="42">
        <v>0.2</v>
      </c>
      <c r="O204" s="42">
        <v>0.5</v>
      </c>
      <c r="P204" s="35">
        <v>2015</v>
      </c>
      <c r="Q204" s="36" t="s">
        <v>27</v>
      </c>
      <c r="R204" s="73" t="s">
        <v>24</v>
      </c>
    </row>
    <row r="205" spans="1:429" s="48" customFormat="1">
      <c r="A205" s="113"/>
      <c r="B205" s="105"/>
      <c r="C205" s="71"/>
      <c r="D205" s="71"/>
      <c r="E205" s="72" t="s">
        <v>269</v>
      </c>
      <c r="F205" s="73" t="s">
        <v>828</v>
      </c>
      <c r="G205" s="41">
        <v>0.7</v>
      </c>
      <c r="H205" s="42">
        <v>1</v>
      </c>
      <c r="I205" s="74">
        <v>0.3</v>
      </c>
      <c r="J205" s="41">
        <v>0.3</v>
      </c>
      <c r="K205" s="42">
        <v>0.4</v>
      </c>
      <c r="L205" s="74">
        <v>0.1</v>
      </c>
      <c r="M205" s="42"/>
      <c r="N205" s="42"/>
      <c r="O205" s="42"/>
      <c r="P205" s="35">
        <v>2023</v>
      </c>
      <c r="Q205" s="36" t="s">
        <v>144</v>
      </c>
      <c r="R205" s="73" t="s">
        <v>24</v>
      </c>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c r="AO205" s="113"/>
      <c r="AP205" s="113"/>
      <c r="AQ205" s="113"/>
      <c r="AR205" s="113"/>
      <c r="AS205" s="113"/>
      <c r="AT205" s="113"/>
      <c r="AU205" s="113"/>
      <c r="AV205" s="113"/>
      <c r="AW205" s="113"/>
      <c r="AX205" s="113"/>
      <c r="AY205" s="113"/>
      <c r="AZ205" s="113"/>
      <c r="BA205" s="113"/>
      <c r="BB205" s="113"/>
      <c r="BC205" s="113"/>
      <c r="BD205" s="113"/>
      <c r="BE205" s="113"/>
      <c r="BF205" s="113"/>
      <c r="BG205" s="113"/>
      <c r="BH205" s="113"/>
      <c r="BI205" s="113"/>
      <c r="BJ205" s="113"/>
      <c r="BK205" s="113"/>
      <c r="BL205" s="113"/>
      <c r="BM205" s="113"/>
      <c r="BN205" s="113"/>
      <c r="BO205" s="113"/>
      <c r="BP205" s="113"/>
      <c r="BQ205" s="113"/>
      <c r="BR205" s="113"/>
      <c r="BS205" s="113"/>
      <c r="BT205" s="113"/>
      <c r="BU205" s="113"/>
      <c r="BV205" s="113"/>
      <c r="BW205" s="113"/>
      <c r="BX205" s="113"/>
      <c r="BY205" s="113"/>
      <c r="BZ205" s="113"/>
      <c r="CA205" s="113"/>
      <c r="CB205" s="113"/>
      <c r="CC205" s="113"/>
      <c r="CD205" s="113"/>
      <c r="CE205" s="113"/>
      <c r="CF205" s="113"/>
      <c r="CG205" s="113"/>
      <c r="CH205" s="113"/>
      <c r="CI205" s="113"/>
      <c r="CJ205" s="113"/>
      <c r="CK205" s="113"/>
      <c r="CL205" s="113"/>
      <c r="CM205" s="113"/>
      <c r="CN205" s="113"/>
      <c r="CO205" s="113"/>
      <c r="CP205" s="113"/>
      <c r="CQ205" s="113"/>
      <c r="CR205" s="113"/>
      <c r="CS205" s="113"/>
      <c r="CT205" s="113"/>
      <c r="CU205" s="113"/>
      <c r="CV205" s="113"/>
      <c r="CW205" s="113"/>
      <c r="CX205" s="113"/>
      <c r="CY205" s="113"/>
      <c r="CZ205" s="113"/>
      <c r="DA205" s="113"/>
      <c r="DB205" s="113"/>
      <c r="DC205" s="113"/>
      <c r="DD205" s="113"/>
      <c r="DE205" s="113"/>
      <c r="DF205" s="113"/>
      <c r="DG205" s="113"/>
      <c r="DH205" s="113"/>
      <c r="DI205" s="113"/>
      <c r="DJ205" s="113"/>
      <c r="DK205" s="113"/>
      <c r="DL205" s="113"/>
      <c r="DM205" s="113"/>
      <c r="DN205" s="113"/>
      <c r="DO205" s="113"/>
      <c r="DP205" s="113"/>
      <c r="DQ205" s="113"/>
      <c r="DR205" s="113"/>
      <c r="DS205" s="113"/>
      <c r="DT205" s="113"/>
      <c r="DU205" s="113"/>
      <c r="DV205" s="113"/>
      <c r="DW205" s="113"/>
      <c r="DX205" s="113"/>
      <c r="DY205" s="113"/>
      <c r="DZ205" s="113"/>
      <c r="EA205" s="113"/>
      <c r="EB205" s="113"/>
      <c r="EC205" s="113"/>
      <c r="ED205" s="113"/>
      <c r="EE205" s="113"/>
      <c r="EF205" s="113"/>
      <c r="EG205" s="113"/>
      <c r="EH205" s="113"/>
      <c r="EI205" s="113"/>
      <c r="EJ205" s="113"/>
      <c r="EK205" s="113"/>
      <c r="EL205" s="113"/>
      <c r="EM205" s="113"/>
      <c r="EN205" s="113"/>
      <c r="EO205" s="113"/>
      <c r="EP205" s="113"/>
      <c r="EQ205" s="113"/>
      <c r="ER205" s="113"/>
      <c r="ES205" s="113"/>
      <c r="ET205" s="113"/>
      <c r="EU205" s="113"/>
      <c r="EV205" s="113"/>
      <c r="EW205" s="113"/>
      <c r="EX205" s="113"/>
      <c r="EY205" s="113"/>
      <c r="EZ205" s="113"/>
      <c r="FA205" s="113"/>
      <c r="FB205" s="113"/>
      <c r="FC205" s="113"/>
      <c r="FD205" s="113"/>
      <c r="FE205" s="113"/>
      <c r="FF205" s="113"/>
      <c r="FG205" s="113"/>
      <c r="FH205" s="113"/>
      <c r="FI205" s="113"/>
      <c r="FJ205" s="113"/>
      <c r="FK205" s="113"/>
      <c r="FL205" s="113"/>
      <c r="FM205" s="113"/>
      <c r="FN205" s="113"/>
      <c r="FO205" s="113"/>
      <c r="FP205" s="113"/>
      <c r="FQ205" s="113"/>
      <c r="FR205" s="113"/>
      <c r="FS205" s="113"/>
      <c r="FT205" s="113"/>
      <c r="FU205" s="113"/>
      <c r="FV205" s="113"/>
      <c r="FW205" s="113"/>
      <c r="FX205" s="113"/>
      <c r="FY205" s="113"/>
      <c r="FZ205" s="113"/>
      <c r="GA205" s="113"/>
      <c r="GB205" s="113"/>
      <c r="GC205" s="113"/>
      <c r="GD205" s="113"/>
      <c r="GE205" s="113"/>
      <c r="GF205" s="113"/>
      <c r="GG205" s="113"/>
      <c r="GH205" s="113"/>
      <c r="GI205" s="113"/>
      <c r="GJ205" s="113"/>
      <c r="GK205" s="113"/>
      <c r="GL205" s="113"/>
      <c r="GM205" s="113"/>
      <c r="GN205" s="113"/>
      <c r="GO205" s="113"/>
      <c r="GP205" s="113"/>
      <c r="GQ205" s="113"/>
      <c r="GR205" s="113"/>
      <c r="GS205" s="113"/>
      <c r="GT205" s="113"/>
      <c r="GU205" s="113"/>
      <c r="GV205" s="113"/>
      <c r="GW205" s="113"/>
      <c r="GX205" s="113"/>
      <c r="GY205" s="113"/>
      <c r="GZ205" s="113"/>
      <c r="HA205" s="113"/>
      <c r="HB205" s="113"/>
      <c r="HC205" s="113"/>
      <c r="HD205" s="113"/>
      <c r="HE205" s="113"/>
      <c r="HF205" s="113"/>
      <c r="HG205" s="113"/>
      <c r="HH205" s="113"/>
      <c r="HI205" s="113"/>
      <c r="HJ205" s="113"/>
      <c r="HK205" s="113"/>
      <c r="HL205" s="113"/>
      <c r="HM205" s="113"/>
      <c r="HN205" s="113"/>
      <c r="HO205" s="113"/>
      <c r="HP205" s="113"/>
      <c r="HQ205" s="113"/>
      <c r="HR205" s="113"/>
      <c r="HS205" s="113"/>
      <c r="HT205" s="113"/>
      <c r="HU205" s="113"/>
      <c r="HV205" s="113"/>
      <c r="HW205" s="113"/>
      <c r="HX205" s="113"/>
      <c r="HY205" s="113"/>
      <c r="HZ205" s="113"/>
      <c r="IA205" s="113"/>
      <c r="IB205" s="113"/>
      <c r="IC205" s="113"/>
      <c r="ID205" s="113"/>
      <c r="IE205" s="113"/>
      <c r="IF205" s="113"/>
      <c r="IG205" s="113"/>
      <c r="IH205" s="113"/>
      <c r="II205" s="113"/>
      <c r="IJ205" s="113"/>
      <c r="IK205" s="113"/>
      <c r="IL205" s="113"/>
      <c r="IM205" s="113"/>
      <c r="IN205" s="113"/>
      <c r="IO205" s="113"/>
      <c r="IP205" s="113"/>
      <c r="IQ205" s="113"/>
      <c r="IR205" s="113"/>
      <c r="IS205" s="113"/>
      <c r="IT205" s="113"/>
      <c r="IU205" s="113"/>
      <c r="IV205" s="113"/>
      <c r="IW205" s="113"/>
      <c r="IX205" s="113"/>
      <c r="IY205" s="113"/>
      <c r="IZ205" s="113"/>
      <c r="JA205" s="113"/>
      <c r="JB205" s="113"/>
      <c r="JC205" s="113"/>
      <c r="JD205" s="113"/>
      <c r="JE205" s="113"/>
      <c r="JF205" s="113"/>
      <c r="JG205" s="113"/>
      <c r="JH205" s="113"/>
      <c r="JI205" s="113"/>
      <c r="JJ205" s="113"/>
      <c r="JK205" s="113"/>
      <c r="JL205" s="113"/>
      <c r="JM205" s="113"/>
      <c r="JN205" s="113"/>
      <c r="JO205" s="113"/>
      <c r="JP205" s="113"/>
      <c r="JQ205" s="113"/>
      <c r="JR205" s="113"/>
      <c r="JS205" s="113"/>
      <c r="JT205" s="113"/>
      <c r="JU205" s="113"/>
      <c r="JV205" s="113"/>
      <c r="JW205" s="113"/>
      <c r="JX205" s="113"/>
      <c r="JY205" s="113"/>
      <c r="JZ205" s="113"/>
      <c r="KA205" s="113"/>
      <c r="KB205" s="113"/>
      <c r="KC205" s="113"/>
      <c r="KD205" s="113"/>
      <c r="KE205" s="113"/>
      <c r="KF205" s="113"/>
      <c r="KG205" s="113"/>
      <c r="KH205" s="113"/>
      <c r="KI205" s="113"/>
      <c r="KJ205" s="113"/>
      <c r="KK205" s="113"/>
      <c r="KL205" s="113"/>
      <c r="KM205" s="113"/>
      <c r="KN205" s="113"/>
      <c r="KO205" s="113"/>
      <c r="KP205" s="113"/>
      <c r="KQ205" s="113"/>
      <c r="KR205" s="113"/>
      <c r="KS205" s="113"/>
      <c r="KT205" s="113"/>
      <c r="KU205" s="113"/>
      <c r="KV205" s="113"/>
      <c r="KW205" s="113"/>
      <c r="KX205" s="113"/>
      <c r="KY205" s="113"/>
      <c r="KZ205" s="113"/>
      <c r="LA205" s="113"/>
      <c r="LB205" s="113"/>
      <c r="LC205" s="113"/>
      <c r="LD205" s="113"/>
      <c r="LE205" s="113"/>
      <c r="LF205" s="113"/>
      <c r="LG205" s="113"/>
      <c r="LH205" s="113"/>
      <c r="LI205" s="113"/>
      <c r="LJ205" s="113"/>
      <c r="LK205" s="113"/>
      <c r="LL205" s="113"/>
      <c r="LM205" s="113"/>
      <c r="LN205" s="113"/>
      <c r="LO205" s="113"/>
      <c r="LP205" s="113"/>
      <c r="LQ205" s="113"/>
      <c r="LR205" s="113"/>
      <c r="LS205" s="113"/>
      <c r="LT205" s="113"/>
      <c r="LU205" s="113"/>
      <c r="LV205" s="113"/>
      <c r="LW205" s="113"/>
      <c r="LX205" s="113"/>
      <c r="LY205" s="113"/>
      <c r="LZ205" s="113"/>
      <c r="MA205" s="113"/>
      <c r="MB205" s="113"/>
      <c r="MC205" s="113"/>
      <c r="MD205" s="113"/>
      <c r="ME205" s="113"/>
      <c r="MF205" s="113"/>
      <c r="MG205" s="113"/>
      <c r="MH205" s="113"/>
      <c r="MI205" s="113"/>
      <c r="MJ205" s="113"/>
      <c r="MK205" s="113"/>
      <c r="ML205" s="113"/>
      <c r="MM205" s="113"/>
      <c r="MN205" s="113"/>
      <c r="MO205" s="113"/>
      <c r="MP205" s="113"/>
      <c r="MQ205" s="113"/>
      <c r="MR205" s="113"/>
      <c r="MS205" s="113"/>
      <c r="MT205" s="113"/>
      <c r="MU205" s="113"/>
      <c r="MV205" s="113"/>
      <c r="MW205" s="113"/>
      <c r="MX205" s="113"/>
      <c r="MY205" s="113"/>
      <c r="MZ205" s="113"/>
      <c r="NA205" s="113"/>
      <c r="NB205" s="113"/>
      <c r="NC205" s="113"/>
      <c r="ND205" s="113"/>
      <c r="NE205" s="113"/>
      <c r="NF205" s="113"/>
      <c r="NG205" s="113"/>
      <c r="NH205" s="113"/>
      <c r="NI205" s="113"/>
      <c r="NJ205" s="113"/>
      <c r="NK205" s="113"/>
      <c r="NL205" s="113"/>
      <c r="NM205" s="113"/>
      <c r="NN205" s="113"/>
      <c r="NO205" s="113"/>
      <c r="NP205" s="113"/>
      <c r="NQ205" s="113"/>
      <c r="NR205" s="113"/>
      <c r="NS205" s="113"/>
      <c r="NT205" s="113"/>
      <c r="NU205" s="113"/>
      <c r="NV205" s="113"/>
      <c r="NW205" s="113"/>
      <c r="NX205" s="113"/>
      <c r="NY205" s="113"/>
      <c r="NZ205" s="113"/>
      <c r="OA205" s="113"/>
      <c r="OB205" s="113"/>
      <c r="OC205" s="113"/>
      <c r="OD205" s="113"/>
      <c r="OE205" s="113"/>
      <c r="OF205" s="113"/>
      <c r="OG205" s="113"/>
      <c r="OH205" s="113"/>
      <c r="OI205" s="113"/>
      <c r="OJ205" s="113"/>
      <c r="OK205" s="113"/>
      <c r="OL205" s="113"/>
      <c r="OM205" s="113"/>
      <c r="ON205" s="113"/>
      <c r="OO205" s="113"/>
      <c r="OP205" s="113"/>
      <c r="OQ205" s="113"/>
      <c r="OR205" s="113"/>
      <c r="OS205" s="113"/>
      <c r="OT205" s="113"/>
      <c r="OU205" s="113"/>
      <c r="OV205" s="113"/>
      <c r="OW205" s="113"/>
      <c r="OX205" s="113"/>
      <c r="OY205" s="113"/>
      <c r="OZ205" s="113"/>
      <c r="PA205" s="113"/>
      <c r="PB205" s="113"/>
      <c r="PC205" s="113"/>
      <c r="PD205" s="113"/>
      <c r="PE205" s="113"/>
      <c r="PF205" s="113"/>
      <c r="PG205" s="113"/>
      <c r="PH205" s="113"/>
      <c r="PI205" s="113"/>
      <c r="PJ205" s="113"/>
      <c r="PK205" s="113"/>
      <c r="PL205" s="113"/>
      <c r="PM205" s="113"/>
    </row>
    <row r="206" spans="1:429">
      <c r="B206" s="105"/>
      <c r="C206" s="71"/>
      <c r="D206" s="71"/>
      <c r="E206" s="72" t="s">
        <v>268</v>
      </c>
      <c r="F206" s="73" t="s">
        <v>829</v>
      </c>
      <c r="G206" s="41">
        <v>0.1</v>
      </c>
      <c r="H206" s="42"/>
      <c r="I206" s="74"/>
      <c r="J206" s="41"/>
      <c r="K206" s="42"/>
      <c r="L206" s="74"/>
      <c r="M206" s="42"/>
      <c r="N206" s="42"/>
      <c r="O206" s="42"/>
      <c r="P206" s="35">
        <v>2010</v>
      </c>
      <c r="Q206" s="36" t="s">
        <v>830</v>
      </c>
      <c r="R206" s="73" t="s">
        <v>24</v>
      </c>
    </row>
    <row r="207" spans="1:429" s="48" customFormat="1">
      <c r="A207" s="113"/>
      <c r="B207" s="105"/>
      <c r="C207" s="71"/>
      <c r="D207" s="71"/>
      <c r="E207" s="72" t="s">
        <v>270</v>
      </c>
      <c r="F207" s="73" t="s">
        <v>819</v>
      </c>
      <c r="G207" s="41">
        <v>4</v>
      </c>
      <c r="H207" s="42">
        <v>4.5999999999999996</v>
      </c>
      <c r="I207" s="74">
        <v>3.3</v>
      </c>
      <c r="J207" s="41">
        <v>1.3</v>
      </c>
      <c r="K207" s="42">
        <v>1.5</v>
      </c>
      <c r="L207" s="74">
        <v>1.2</v>
      </c>
      <c r="M207" s="42">
        <v>0.2</v>
      </c>
      <c r="N207" s="42">
        <v>0.2</v>
      </c>
      <c r="O207" s="42">
        <v>0.2</v>
      </c>
      <c r="P207" s="35">
        <v>2021</v>
      </c>
      <c r="Q207" s="36" t="s">
        <v>144</v>
      </c>
      <c r="R207" s="73" t="s">
        <v>24</v>
      </c>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c r="AO207" s="113"/>
      <c r="AP207" s="113"/>
      <c r="AQ207" s="113"/>
      <c r="AR207" s="113"/>
      <c r="AS207" s="113"/>
      <c r="AT207" s="113"/>
      <c r="AU207" s="113"/>
      <c r="AV207" s="113"/>
      <c r="AW207" s="113"/>
      <c r="AX207" s="113"/>
      <c r="AY207" s="113"/>
      <c r="AZ207" s="113"/>
      <c r="BA207" s="113"/>
      <c r="BB207" s="113"/>
      <c r="BC207" s="113"/>
      <c r="BD207" s="113"/>
      <c r="BE207" s="113"/>
      <c r="BF207" s="113"/>
      <c r="BG207" s="113"/>
      <c r="BH207" s="113"/>
      <c r="BI207" s="113"/>
      <c r="BJ207" s="113"/>
      <c r="BK207" s="113"/>
      <c r="BL207" s="113"/>
      <c r="BM207" s="113"/>
      <c r="BN207" s="113"/>
      <c r="BO207" s="113"/>
      <c r="BP207" s="113"/>
      <c r="BQ207" s="113"/>
      <c r="BR207" s="113"/>
      <c r="BS207" s="113"/>
      <c r="BT207" s="113"/>
      <c r="BU207" s="113"/>
      <c r="BV207" s="113"/>
      <c r="BW207" s="113"/>
      <c r="BX207" s="113"/>
      <c r="BY207" s="113"/>
      <c r="BZ207" s="113"/>
      <c r="CA207" s="113"/>
      <c r="CB207" s="113"/>
      <c r="CC207" s="113"/>
      <c r="CD207" s="113"/>
      <c r="CE207" s="113"/>
      <c r="CF207" s="113"/>
      <c r="CG207" s="113"/>
      <c r="CH207" s="113"/>
      <c r="CI207" s="113"/>
      <c r="CJ207" s="113"/>
      <c r="CK207" s="113"/>
      <c r="CL207" s="113"/>
      <c r="CM207" s="113"/>
      <c r="CN207" s="113"/>
      <c r="CO207" s="113"/>
      <c r="CP207" s="113"/>
      <c r="CQ207" s="113"/>
      <c r="CR207" s="113"/>
      <c r="CS207" s="113"/>
      <c r="CT207" s="113"/>
      <c r="CU207" s="113"/>
      <c r="CV207" s="113"/>
      <c r="CW207" s="113"/>
      <c r="CX207" s="113"/>
      <c r="CY207" s="113"/>
      <c r="CZ207" s="113"/>
      <c r="DA207" s="113"/>
      <c r="DB207" s="113"/>
      <c r="DC207" s="113"/>
      <c r="DD207" s="113"/>
      <c r="DE207" s="113"/>
      <c r="DF207" s="113"/>
      <c r="DG207" s="113"/>
      <c r="DH207" s="113"/>
      <c r="DI207" s="113"/>
      <c r="DJ207" s="113"/>
      <c r="DK207" s="113"/>
      <c r="DL207" s="113"/>
      <c r="DM207" s="113"/>
      <c r="DN207" s="113"/>
      <c r="DO207" s="113"/>
      <c r="DP207" s="113"/>
      <c r="DQ207" s="113"/>
      <c r="DR207" s="113"/>
      <c r="DS207" s="113"/>
      <c r="DT207" s="113"/>
      <c r="DU207" s="113"/>
      <c r="DV207" s="113"/>
      <c r="DW207" s="113"/>
      <c r="DX207" s="113"/>
      <c r="DY207" s="113"/>
      <c r="DZ207" s="113"/>
      <c r="EA207" s="113"/>
      <c r="EB207" s="113"/>
      <c r="EC207" s="113"/>
      <c r="ED207" s="113"/>
      <c r="EE207" s="113"/>
      <c r="EF207" s="113"/>
      <c r="EG207" s="113"/>
      <c r="EH207" s="113"/>
      <c r="EI207" s="113"/>
      <c r="EJ207" s="113"/>
      <c r="EK207" s="113"/>
      <c r="EL207" s="113"/>
      <c r="EM207" s="113"/>
      <c r="EN207" s="113"/>
      <c r="EO207" s="113"/>
      <c r="EP207" s="113"/>
      <c r="EQ207" s="113"/>
      <c r="ER207" s="113"/>
      <c r="ES207" s="113"/>
      <c r="ET207" s="113"/>
      <c r="EU207" s="113"/>
      <c r="EV207" s="113"/>
      <c r="EW207" s="113"/>
      <c r="EX207" s="113"/>
      <c r="EY207" s="113"/>
      <c r="EZ207" s="113"/>
      <c r="FA207" s="113"/>
      <c r="FB207" s="113"/>
      <c r="FC207" s="113"/>
      <c r="FD207" s="113"/>
      <c r="FE207" s="113"/>
      <c r="FF207" s="113"/>
      <c r="FG207" s="113"/>
      <c r="FH207" s="113"/>
      <c r="FI207" s="113"/>
      <c r="FJ207" s="113"/>
      <c r="FK207" s="113"/>
      <c r="FL207" s="113"/>
      <c r="FM207" s="113"/>
      <c r="FN207" s="113"/>
      <c r="FO207" s="113"/>
      <c r="FP207" s="113"/>
      <c r="FQ207" s="113"/>
      <c r="FR207" s="113"/>
      <c r="FS207" s="113"/>
      <c r="FT207" s="113"/>
      <c r="FU207" s="113"/>
      <c r="FV207" s="113"/>
      <c r="FW207" s="113"/>
      <c r="FX207" s="113"/>
      <c r="FY207" s="113"/>
      <c r="FZ207" s="113"/>
      <c r="GA207" s="113"/>
      <c r="GB207" s="113"/>
      <c r="GC207" s="113"/>
      <c r="GD207" s="113"/>
      <c r="GE207" s="113"/>
      <c r="GF207" s="113"/>
      <c r="GG207" s="113"/>
      <c r="GH207" s="113"/>
      <c r="GI207" s="113"/>
      <c r="GJ207" s="113"/>
      <c r="GK207" s="113"/>
      <c r="GL207" s="113"/>
      <c r="GM207" s="113"/>
      <c r="GN207" s="113"/>
      <c r="GO207" s="113"/>
      <c r="GP207" s="113"/>
      <c r="GQ207" s="113"/>
      <c r="GR207" s="113"/>
      <c r="GS207" s="113"/>
      <c r="GT207" s="113"/>
      <c r="GU207" s="113"/>
      <c r="GV207" s="113"/>
      <c r="GW207" s="113"/>
      <c r="GX207" s="113"/>
      <c r="GY207" s="113"/>
      <c r="GZ207" s="113"/>
      <c r="HA207" s="113"/>
      <c r="HB207" s="113"/>
      <c r="HC207" s="113"/>
      <c r="HD207" s="113"/>
      <c r="HE207" s="113"/>
      <c r="HF207" s="113"/>
      <c r="HG207" s="113"/>
      <c r="HH207" s="113"/>
      <c r="HI207" s="113"/>
      <c r="HJ207" s="113"/>
      <c r="HK207" s="113"/>
      <c r="HL207" s="113"/>
      <c r="HM207" s="113"/>
      <c r="HN207" s="113"/>
      <c r="HO207" s="113"/>
      <c r="HP207" s="113"/>
      <c r="HQ207" s="113"/>
      <c r="HR207" s="113"/>
      <c r="HS207" s="113"/>
      <c r="HT207" s="113"/>
      <c r="HU207" s="113"/>
      <c r="HV207" s="113"/>
      <c r="HW207" s="113"/>
      <c r="HX207" s="113"/>
      <c r="HY207" s="113"/>
      <c r="HZ207" s="113"/>
      <c r="IA207" s="113"/>
      <c r="IB207" s="113"/>
      <c r="IC207" s="113"/>
      <c r="ID207" s="113"/>
      <c r="IE207" s="113"/>
      <c r="IF207" s="113"/>
      <c r="IG207" s="113"/>
      <c r="IH207" s="113"/>
      <c r="II207" s="113"/>
      <c r="IJ207" s="113"/>
      <c r="IK207" s="113"/>
      <c r="IL207" s="113"/>
      <c r="IM207" s="113"/>
      <c r="IN207" s="113"/>
      <c r="IO207" s="113"/>
      <c r="IP207" s="113"/>
      <c r="IQ207" s="113"/>
      <c r="IR207" s="113"/>
      <c r="IS207" s="113"/>
      <c r="IT207" s="113"/>
      <c r="IU207" s="113"/>
      <c r="IV207" s="113"/>
      <c r="IW207" s="113"/>
      <c r="IX207" s="113"/>
      <c r="IY207" s="113"/>
      <c r="IZ207" s="113"/>
      <c r="JA207" s="113"/>
      <c r="JB207" s="113"/>
      <c r="JC207" s="113"/>
      <c r="JD207" s="113"/>
      <c r="JE207" s="113"/>
      <c r="JF207" s="113"/>
      <c r="JG207" s="113"/>
      <c r="JH207" s="113"/>
      <c r="JI207" s="113"/>
      <c r="JJ207" s="113"/>
      <c r="JK207" s="113"/>
      <c r="JL207" s="113"/>
      <c r="JM207" s="113"/>
      <c r="JN207" s="113"/>
      <c r="JO207" s="113"/>
      <c r="JP207" s="113"/>
      <c r="JQ207" s="113"/>
      <c r="JR207" s="113"/>
      <c r="JS207" s="113"/>
      <c r="JT207" s="113"/>
      <c r="JU207" s="113"/>
      <c r="JV207" s="113"/>
      <c r="JW207" s="113"/>
      <c r="JX207" s="113"/>
      <c r="JY207" s="113"/>
      <c r="JZ207" s="113"/>
      <c r="KA207" s="113"/>
      <c r="KB207" s="113"/>
      <c r="KC207" s="113"/>
      <c r="KD207" s="113"/>
      <c r="KE207" s="113"/>
      <c r="KF207" s="113"/>
      <c r="KG207" s="113"/>
      <c r="KH207" s="113"/>
      <c r="KI207" s="113"/>
      <c r="KJ207" s="113"/>
      <c r="KK207" s="113"/>
      <c r="KL207" s="113"/>
      <c r="KM207" s="113"/>
      <c r="KN207" s="113"/>
      <c r="KO207" s="113"/>
      <c r="KP207" s="113"/>
      <c r="KQ207" s="113"/>
      <c r="KR207" s="113"/>
      <c r="KS207" s="113"/>
      <c r="KT207" s="113"/>
      <c r="KU207" s="113"/>
      <c r="KV207" s="113"/>
      <c r="KW207" s="113"/>
      <c r="KX207" s="113"/>
      <c r="KY207" s="113"/>
      <c r="KZ207" s="113"/>
      <c r="LA207" s="113"/>
      <c r="LB207" s="113"/>
      <c r="LC207" s="113"/>
      <c r="LD207" s="113"/>
      <c r="LE207" s="113"/>
      <c r="LF207" s="113"/>
      <c r="LG207" s="113"/>
      <c r="LH207" s="113"/>
      <c r="LI207" s="113"/>
      <c r="LJ207" s="113"/>
      <c r="LK207" s="113"/>
      <c r="LL207" s="113"/>
      <c r="LM207" s="113"/>
      <c r="LN207" s="113"/>
      <c r="LO207" s="113"/>
      <c r="LP207" s="113"/>
      <c r="LQ207" s="113"/>
      <c r="LR207" s="113"/>
      <c r="LS207" s="113"/>
      <c r="LT207" s="113"/>
      <c r="LU207" s="113"/>
      <c r="LV207" s="113"/>
      <c r="LW207" s="113"/>
      <c r="LX207" s="113"/>
      <c r="LY207" s="113"/>
      <c r="LZ207" s="113"/>
      <c r="MA207" s="113"/>
      <c r="MB207" s="113"/>
      <c r="MC207" s="113"/>
      <c r="MD207" s="113"/>
      <c r="ME207" s="113"/>
      <c r="MF207" s="113"/>
      <c r="MG207" s="113"/>
      <c r="MH207" s="113"/>
      <c r="MI207" s="113"/>
      <c r="MJ207" s="113"/>
      <c r="MK207" s="113"/>
      <c r="ML207" s="113"/>
      <c r="MM207" s="113"/>
      <c r="MN207" s="113"/>
      <c r="MO207" s="113"/>
      <c r="MP207" s="113"/>
      <c r="MQ207" s="113"/>
      <c r="MR207" s="113"/>
      <c r="MS207" s="113"/>
      <c r="MT207" s="113"/>
      <c r="MU207" s="113"/>
      <c r="MV207" s="113"/>
      <c r="MW207" s="113"/>
      <c r="MX207" s="113"/>
      <c r="MY207" s="113"/>
      <c r="MZ207" s="113"/>
      <c r="NA207" s="113"/>
      <c r="NB207" s="113"/>
      <c r="NC207" s="113"/>
      <c r="ND207" s="113"/>
      <c r="NE207" s="113"/>
      <c r="NF207" s="113"/>
      <c r="NG207" s="113"/>
      <c r="NH207" s="113"/>
      <c r="NI207" s="113"/>
      <c r="NJ207" s="113"/>
      <c r="NK207" s="113"/>
      <c r="NL207" s="113"/>
      <c r="NM207" s="113"/>
      <c r="NN207" s="113"/>
      <c r="NO207" s="113"/>
      <c r="NP207" s="113"/>
      <c r="NQ207" s="113"/>
      <c r="NR207" s="113"/>
      <c r="NS207" s="113"/>
      <c r="NT207" s="113"/>
      <c r="NU207" s="113"/>
      <c r="NV207" s="113"/>
      <c r="NW207" s="113"/>
      <c r="NX207" s="113"/>
      <c r="NY207" s="113"/>
      <c r="NZ207" s="113"/>
      <c r="OA207" s="113"/>
      <c r="OB207" s="113"/>
      <c r="OC207" s="113"/>
      <c r="OD207" s="113"/>
      <c r="OE207" s="113"/>
      <c r="OF207" s="113"/>
      <c r="OG207" s="113"/>
      <c r="OH207" s="113"/>
      <c r="OI207" s="113"/>
      <c r="OJ207" s="113"/>
      <c r="OK207" s="113"/>
      <c r="OL207" s="113"/>
      <c r="OM207" s="113"/>
      <c r="ON207" s="113"/>
      <c r="OO207" s="113"/>
      <c r="OP207" s="113"/>
      <c r="OQ207" s="113"/>
      <c r="OR207" s="113"/>
      <c r="OS207" s="113"/>
      <c r="OT207" s="113"/>
      <c r="OU207" s="113"/>
      <c r="OV207" s="113"/>
      <c r="OW207" s="113"/>
      <c r="OX207" s="113"/>
      <c r="OY207" s="113"/>
      <c r="OZ207" s="113"/>
      <c r="PA207" s="113"/>
      <c r="PB207" s="113"/>
      <c r="PC207" s="113"/>
      <c r="PD207" s="113"/>
      <c r="PE207" s="113"/>
      <c r="PF207" s="113"/>
      <c r="PG207" s="113"/>
      <c r="PH207" s="113"/>
      <c r="PI207" s="113"/>
      <c r="PJ207" s="113"/>
      <c r="PK207" s="113"/>
      <c r="PL207" s="113"/>
      <c r="PM207" s="113"/>
    </row>
    <row r="208" spans="1:429">
      <c r="B208" s="105"/>
      <c r="C208" s="71"/>
      <c r="D208" s="71"/>
      <c r="E208" s="72" t="s">
        <v>270</v>
      </c>
      <c r="F208" s="73" t="s">
        <v>819</v>
      </c>
      <c r="G208" s="41">
        <v>2.59</v>
      </c>
      <c r="H208" s="42">
        <v>3.1199999999999997</v>
      </c>
      <c r="I208" s="74">
        <v>2.04</v>
      </c>
      <c r="J208" s="41">
        <v>0.92999999999999994</v>
      </c>
      <c r="K208" s="42">
        <v>1.0999999999999999</v>
      </c>
      <c r="L208" s="74">
        <v>0.8</v>
      </c>
      <c r="M208" s="42">
        <v>6.9999999999999993E-2</v>
      </c>
      <c r="N208" s="42">
        <v>0.12</v>
      </c>
      <c r="O208" s="42">
        <v>0.02</v>
      </c>
      <c r="P208" s="35">
        <v>2018</v>
      </c>
      <c r="Q208" s="36" t="s">
        <v>144</v>
      </c>
      <c r="R208" s="73" t="s">
        <v>24</v>
      </c>
    </row>
    <row r="209" spans="1:429">
      <c r="B209" s="105"/>
      <c r="C209" s="71"/>
      <c r="D209" s="71"/>
      <c r="E209" s="72" t="s">
        <v>270</v>
      </c>
      <c r="F209" s="73" t="s">
        <v>819</v>
      </c>
      <c r="G209" s="41">
        <v>2.8000000000000003</v>
      </c>
      <c r="H209" s="42">
        <v>3.1</v>
      </c>
      <c r="I209" s="74">
        <v>2.5</v>
      </c>
      <c r="J209" s="41">
        <v>0.89999999999999991</v>
      </c>
      <c r="K209" s="42">
        <v>0.89999999999999991</v>
      </c>
      <c r="L209" s="74">
        <v>0.89999999999999991</v>
      </c>
      <c r="M209" s="42">
        <v>0</v>
      </c>
      <c r="N209" s="42">
        <v>0</v>
      </c>
      <c r="O209" s="42">
        <v>0</v>
      </c>
      <c r="P209" s="35">
        <v>2015</v>
      </c>
      <c r="Q209" s="36" t="s">
        <v>144</v>
      </c>
      <c r="R209" s="73" t="s">
        <v>24</v>
      </c>
    </row>
    <row r="210" spans="1:429">
      <c r="B210" s="105"/>
      <c r="C210" s="71"/>
      <c r="D210" s="71"/>
      <c r="E210" s="72" t="s">
        <v>273</v>
      </c>
      <c r="F210" s="73" t="s">
        <v>831</v>
      </c>
      <c r="G210" s="41">
        <v>1.4</v>
      </c>
      <c r="H210" s="42">
        <v>2.5</v>
      </c>
      <c r="I210" s="74">
        <v>0.4</v>
      </c>
      <c r="J210" s="41">
        <v>0.7</v>
      </c>
      <c r="K210" s="42">
        <v>1.2</v>
      </c>
      <c r="L210" s="74">
        <v>0.3</v>
      </c>
      <c r="M210" s="42">
        <v>0.3</v>
      </c>
      <c r="N210" s="42">
        <v>0.5</v>
      </c>
      <c r="O210" s="42">
        <v>0.1</v>
      </c>
      <c r="P210" s="35">
        <v>2019</v>
      </c>
      <c r="Q210" s="36" t="s">
        <v>144</v>
      </c>
      <c r="R210" s="73" t="s">
        <v>24</v>
      </c>
    </row>
    <row r="211" spans="1:429">
      <c r="B211" s="105"/>
      <c r="C211" s="71"/>
      <c r="D211" s="71"/>
      <c r="E211" s="72" t="s">
        <v>273</v>
      </c>
      <c r="F211" s="73" t="s">
        <v>818</v>
      </c>
      <c r="G211" s="41">
        <v>0.67</v>
      </c>
      <c r="H211" s="42">
        <v>1.1499999999999999</v>
      </c>
      <c r="I211" s="74">
        <v>0.27</v>
      </c>
      <c r="J211" s="41">
        <v>0.15</v>
      </c>
      <c r="K211" s="42">
        <v>0.33</v>
      </c>
      <c r="L211" s="74">
        <v>0</v>
      </c>
      <c r="M211" s="42">
        <v>7.0000000000000007E-2</v>
      </c>
      <c r="N211" s="42">
        <v>0.16</v>
      </c>
      <c r="O211" s="42">
        <v>0</v>
      </c>
      <c r="P211" s="35">
        <v>2015</v>
      </c>
      <c r="Q211" s="36" t="s">
        <v>144</v>
      </c>
      <c r="R211" s="73" t="s">
        <v>832</v>
      </c>
    </row>
    <row r="212" spans="1:429">
      <c r="B212" s="105"/>
      <c r="C212" s="71"/>
      <c r="D212" s="71"/>
      <c r="E212" s="72" t="s">
        <v>276</v>
      </c>
      <c r="F212" s="73" t="s">
        <v>819</v>
      </c>
      <c r="G212" s="41">
        <v>2.5</v>
      </c>
      <c r="H212" s="42">
        <v>3.7</v>
      </c>
      <c r="I212" s="74">
        <v>1.2</v>
      </c>
      <c r="J212" s="41">
        <v>0.8</v>
      </c>
      <c r="K212" s="42">
        <v>1.2</v>
      </c>
      <c r="L212" s="74">
        <v>0.4</v>
      </c>
      <c r="M212" s="42">
        <v>0.3</v>
      </c>
      <c r="N212" s="42">
        <v>0.4</v>
      </c>
      <c r="O212" s="42">
        <v>0</v>
      </c>
      <c r="P212" s="35">
        <v>2019</v>
      </c>
      <c r="Q212" s="36" t="s">
        <v>27</v>
      </c>
      <c r="R212" s="73" t="s">
        <v>24</v>
      </c>
    </row>
    <row r="213" spans="1:429">
      <c r="B213" s="105"/>
      <c r="C213" s="71"/>
      <c r="D213" s="71"/>
      <c r="E213" s="72" t="s">
        <v>276</v>
      </c>
      <c r="F213" s="73" t="s">
        <v>819</v>
      </c>
      <c r="G213" s="41">
        <v>3.5</v>
      </c>
      <c r="H213" s="42">
        <v>4.7</v>
      </c>
      <c r="I213" s="74">
        <v>2.2999999999999998</v>
      </c>
      <c r="J213" s="41">
        <v>0.8</v>
      </c>
      <c r="K213" s="42">
        <v>1.2</v>
      </c>
      <c r="L213" s="74">
        <v>0.5</v>
      </c>
      <c r="M213" s="42">
        <v>0.1</v>
      </c>
      <c r="N213" s="42">
        <v>0.1</v>
      </c>
      <c r="O213" s="42">
        <v>0.1</v>
      </c>
      <c r="P213" s="35" t="s">
        <v>798</v>
      </c>
      <c r="Q213" s="36" t="s">
        <v>27</v>
      </c>
      <c r="R213" s="73" t="s">
        <v>24</v>
      </c>
    </row>
    <row r="214" spans="1:429">
      <c r="B214" s="105"/>
      <c r="C214" s="71"/>
      <c r="D214" s="71"/>
      <c r="E214" s="72" t="s">
        <v>276</v>
      </c>
      <c r="F214" s="73" t="s">
        <v>819</v>
      </c>
      <c r="G214" s="41">
        <v>6</v>
      </c>
      <c r="H214" s="42"/>
      <c r="I214" s="74"/>
      <c r="J214" s="41">
        <v>1.6</v>
      </c>
      <c r="K214" s="42"/>
      <c r="L214" s="74"/>
      <c r="M214" s="42">
        <v>0.1</v>
      </c>
      <c r="N214" s="42"/>
      <c r="O214" s="42"/>
      <c r="P214" s="35" t="s">
        <v>798</v>
      </c>
      <c r="Q214" s="36" t="s">
        <v>826</v>
      </c>
      <c r="R214" s="73" t="s">
        <v>833</v>
      </c>
    </row>
    <row r="215" spans="1:429">
      <c r="B215" s="105"/>
      <c r="C215" s="71"/>
      <c r="D215" s="71"/>
      <c r="E215" s="72" t="s">
        <v>834</v>
      </c>
      <c r="F215" s="73" t="s">
        <v>818</v>
      </c>
      <c r="G215" s="41">
        <v>2</v>
      </c>
      <c r="H215" s="42">
        <v>3.1</v>
      </c>
      <c r="I215" s="74">
        <v>0.9</v>
      </c>
      <c r="J215" s="41">
        <v>1.1000000000000001</v>
      </c>
      <c r="K215" s="42">
        <v>1.9</v>
      </c>
      <c r="L215" s="74">
        <v>0.3</v>
      </c>
      <c r="M215" s="42">
        <v>0.1</v>
      </c>
      <c r="N215" s="42">
        <v>0.1</v>
      </c>
      <c r="O215" s="42">
        <v>0</v>
      </c>
      <c r="P215" s="35" t="s">
        <v>762</v>
      </c>
      <c r="Q215" s="36" t="s">
        <v>27</v>
      </c>
      <c r="R215" s="73" t="s">
        <v>835</v>
      </c>
    </row>
    <row r="216" spans="1:429">
      <c r="B216" s="105"/>
      <c r="C216" s="71"/>
      <c r="D216" s="71"/>
      <c r="E216" s="72" t="s">
        <v>834</v>
      </c>
      <c r="F216" s="73" t="s">
        <v>818</v>
      </c>
      <c r="G216" s="41">
        <v>4.3</v>
      </c>
      <c r="H216" s="42"/>
      <c r="I216" s="74"/>
      <c r="J216" s="41">
        <v>2.2000000000000002</v>
      </c>
      <c r="K216" s="42"/>
      <c r="L216" s="74"/>
      <c r="M216" s="42">
        <v>0.1</v>
      </c>
      <c r="N216" s="42"/>
      <c r="O216" s="42"/>
      <c r="P216" s="35" t="s">
        <v>762</v>
      </c>
      <c r="Q216" s="36" t="s">
        <v>826</v>
      </c>
      <c r="R216" s="73" t="s">
        <v>835</v>
      </c>
    </row>
    <row r="217" spans="1:429" s="48" customFormat="1">
      <c r="A217" s="113"/>
      <c r="B217" s="105"/>
      <c r="C217" s="71"/>
      <c r="D217" s="71"/>
      <c r="E217" s="72" t="s">
        <v>278</v>
      </c>
      <c r="F217" s="73" t="s">
        <v>819</v>
      </c>
      <c r="G217" s="41">
        <v>1.3</v>
      </c>
      <c r="H217" s="42">
        <v>1.4</v>
      </c>
      <c r="I217" s="74">
        <v>1.1000000000000001</v>
      </c>
      <c r="J217" s="41">
        <v>0.8</v>
      </c>
      <c r="K217" s="42">
        <v>1.1000000000000001</v>
      </c>
      <c r="L217" s="74">
        <v>0.5</v>
      </c>
      <c r="M217" s="42">
        <v>0.4</v>
      </c>
      <c r="N217" s="42">
        <v>0.5</v>
      </c>
      <c r="O217" s="42">
        <v>0.3</v>
      </c>
      <c r="P217" s="35">
        <v>2022</v>
      </c>
      <c r="Q217" s="36" t="s">
        <v>144</v>
      </c>
      <c r="R217" s="73" t="s">
        <v>24</v>
      </c>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c r="AO217" s="113"/>
      <c r="AP217" s="113"/>
      <c r="AQ217" s="113"/>
      <c r="AR217" s="113"/>
      <c r="AS217" s="113"/>
      <c r="AT217" s="113"/>
      <c r="AU217" s="113"/>
      <c r="AV217" s="113"/>
      <c r="AW217" s="113"/>
      <c r="AX217" s="113"/>
      <c r="AY217" s="113"/>
      <c r="AZ217" s="113"/>
      <c r="BA217" s="113"/>
      <c r="BB217" s="113"/>
      <c r="BC217" s="113"/>
      <c r="BD217" s="113"/>
      <c r="BE217" s="113"/>
      <c r="BF217" s="113"/>
      <c r="BG217" s="113"/>
      <c r="BH217" s="113"/>
      <c r="BI217" s="113"/>
      <c r="BJ217" s="113"/>
      <c r="BK217" s="113"/>
      <c r="BL217" s="113"/>
      <c r="BM217" s="113"/>
      <c r="BN217" s="113"/>
      <c r="BO217" s="113"/>
      <c r="BP217" s="113"/>
      <c r="BQ217" s="113"/>
      <c r="BR217" s="113"/>
      <c r="BS217" s="113"/>
      <c r="BT217" s="113"/>
      <c r="BU217" s="113"/>
      <c r="BV217" s="113"/>
      <c r="BW217" s="113"/>
      <c r="BX217" s="113"/>
      <c r="BY217" s="113"/>
      <c r="BZ217" s="113"/>
      <c r="CA217" s="113"/>
      <c r="CB217" s="113"/>
      <c r="CC217" s="113"/>
      <c r="CD217" s="113"/>
      <c r="CE217" s="113"/>
      <c r="CF217" s="113"/>
      <c r="CG217" s="113"/>
      <c r="CH217" s="113"/>
      <c r="CI217" s="113"/>
      <c r="CJ217" s="113"/>
      <c r="CK217" s="113"/>
      <c r="CL217" s="113"/>
      <c r="CM217" s="113"/>
      <c r="CN217" s="113"/>
      <c r="CO217" s="113"/>
      <c r="CP217" s="113"/>
      <c r="CQ217" s="113"/>
      <c r="CR217" s="113"/>
      <c r="CS217" s="113"/>
      <c r="CT217" s="113"/>
      <c r="CU217" s="113"/>
      <c r="CV217" s="113"/>
      <c r="CW217" s="113"/>
      <c r="CX217" s="113"/>
      <c r="CY217" s="113"/>
      <c r="CZ217" s="113"/>
      <c r="DA217" s="113"/>
      <c r="DB217" s="113"/>
      <c r="DC217" s="113"/>
      <c r="DD217" s="113"/>
      <c r="DE217" s="113"/>
      <c r="DF217" s="113"/>
      <c r="DG217" s="113"/>
      <c r="DH217" s="113"/>
      <c r="DI217" s="113"/>
      <c r="DJ217" s="113"/>
      <c r="DK217" s="113"/>
      <c r="DL217" s="113"/>
      <c r="DM217" s="113"/>
      <c r="DN217" s="113"/>
      <c r="DO217" s="113"/>
      <c r="DP217" s="113"/>
      <c r="DQ217" s="113"/>
      <c r="DR217" s="113"/>
      <c r="DS217" s="113"/>
      <c r="DT217" s="113"/>
      <c r="DU217" s="113"/>
      <c r="DV217" s="113"/>
      <c r="DW217" s="113"/>
      <c r="DX217" s="113"/>
      <c r="DY217" s="113"/>
      <c r="DZ217" s="113"/>
      <c r="EA217" s="113"/>
      <c r="EB217" s="113"/>
      <c r="EC217" s="113"/>
      <c r="ED217" s="113"/>
      <c r="EE217" s="113"/>
      <c r="EF217" s="113"/>
      <c r="EG217" s="113"/>
      <c r="EH217" s="113"/>
      <c r="EI217" s="113"/>
      <c r="EJ217" s="113"/>
      <c r="EK217" s="113"/>
      <c r="EL217" s="113"/>
      <c r="EM217" s="113"/>
      <c r="EN217" s="113"/>
      <c r="EO217" s="113"/>
      <c r="EP217" s="113"/>
      <c r="EQ217" s="113"/>
      <c r="ER217" s="113"/>
      <c r="ES217" s="113"/>
      <c r="ET217" s="113"/>
      <c r="EU217" s="113"/>
      <c r="EV217" s="113"/>
      <c r="EW217" s="113"/>
      <c r="EX217" s="113"/>
      <c r="EY217" s="113"/>
      <c r="EZ217" s="113"/>
      <c r="FA217" s="113"/>
      <c r="FB217" s="113"/>
      <c r="FC217" s="113"/>
      <c r="FD217" s="113"/>
      <c r="FE217" s="113"/>
      <c r="FF217" s="113"/>
      <c r="FG217" s="113"/>
      <c r="FH217" s="113"/>
      <c r="FI217" s="113"/>
      <c r="FJ217" s="113"/>
      <c r="FK217" s="113"/>
      <c r="FL217" s="113"/>
      <c r="FM217" s="113"/>
      <c r="FN217" s="113"/>
      <c r="FO217" s="113"/>
      <c r="FP217" s="113"/>
      <c r="FQ217" s="113"/>
      <c r="FR217" s="113"/>
      <c r="FS217" s="113"/>
      <c r="FT217" s="113"/>
      <c r="FU217" s="113"/>
      <c r="FV217" s="113"/>
      <c r="FW217" s="113"/>
      <c r="FX217" s="113"/>
      <c r="FY217" s="113"/>
      <c r="FZ217" s="113"/>
      <c r="GA217" s="113"/>
      <c r="GB217" s="113"/>
      <c r="GC217" s="113"/>
      <c r="GD217" s="113"/>
      <c r="GE217" s="113"/>
      <c r="GF217" s="113"/>
      <c r="GG217" s="113"/>
      <c r="GH217" s="113"/>
      <c r="GI217" s="113"/>
      <c r="GJ217" s="113"/>
      <c r="GK217" s="113"/>
      <c r="GL217" s="113"/>
      <c r="GM217" s="113"/>
      <c r="GN217" s="113"/>
      <c r="GO217" s="113"/>
      <c r="GP217" s="113"/>
      <c r="GQ217" s="113"/>
      <c r="GR217" s="113"/>
      <c r="GS217" s="113"/>
      <c r="GT217" s="113"/>
      <c r="GU217" s="113"/>
      <c r="GV217" s="113"/>
      <c r="GW217" s="113"/>
      <c r="GX217" s="113"/>
      <c r="GY217" s="113"/>
      <c r="GZ217" s="113"/>
      <c r="HA217" s="113"/>
      <c r="HB217" s="113"/>
      <c r="HC217" s="113"/>
      <c r="HD217" s="113"/>
      <c r="HE217" s="113"/>
      <c r="HF217" s="113"/>
      <c r="HG217" s="113"/>
      <c r="HH217" s="113"/>
      <c r="HI217" s="113"/>
      <c r="HJ217" s="113"/>
      <c r="HK217" s="113"/>
      <c r="HL217" s="113"/>
      <c r="HM217" s="113"/>
      <c r="HN217" s="113"/>
      <c r="HO217" s="113"/>
      <c r="HP217" s="113"/>
      <c r="HQ217" s="113"/>
      <c r="HR217" s="113"/>
      <c r="HS217" s="113"/>
      <c r="HT217" s="113"/>
      <c r="HU217" s="113"/>
      <c r="HV217" s="113"/>
      <c r="HW217" s="113"/>
      <c r="HX217" s="113"/>
      <c r="HY217" s="113"/>
      <c r="HZ217" s="113"/>
      <c r="IA217" s="113"/>
      <c r="IB217" s="113"/>
      <c r="IC217" s="113"/>
      <c r="ID217" s="113"/>
      <c r="IE217" s="113"/>
      <c r="IF217" s="113"/>
      <c r="IG217" s="113"/>
      <c r="IH217" s="113"/>
      <c r="II217" s="113"/>
      <c r="IJ217" s="113"/>
      <c r="IK217" s="113"/>
      <c r="IL217" s="113"/>
      <c r="IM217" s="113"/>
      <c r="IN217" s="113"/>
      <c r="IO217" s="113"/>
      <c r="IP217" s="113"/>
      <c r="IQ217" s="113"/>
      <c r="IR217" s="113"/>
      <c r="IS217" s="113"/>
      <c r="IT217" s="113"/>
      <c r="IU217" s="113"/>
      <c r="IV217" s="113"/>
      <c r="IW217" s="113"/>
      <c r="IX217" s="113"/>
      <c r="IY217" s="113"/>
      <c r="IZ217" s="113"/>
      <c r="JA217" s="113"/>
      <c r="JB217" s="113"/>
      <c r="JC217" s="113"/>
      <c r="JD217" s="113"/>
      <c r="JE217" s="113"/>
      <c r="JF217" s="113"/>
      <c r="JG217" s="113"/>
      <c r="JH217" s="113"/>
      <c r="JI217" s="113"/>
      <c r="JJ217" s="113"/>
      <c r="JK217" s="113"/>
      <c r="JL217" s="113"/>
      <c r="JM217" s="113"/>
      <c r="JN217" s="113"/>
      <c r="JO217" s="113"/>
      <c r="JP217" s="113"/>
      <c r="JQ217" s="113"/>
      <c r="JR217" s="113"/>
      <c r="JS217" s="113"/>
      <c r="JT217" s="113"/>
      <c r="JU217" s="113"/>
      <c r="JV217" s="113"/>
      <c r="JW217" s="113"/>
      <c r="JX217" s="113"/>
      <c r="JY217" s="113"/>
      <c r="JZ217" s="113"/>
      <c r="KA217" s="113"/>
      <c r="KB217" s="113"/>
      <c r="KC217" s="113"/>
      <c r="KD217" s="113"/>
      <c r="KE217" s="113"/>
      <c r="KF217" s="113"/>
      <c r="KG217" s="113"/>
      <c r="KH217" s="113"/>
      <c r="KI217" s="113"/>
      <c r="KJ217" s="113"/>
      <c r="KK217" s="113"/>
      <c r="KL217" s="113"/>
      <c r="KM217" s="113"/>
      <c r="KN217" s="113"/>
      <c r="KO217" s="113"/>
      <c r="KP217" s="113"/>
      <c r="KQ217" s="113"/>
      <c r="KR217" s="113"/>
      <c r="KS217" s="113"/>
      <c r="KT217" s="113"/>
      <c r="KU217" s="113"/>
      <c r="KV217" s="113"/>
      <c r="KW217" s="113"/>
      <c r="KX217" s="113"/>
      <c r="KY217" s="113"/>
      <c r="KZ217" s="113"/>
      <c r="LA217" s="113"/>
      <c r="LB217" s="113"/>
      <c r="LC217" s="113"/>
      <c r="LD217" s="113"/>
      <c r="LE217" s="113"/>
      <c r="LF217" s="113"/>
      <c r="LG217" s="113"/>
      <c r="LH217" s="113"/>
      <c r="LI217" s="113"/>
      <c r="LJ217" s="113"/>
      <c r="LK217" s="113"/>
      <c r="LL217" s="113"/>
      <c r="LM217" s="113"/>
      <c r="LN217" s="113"/>
      <c r="LO217" s="113"/>
      <c r="LP217" s="113"/>
      <c r="LQ217" s="113"/>
      <c r="LR217" s="113"/>
      <c r="LS217" s="113"/>
      <c r="LT217" s="113"/>
      <c r="LU217" s="113"/>
      <c r="LV217" s="113"/>
      <c r="LW217" s="113"/>
      <c r="LX217" s="113"/>
      <c r="LY217" s="113"/>
      <c r="LZ217" s="113"/>
      <c r="MA217" s="113"/>
      <c r="MB217" s="113"/>
      <c r="MC217" s="113"/>
      <c r="MD217" s="113"/>
      <c r="ME217" s="113"/>
      <c r="MF217" s="113"/>
      <c r="MG217" s="113"/>
      <c r="MH217" s="113"/>
      <c r="MI217" s="113"/>
      <c r="MJ217" s="113"/>
      <c r="MK217" s="113"/>
      <c r="ML217" s="113"/>
      <c r="MM217" s="113"/>
      <c r="MN217" s="113"/>
      <c r="MO217" s="113"/>
      <c r="MP217" s="113"/>
      <c r="MQ217" s="113"/>
      <c r="MR217" s="113"/>
      <c r="MS217" s="113"/>
      <c r="MT217" s="113"/>
      <c r="MU217" s="113"/>
      <c r="MV217" s="113"/>
      <c r="MW217" s="113"/>
      <c r="MX217" s="113"/>
      <c r="MY217" s="113"/>
      <c r="MZ217" s="113"/>
      <c r="NA217" s="113"/>
      <c r="NB217" s="113"/>
      <c r="NC217" s="113"/>
      <c r="ND217" s="113"/>
      <c r="NE217" s="113"/>
      <c r="NF217" s="113"/>
      <c r="NG217" s="113"/>
      <c r="NH217" s="113"/>
      <c r="NI217" s="113"/>
      <c r="NJ217" s="113"/>
      <c r="NK217" s="113"/>
      <c r="NL217" s="113"/>
      <c r="NM217" s="113"/>
      <c r="NN217" s="113"/>
      <c r="NO217" s="113"/>
      <c r="NP217" s="113"/>
      <c r="NQ217" s="113"/>
      <c r="NR217" s="113"/>
      <c r="NS217" s="113"/>
      <c r="NT217" s="113"/>
      <c r="NU217" s="113"/>
      <c r="NV217" s="113"/>
      <c r="NW217" s="113"/>
      <c r="NX217" s="113"/>
      <c r="NY217" s="113"/>
      <c r="NZ217" s="113"/>
      <c r="OA217" s="113"/>
      <c r="OB217" s="113"/>
      <c r="OC217" s="113"/>
      <c r="OD217" s="113"/>
      <c r="OE217" s="113"/>
      <c r="OF217" s="113"/>
      <c r="OG217" s="113"/>
      <c r="OH217" s="113"/>
      <c r="OI217" s="113"/>
      <c r="OJ217" s="113"/>
      <c r="OK217" s="113"/>
      <c r="OL217" s="113"/>
      <c r="OM217" s="113"/>
      <c r="ON217" s="113"/>
      <c r="OO217" s="113"/>
      <c r="OP217" s="113"/>
      <c r="OQ217" s="113"/>
      <c r="OR217" s="113"/>
      <c r="OS217" s="113"/>
      <c r="OT217" s="113"/>
      <c r="OU217" s="113"/>
      <c r="OV217" s="113"/>
      <c r="OW217" s="113"/>
      <c r="OX217" s="113"/>
      <c r="OY217" s="113"/>
      <c r="OZ217" s="113"/>
      <c r="PA217" s="113"/>
      <c r="PB217" s="113"/>
      <c r="PC217" s="113"/>
      <c r="PD217" s="113"/>
      <c r="PE217" s="113"/>
      <c r="PF217" s="113"/>
      <c r="PG217" s="113"/>
      <c r="PH217" s="113"/>
      <c r="PI217" s="113"/>
      <c r="PJ217" s="113"/>
      <c r="PK217" s="113"/>
      <c r="PL217" s="113"/>
      <c r="PM217" s="113"/>
    </row>
    <row r="218" spans="1:429">
      <c r="B218" s="105"/>
      <c r="C218" s="71"/>
      <c r="D218" s="71"/>
      <c r="E218" s="72" t="s">
        <v>278</v>
      </c>
      <c r="F218" s="73" t="s">
        <v>819</v>
      </c>
      <c r="G218" s="41"/>
      <c r="H218" s="42"/>
      <c r="I218" s="74"/>
      <c r="J218" s="41">
        <v>0.7</v>
      </c>
      <c r="K218" s="42">
        <v>0.8</v>
      </c>
      <c r="L218" s="74">
        <v>0.5</v>
      </c>
      <c r="M218" s="42"/>
      <c r="N218" s="42"/>
      <c r="O218" s="42"/>
      <c r="P218" s="35">
        <v>2017</v>
      </c>
      <c r="Q218" s="36" t="s">
        <v>27</v>
      </c>
      <c r="R218" s="73" t="s">
        <v>24</v>
      </c>
    </row>
    <row r="219" spans="1:429">
      <c r="B219" s="105"/>
      <c r="C219" s="71"/>
      <c r="D219" s="71"/>
      <c r="E219" s="72" t="s">
        <v>278</v>
      </c>
      <c r="F219" s="73" t="s">
        <v>817</v>
      </c>
      <c r="G219" s="41">
        <v>0.4</v>
      </c>
      <c r="H219" s="42">
        <v>0.70000000000000007</v>
      </c>
      <c r="I219" s="74">
        <v>0.1</v>
      </c>
      <c r="J219" s="41">
        <v>0.2</v>
      </c>
      <c r="K219" s="42">
        <v>0.3</v>
      </c>
      <c r="L219" s="74">
        <v>0</v>
      </c>
      <c r="M219" s="42"/>
      <c r="N219" s="42"/>
      <c r="O219" s="42"/>
      <c r="P219" s="35">
        <v>2015</v>
      </c>
      <c r="Q219" s="36" t="s">
        <v>27</v>
      </c>
      <c r="R219" s="73" t="s">
        <v>24</v>
      </c>
    </row>
    <row r="220" spans="1:429">
      <c r="B220" s="105"/>
      <c r="C220" s="71"/>
      <c r="D220" s="71"/>
      <c r="E220" s="72" t="s">
        <v>280</v>
      </c>
      <c r="F220" s="73" t="s">
        <v>819</v>
      </c>
      <c r="G220" s="41">
        <v>0.3</v>
      </c>
      <c r="H220" s="42">
        <v>0.6</v>
      </c>
      <c r="I220" s="74">
        <v>0.1</v>
      </c>
      <c r="J220" s="41">
        <v>0.1</v>
      </c>
      <c r="K220" s="42">
        <v>0.1</v>
      </c>
      <c r="L220" s="74"/>
      <c r="M220" s="42">
        <v>0.1</v>
      </c>
      <c r="N220" s="42">
        <v>0.1</v>
      </c>
      <c r="O220" s="42">
        <v>0.1</v>
      </c>
      <c r="P220" s="35">
        <v>2020</v>
      </c>
      <c r="Q220" s="36" t="s">
        <v>27</v>
      </c>
      <c r="R220" s="73" t="s">
        <v>24</v>
      </c>
    </row>
    <row r="221" spans="1:429">
      <c r="B221" s="105"/>
      <c r="C221" s="71"/>
      <c r="D221" s="71"/>
      <c r="E221" s="72" t="s">
        <v>281</v>
      </c>
      <c r="F221" s="73" t="s">
        <v>819</v>
      </c>
      <c r="G221" s="41">
        <v>1.4</v>
      </c>
      <c r="H221" s="42">
        <v>2.2000000000000002</v>
      </c>
      <c r="I221" s="74">
        <v>0.6</v>
      </c>
      <c r="J221" s="41">
        <v>0.5</v>
      </c>
      <c r="K221" s="42">
        <v>1.1000000000000001</v>
      </c>
      <c r="L221" s="74">
        <v>0</v>
      </c>
      <c r="M221" s="42">
        <v>0.1</v>
      </c>
      <c r="N221" s="42">
        <v>0.1</v>
      </c>
      <c r="O221" s="42">
        <v>0</v>
      </c>
      <c r="P221" s="35">
        <v>2021</v>
      </c>
      <c r="Q221" s="36" t="s">
        <v>27</v>
      </c>
      <c r="R221" s="73" t="s">
        <v>24</v>
      </c>
    </row>
    <row r="222" spans="1:429">
      <c r="B222" s="105"/>
      <c r="C222" s="71"/>
      <c r="D222" s="71"/>
      <c r="E222" s="72" t="s">
        <v>281</v>
      </c>
      <c r="F222" s="73" t="s">
        <v>819</v>
      </c>
      <c r="G222" s="41">
        <v>0.6</v>
      </c>
      <c r="H222" s="42">
        <v>1.2</v>
      </c>
      <c r="I222" s="74">
        <v>0.2</v>
      </c>
      <c r="J222" s="41">
        <v>0.2</v>
      </c>
      <c r="K222" s="42">
        <v>0.3</v>
      </c>
      <c r="L222" s="74">
        <v>0.1</v>
      </c>
      <c r="M222" s="42"/>
      <c r="N222" s="42"/>
      <c r="O222" s="42"/>
      <c r="P222" s="35">
        <v>2016</v>
      </c>
      <c r="Q222" s="36" t="s">
        <v>27</v>
      </c>
      <c r="R222" s="73" t="s">
        <v>24</v>
      </c>
    </row>
    <row r="223" spans="1:429">
      <c r="B223" s="105"/>
      <c r="C223" s="71"/>
      <c r="D223" s="71"/>
      <c r="E223" s="72" t="s">
        <v>282</v>
      </c>
      <c r="F223" s="73" t="s">
        <v>819</v>
      </c>
      <c r="G223" s="41">
        <v>0.2</v>
      </c>
      <c r="H223" s="42">
        <v>0.4</v>
      </c>
      <c r="I223" s="74">
        <v>0.1</v>
      </c>
      <c r="J223" s="41">
        <v>0</v>
      </c>
      <c r="K223" s="42">
        <v>0.1</v>
      </c>
      <c r="L223" s="74">
        <v>0</v>
      </c>
      <c r="M223" s="42">
        <v>0</v>
      </c>
      <c r="N223" s="42">
        <v>0</v>
      </c>
      <c r="O223" s="42">
        <v>0</v>
      </c>
      <c r="P223" s="35">
        <v>2019</v>
      </c>
      <c r="Q223" s="36" t="s">
        <v>27</v>
      </c>
      <c r="R223" s="73" t="s">
        <v>283</v>
      </c>
    </row>
    <row r="224" spans="1:429">
      <c r="B224" s="105"/>
      <c r="C224" s="71"/>
      <c r="D224" s="71"/>
      <c r="E224" s="72" t="s">
        <v>282</v>
      </c>
      <c r="F224" s="73" t="s">
        <v>819</v>
      </c>
      <c r="G224" s="41">
        <v>0.5</v>
      </c>
      <c r="H224" s="42">
        <v>0.6</v>
      </c>
      <c r="I224" s="74">
        <v>0.4</v>
      </c>
      <c r="J224" s="41">
        <v>0.2</v>
      </c>
      <c r="K224" s="42">
        <v>0.2</v>
      </c>
      <c r="L224" s="74">
        <v>0.2</v>
      </c>
      <c r="M224" s="42">
        <v>0.1</v>
      </c>
      <c r="N224" s="42">
        <v>0.1</v>
      </c>
      <c r="O224" s="42">
        <v>0.1</v>
      </c>
      <c r="P224" s="35">
        <v>2014</v>
      </c>
      <c r="Q224" s="36" t="s">
        <v>27</v>
      </c>
      <c r="R224" s="73" t="s">
        <v>283</v>
      </c>
    </row>
    <row r="225" spans="1:429" s="48" customFormat="1">
      <c r="A225" s="113"/>
      <c r="B225" s="105"/>
      <c r="C225" s="71"/>
      <c r="D225" s="71"/>
      <c r="E225" s="72" t="s">
        <v>286</v>
      </c>
      <c r="F225" s="73" t="s">
        <v>836</v>
      </c>
      <c r="G225" s="41">
        <v>2.7</v>
      </c>
      <c r="H225" s="42">
        <v>3.5</v>
      </c>
      <c r="I225" s="74">
        <v>1.9</v>
      </c>
      <c r="J225" s="41">
        <v>1.7</v>
      </c>
      <c r="K225" s="42">
        <v>2</v>
      </c>
      <c r="L225" s="74">
        <v>1.3</v>
      </c>
      <c r="M225" s="42">
        <v>0.6</v>
      </c>
      <c r="N225" s="42">
        <v>0.7</v>
      </c>
      <c r="O225" s="42">
        <v>0.4</v>
      </c>
      <c r="P225" s="35">
        <v>2023</v>
      </c>
      <c r="Q225" s="36" t="s">
        <v>27</v>
      </c>
      <c r="R225" s="73" t="s">
        <v>24</v>
      </c>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c r="AO225" s="113"/>
      <c r="AP225" s="113"/>
      <c r="AQ225" s="113"/>
      <c r="AR225" s="113"/>
      <c r="AS225" s="113"/>
      <c r="AT225" s="113"/>
      <c r="AU225" s="113"/>
      <c r="AV225" s="113"/>
      <c r="AW225" s="113"/>
      <c r="AX225" s="113"/>
      <c r="AY225" s="113"/>
      <c r="AZ225" s="113"/>
      <c r="BA225" s="113"/>
      <c r="BB225" s="113"/>
      <c r="BC225" s="113"/>
      <c r="BD225" s="113"/>
      <c r="BE225" s="113"/>
      <c r="BF225" s="113"/>
      <c r="BG225" s="113"/>
      <c r="BH225" s="113"/>
      <c r="BI225" s="113"/>
      <c r="BJ225" s="113"/>
      <c r="BK225" s="113"/>
      <c r="BL225" s="113"/>
      <c r="BM225" s="113"/>
      <c r="BN225" s="113"/>
      <c r="BO225" s="113"/>
      <c r="BP225" s="113"/>
      <c r="BQ225" s="113"/>
      <c r="BR225" s="113"/>
      <c r="BS225" s="113"/>
      <c r="BT225" s="113"/>
      <c r="BU225" s="113"/>
      <c r="BV225" s="113"/>
      <c r="BW225" s="113"/>
      <c r="BX225" s="113"/>
      <c r="BY225" s="113"/>
      <c r="BZ225" s="113"/>
      <c r="CA225" s="113"/>
      <c r="CB225" s="113"/>
      <c r="CC225" s="113"/>
      <c r="CD225" s="113"/>
      <c r="CE225" s="113"/>
      <c r="CF225" s="113"/>
      <c r="CG225" s="113"/>
      <c r="CH225" s="113"/>
      <c r="CI225" s="113"/>
      <c r="CJ225" s="113"/>
      <c r="CK225" s="113"/>
      <c r="CL225" s="113"/>
      <c r="CM225" s="113"/>
      <c r="CN225" s="113"/>
      <c r="CO225" s="113"/>
      <c r="CP225" s="113"/>
      <c r="CQ225" s="113"/>
      <c r="CR225" s="113"/>
      <c r="CS225" s="113"/>
      <c r="CT225" s="113"/>
      <c r="CU225" s="113"/>
      <c r="CV225" s="113"/>
      <c r="CW225" s="113"/>
      <c r="CX225" s="113"/>
      <c r="CY225" s="113"/>
      <c r="CZ225" s="113"/>
      <c r="DA225" s="113"/>
      <c r="DB225" s="113"/>
      <c r="DC225" s="113"/>
      <c r="DD225" s="113"/>
      <c r="DE225" s="113"/>
      <c r="DF225" s="113"/>
      <c r="DG225" s="113"/>
      <c r="DH225" s="113"/>
      <c r="DI225" s="113"/>
      <c r="DJ225" s="113"/>
      <c r="DK225" s="113"/>
      <c r="DL225" s="113"/>
      <c r="DM225" s="113"/>
      <c r="DN225" s="113"/>
      <c r="DO225" s="113"/>
      <c r="DP225" s="113"/>
      <c r="DQ225" s="113"/>
      <c r="DR225" s="113"/>
      <c r="DS225" s="113"/>
      <c r="DT225" s="113"/>
      <c r="DU225" s="113"/>
      <c r="DV225" s="113"/>
      <c r="DW225" s="113"/>
      <c r="DX225" s="113"/>
      <c r="DY225" s="113"/>
      <c r="DZ225" s="113"/>
      <c r="EA225" s="113"/>
      <c r="EB225" s="113"/>
      <c r="EC225" s="113"/>
      <c r="ED225" s="113"/>
      <c r="EE225" s="113"/>
      <c r="EF225" s="113"/>
      <c r="EG225" s="113"/>
      <c r="EH225" s="113"/>
      <c r="EI225" s="113"/>
      <c r="EJ225" s="113"/>
      <c r="EK225" s="113"/>
      <c r="EL225" s="113"/>
      <c r="EM225" s="113"/>
      <c r="EN225" s="113"/>
      <c r="EO225" s="113"/>
      <c r="EP225" s="113"/>
      <c r="EQ225" s="113"/>
      <c r="ER225" s="113"/>
      <c r="ES225" s="113"/>
      <c r="ET225" s="113"/>
      <c r="EU225" s="113"/>
      <c r="EV225" s="113"/>
      <c r="EW225" s="113"/>
      <c r="EX225" s="113"/>
      <c r="EY225" s="113"/>
      <c r="EZ225" s="113"/>
      <c r="FA225" s="113"/>
      <c r="FB225" s="113"/>
      <c r="FC225" s="113"/>
      <c r="FD225" s="113"/>
      <c r="FE225" s="113"/>
      <c r="FF225" s="113"/>
      <c r="FG225" s="113"/>
      <c r="FH225" s="113"/>
      <c r="FI225" s="113"/>
      <c r="FJ225" s="113"/>
      <c r="FK225" s="113"/>
      <c r="FL225" s="113"/>
      <c r="FM225" s="113"/>
      <c r="FN225" s="113"/>
      <c r="FO225" s="113"/>
      <c r="FP225" s="113"/>
      <c r="FQ225" s="113"/>
      <c r="FR225" s="113"/>
      <c r="FS225" s="113"/>
      <c r="FT225" s="113"/>
      <c r="FU225" s="113"/>
      <c r="FV225" s="113"/>
      <c r="FW225" s="113"/>
      <c r="FX225" s="113"/>
      <c r="FY225" s="113"/>
      <c r="FZ225" s="113"/>
      <c r="GA225" s="113"/>
      <c r="GB225" s="113"/>
      <c r="GC225" s="113"/>
      <c r="GD225" s="113"/>
      <c r="GE225" s="113"/>
      <c r="GF225" s="113"/>
      <c r="GG225" s="113"/>
      <c r="GH225" s="113"/>
      <c r="GI225" s="113"/>
      <c r="GJ225" s="113"/>
      <c r="GK225" s="113"/>
      <c r="GL225" s="113"/>
      <c r="GM225" s="113"/>
      <c r="GN225" s="113"/>
      <c r="GO225" s="113"/>
      <c r="GP225" s="113"/>
      <c r="GQ225" s="113"/>
      <c r="GR225" s="113"/>
      <c r="GS225" s="113"/>
      <c r="GT225" s="113"/>
      <c r="GU225" s="113"/>
      <c r="GV225" s="113"/>
      <c r="GW225" s="113"/>
      <c r="GX225" s="113"/>
      <c r="GY225" s="113"/>
      <c r="GZ225" s="113"/>
      <c r="HA225" s="113"/>
      <c r="HB225" s="113"/>
      <c r="HC225" s="113"/>
      <c r="HD225" s="113"/>
      <c r="HE225" s="113"/>
      <c r="HF225" s="113"/>
      <c r="HG225" s="113"/>
      <c r="HH225" s="113"/>
      <c r="HI225" s="113"/>
      <c r="HJ225" s="113"/>
      <c r="HK225" s="113"/>
      <c r="HL225" s="113"/>
      <c r="HM225" s="113"/>
      <c r="HN225" s="113"/>
      <c r="HO225" s="113"/>
      <c r="HP225" s="113"/>
      <c r="HQ225" s="113"/>
      <c r="HR225" s="113"/>
      <c r="HS225" s="113"/>
      <c r="HT225" s="113"/>
      <c r="HU225" s="113"/>
      <c r="HV225" s="113"/>
      <c r="HW225" s="113"/>
      <c r="HX225" s="113"/>
      <c r="HY225" s="113"/>
      <c r="HZ225" s="113"/>
      <c r="IA225" s="113"/>
      <c r="IB225" s="113"/>
      <c r="IC225" s="113"/>
      <c r="ID225" s="113"/>
      <c r="IE225" s="113"/>
      <c r="IF225" s="113"/>
      <c r="IG225" s="113"/>
      <c r="IH225" s="113"/>
      <c r="II225" s="113"/>
      <c r="IJ225" s="113"/>
      <c r="IK225" s="113"/>
      <c r="IL225" s="113"/>
      <c r="IM225" s="113"/>
      <c r="IN225" s="113"/>
      <c r="IO225" s="113"/>
      <c r="IP225" s="113"/>
      <c r="IQ225" s="113"/>
      <c r="IR225" s="113"/>
      <c r="IS225" s="113"/>
      <c r="IT225" s="113"/>
      <c r="IU225" s="113"/>
      <c r="IV225" s="113"/>
      <c r="IW225" s="113"/>
      <c r="IX225" s="113"/>
      <c r="IY225" s="113"/>
      <c r="IZ225" s="113"/>
      <c r="JA225" s="113"/>
      <c r="JB225" s="113"/>
      <c r="JC225" s="113"/>
      <c r="JD225" s="113"/>
      <c r="JE225" s="113"/>
      <c r="JF225" s="113"/>
      <c r="JG225" s="113"/>
      <c r="JH225" s="113"/>
      <c r="JI225" s="113"/>
      <c r="JJ225" s="113"/>
      <c r="JK225" s="113"/>
      <c r="JL225" s="113"/>
      <c r="JM225" s="113"/>
      <c r="JN225" s="113"/>
      <c r="JO225" s="113"/>
      <c r="JP225" s="113"/>
      <c r="JQ225" s="113"/>
      <c r="JR225" s="113"/>
      <c r="JS225" s="113"/>
      <c r="JT225" s="113"/>
      <c r="JU225" s="113"/>
      <c r="JV225" s="113"/>
      <c r="JW225" s="113"/>
      <c r="JX225" s="113"/>
      <c r="JY225" s="113"/>
      <c r="JZ225" s="113"/>
      <c r="KA225" s="113"/>
      <c r="KB225" s="113"/>
      <c r="KC225" s="113"/>
      <c r="KD225" s="113"/>
      <c r="KE225" s="113"/>
      <c r="KF225" s="113"/>
      <c r="KG225" s="113"/>
      <c r="KH225" s="113"/>
      <c r="KI225" s="113"/>
      <c r="KJ225" s="113"/>
      <c r="KK225" s="113"/>
      <c r="KL225" s="113"/>
      <c r="KM225" s="113"/>
      <c r="KN225" s="113"/>
      <c r="KO225" s="113"/>
      <c r="KP225" s="113"/>
      <c r="KQ225" s="113"/>
      <c r="KR225" s="113"/>
      <c r="KS225" s="113"/>
      <c r="KT225" s="113"/>
      <c r="KU225" s="113"/>
      <c r="KV225" s="113"/>
      <c r="KW225" s="113"/>
      <c r="KX225" s="113"/>
      <c r="KY225" s="113"/>
      <c r="KZ225" s="113"/>
      <c r="LA225" s="113"/>
      <c r="LB225" s="113"/>
      <c r="LC225" s="113"/>
      <c r="LD225" s="113"/>
      <c r="LE225" s="113"/>
      <c r="LF225" s="113"/>
      <c r="LG225" s="113"/>
      <c r="LH225" s="113"/>
      <c r="LI225" s="113"/>
      <c r="LJ225" s="113"/>
      <c r="LK225" s="113"/>
      <c r="LL225" s="113"/>
      <c r="LM225" s="113"/>
      <c r="LN225" s="113"/>
      <c r="LO225" s="113"/>
      <c r="LP225" s="113"/>
      <c r="LQ225" s="113"/>
      <c r="LR225" s="113"/>
      <c r="LS225" s="113"/>
      <c r="LT225" s="113"/>
      <c r="LU225" s="113"/>
      <c r="LV225" s="113"/>
      <c r="LW225" s="113"/>
      <c r="LX225" s="113"/>
      <c r="LY225" s="113"/>
      <c r="LZ225" s="113"/>
      <c r="MA225" s="113"/>
      <c r="MB225" s="113"/>
      <c r="MC225" s="113"/>
      <c r="MD225" s="113"/>
      <c r="ME225" s="113"/>
      <c r="MF225" s="113"/>
      <c r="MG225" s="113"/>
      <c r="MH225" s="113"/>
      <c r="MI225" s="113"/>
      <c r="MJ225" s="113"/>
      <c r="MK225" s="113"/>
      <c r="ML225" s="113"/>
      <c r="MM225" s="113"/>
      <c r="MN225" s="113"/>
      <c r="MO225" s="113"/>
      <c r="MP225" s="113"/>
      <c r="MQ225" s="113"/>
      <c r="MR225" s="113"/>
      <c r="MS225" s="113"/>
      <c r="MT225" s="113"/>
      <c r="MU225" s="113"/>
      <c r="MV225" s="113"/>
      <c r="MW225" s="113"/>
      <c r="MX225" s="113"/>
      <c r="MY225" s="113"/>
      <c r="MZ225" s="113"/>
      <c r="NA225" s="113"/>
      <c r="NB225" s="113"/>
      <c r="NC225" s="113"/>
      <c r="ND225" s="113"/>
      <c r="NE225" s="113"/>
      <c r="NF225" s="113"/>
      <c r="NG225" s="113"/>
      <c r="NH225" s="113"/>
      <c r="NI225" s="113"/>
      <c r="NJ225" s="113"/>
      <c r="NK225" s="113"/>
      <c r="NL225" s="113"/>
      <c r="NM225" s="113"/>
      <c r="NN225" s="113"/>
      <c r="NO225" s="113"/>
      <c r="NP225" s="113"/>
      <c r="NQ225" s="113"/>
      <c r="NR225" s="113"/>
      <c r="NS225" s="113"/>
      <c r="NT225" s="113"/>
      <c r="NU225" s="113"/>
      <c r="NV225" s="113"/>
      <c r="NW225" s="113"/>
      <c r="NX225" s="113"/>
      <c r="NY225" s="113"/>
      <c r="NZ225" s="113"/>
      <c r="OA225" s="113"/>
      <c r="OB225" s="113"/>
      <c r="OC225" s="113"/>
      <c r="OD225" s="113"/>
      <c r="OE225" s="113"/>
      <c r="OF225" s="113"/>
      <c r="OG225" s="113"/>
      <c r="OH225" s="113"/>
      <c r="OI225" s="113"/>
      <c r="OJ225" s="113"/>
      <c r="OK225" s="113"/>
      <c r="OL225" s="113"/>
      <c r="OM225" s="113"/>
      <c r="ON225" s="113"/>
      <c r="OO225" s="113"/>
      <c r="OP225" s="113"/>
      <c r="OQ225" s="113"/>
      <c r="OR225" s="113"/>
      <c r="OS225" s="113"/>
      <c r="OT225" s="113"/>
      <c r="OU225" s="113"/>
      <c r="OV225" s="113"/>
      <c r="OW225" s="113"/>
      <c r="OX225" s="113"/>
      <c r="OY225" s="113"/>
      <c r="OZ225" s="113"/>
      <c r="PA225" s="113"/>
      <c r="PB225" s="113"/>
      <c r="PC225" s="113"/>
      <c r="PD225" s="113"/>
      <c r="PE225" s="113"/>
      <c r="PF225" s="113"/>
      <c r="PG225" s="113"/>
      <c r="PH225" s="113"/>
      <c r="PI225" s="113"/>
      <c r="PJ225" s="113"/>
      <c r="PK225" s="113"/>
      <c r="PL225" s="113"/>
      <c r="PM225" s="113"/>
    </row>
    <row r="226" spans="1:429" s="48" customFormat="1">
      <c r="A226" s="113"/>
      <c r="B226" s="105"/>
      <c r="C226" s="71"/>
      <c r="D226" s="71"/>
      <c r="E226" s="72" t="s">
        <v>286</v>
      </c>
      <c r="F226" s="73" t="s">
        <v>837</v>
      </c>
      <c r="G226" s="41">
        <v>1.8</v>
      </c>
      <c r="H226" s="42">
        <v>2.8</v>
      </c>
      <c r="I226" s="74">
        <v>0.8</v>
      </c>
      <c r="J226" s="41">
        <v>0.2</v>
      </c>
      <c r="K226" s="42">
        <v>0.4</v>
      </c>
      <c r="L226" s="74">
        <v>0.1</v>
      </c>
      <c r="M226" s="42">
        <v>0.1</v>
      </c>
      <c r="N226" s="42">
        <v>0.2</v>
      </c>
      <c r="O226" s="42">
        <v>0</v>
      </c>
      <c r="P226" s="35">
        <v>2022</v>
      </c>
      <c r="Q226" s="36" t="s">
        <v>27</v>
      </c>
      <c r="R226" s="73" t="s">
        <v>24</v>
      </c>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c r="AO226" s="113"/>
      <c r="AP226" s="113"/>
      <c r="AQ226" s="113"/>
      <c r="AR226" s="113"/>
      <c r="AS226" s="113"/>
      <c r="AT226" s="113"/>
      <c r="AU226" s="113"/>
      <c r="AV226" s="113"/>
      <c r="AW226" s="113"/>
      <c r="AX226" s="113"/>
      <c r="AY226" s="113"/>
      <c r="AZ226" s="113"/>
      <c r="BA226" s="113"/>
      <c r="BB226" s="113"/>
      <c r="BC226" s="113"/>
      <c r="BD226" s="113"/>
      <c r="BE226" s="113"/>
      <c r="BF226" s="113"/>
      <c r="BG226" s="113"/>
      <c r="BH226" s="113"/>
      <c r="BI226" s="113"/>
      <c r="BJ226" s="113"/>
      <c r="BK226" s="113"/>
      <c r="BL226" s="113"/>
      <c r="BM226" s="113"/>
      <c r="BN226" s="113"/>
      <c r="BO226" s="113"/>
      <c r="BP226" s="113"/>
      <c r="BQ226" s="113"/>
      <c r="BR226" s="113"/>
      <c r="BS226" s="113"/>
      <c r="BT226" s="113"/>
      <c r="BU226" s="113"/>
      <c r="BV226" s="113"/>
      <c r="BW226" s="113"/>
      <c r="BX226" s="113"/>
      <c r="BY226" s="113"/>
      <c r="BZ226" s="113"/>
      <c r="CA226" s="113"/>
      <c r="CB226" s="113"/>
      <c r="CC226" s="113"/>
      <c r="CD226" s="113"/>
      <c r="CE226" s="113"/>
      <c r="CF226" s="113"/>
      <c r="CG226" s="113"/>
      <c r="CH226" s="113"/>
      <c r="CI226" s="113"/>
      <c r="CJ226" s="113"/>
      <c r="CK226" s="113"/>
      <c r="CL226" s="113"/>
      <c r="CM226" s="113"/>
      <c r="CN226" s="113"/>
      <c r="CO226" s="113"/>
      <c r="CP226" s="113"/>
      <c r="CQ226" s="113"/>
      <c r="CR226" s="113"/>
      <c r="CS226" s="113"/>
      <c r="CT226" s="113"/>
      <c r="CU226" s="113"/>
      <c r="CV226" s="113"/>
      <c r="CW226" s="113"/>
      <c r="CX226" s="113"/>
      <c r="CY226" s="113"/>
      <c r="CZ226" s="113"/>
      <c r="DA226" s="113"/>
      <c r="DB226" s="113"/>
      <c r="DC226" s="113"/>
      <c r="DD226" s="113"/>
      <c r="DE226" s="113"/>
      <c r="DF226" s="113"/>
      <c r="DG226" s="113"/>
      <c r="DH226" s="113"/>
      <c r="DI226" s="113"/>
      <c r="DJ226" s="113"/>
      <c r="DK226" s="113"/>
      <c r="DL226" s="113"/>
      <c r="DM226" s="113"/>
      <c r="DN226" s="113"/>
      <c r="DO226" s="113"/>
      <c r="DP226" s="113"/>
      <c r="DQ226" s="113"/>
      <c r="DR226" s="113"/>
      <c r="DS226" s="113"/>
      <c r="DT226" s="113"/>
      <c r="DU226" s="113"/>
      <c r="DV226" s="113"/>
      <c r="DW226" s="113"/>
      <c r="DX226" s="113"/>
      <c r="DY226" s="113"/>
      <c r="DZ226" s="113"/>
      <c r="EA226" s="113"/>
      <c r="EB226" s="113"/>
      <c r="EC226" s="113"/>
      <c r="ED226" s="113"/>
      <c r="EE226" s="113"/>
      <c r="EF226" s="113"/>
      <c r="EG226" s="113"/>
      <c r="EH226" s="113"/>
      <c r="EI226" s="113"/>
      <c r="EJ226" s="113"/>
      <c r="EK226" s="113"/>
      <c r="EL226" s="113"/>
      <c r="EM226" s="113"/>
      <c r="EN226" s="113"/>
      <c r="EO226" s="113"/>
      <c r="EP226" s="113"/>
      <c r="EQ226" s="113"/>
      <c r="ER226" s="113"/>
      <c r="ES226" s="113"/>
      <c r="ET226" s="113"/>
      <c r="EU226" s="113"/>
      <c r="EV226" s="113"/>
      <c r="EW226" s="113"/>
      <c r="EX226" s="113"/>
      <c r="EY226" s="113"/>
      <c r="EZ226" s="113"/>
      <c r="FA226" s="113"/>
      <c r="FB226" s="113"/>
      <c r="FC226" s="113"/>
      <c r="FD226" s="113"/>
      <c r="FE226" s="113"/>
      <c r="FF226" s="113"/>
      <c r="FG226" s="113"/>
      <c r="FH226" s="113"/>
      <c r="FI226" s="113"/>
      <c r="FJ226" s="113"/>
      <c r="FK226" s="113"/>
      <c r="FL226" s="113"/>
      <c r="FM226" s="113"/>
      <c r="FN226" s="113"/>
      <c r="FO226" s="113"/>
      <c r="FP226" s="113"/>
      <c r="FQ226" s="113"/>
      <c r="FR226" s="113"/>
      <c r="FS226" s="113"/>
      <c r="FT226" s="113"/>
      <c r="FU226" s="113"/>
      <c r="FV226" s="113"/>
      <c r="FW226" s="113"/>
      <c r="FX226" s="113"/>
      <c r="FY226" s="113"/>
      <c r="FZ226" s="113"/>
      <c r="GA226" s="113"/>
      <c r="GB226" s="113"/>
      <c r="GC226" s="113"/>
      <c r="GD226" s="113"/>
      <c r="GE226" s="113"/>
      <c r="GF226" s="113"/>
      <c r="GG226" s="113"/>
      <c r="GH226" s="113"/>
      <c r="GI226" s="113"/>
      <c r="GJ226" s="113"/>
      <c r="GK226" s="113"/>
      <c r="GL226" s="113"/>
      <c r="GM226" s="113"/>
      <c r="GN226" s="113"/>
      <c r="GO226" s="113"/>
      <c r="GP226" s="113"/>
      <c r="GQ226" s="113"/>
      <c r="GR226" s="113"/>
      <c r="GS226" s="113"/>
      <c r="GT226" s="113"/>
      <c r="GU226" s="113"/>
      <c r="GV226" s="113"/>
      <c r="GW226" s="113"/>
      <c r="GX226" s="113"/>
      <c r="GY226" s="113"/>
      <c r="GZ226" s="113"/>
      <c r="HA226" s="113"/>
      <c r="HB226" s="113"/>
      <c r="HC226" s="113"/>
      <c r="HD226" s="113"/>
      <c r="HE226" s="113"/>
      <c r="HF226" s="113"/>
      <c r="HG226" s="113"/>
      <c r="HH226" s="113"/>
      <c r="HI226" s="113"/>
      <c r="HJ226" s="113"/>
      <c r="HK226" s="113"/>
      <c r="HL226" s="113"/>
      <c r="HM226" s="113"/>
      <c r="HN226" s="113"/>
      <c r="HO226" s="113"/>
      <c r="HP226" s="113"/>
      <c r="HQ226" s="113"/>
      <c r="HR226" s="113"/>
      <c r="HS226" s="113"/>
      <c r="HT226" s="113"/>
      <c r="HU226" s="113"/>
      <c r="HV226" s="113"/>
      <c r="HW226" s="113"/>
      <c r="HX226" s="113"/>
      <c r="HY226" s="113"/>
      <c r="HZ226" s="113"/>
      <c r="IA226" s="113"/>
      <c r="IB226" s="113"/>
      <c r="IC226" s="113"/>
      <c r="ID226" s="113"/>
      <c r="IE226" s="113"/>
      <c r="IF226" s="113"/>
      <c r="IG226" s="113"/>
      <c r="IH226" s="113"/>
      <c r="II226" s="113"/>
      <c r="IJ226" s="113"/>
      <c r="IK226" s="113"/>
      <c r="IL226" s="113"/>
      <c r="IM226" s="113"/>
      <c r="IN226" s="113"/>
      <c r="IO226" s="113"/>
      <c r="IP226" s="113"/>
      <c r="IQ226" s="113"/>
      <c r="IR226" s="113"/>
      <c r="IS226" s="113"/>
      <c r="IT226" s="113"/>
      <c r="IU226" s="113"/>
      <c r="IV226" s="113"/>
      <c r="IW226" s="113"/>
      <c r="IX226" s="113"/>
      <c r="IY226" s="113"/>
      <c r="IZ226" s="113"/>
      <c r="JA226" s="113"/>
      <c r="JB226" s="113"/>
      <c r="JC226" s="113"/>
      <c r="JD226" s="113"/>
      <c r="JE226" s="113"/>
      <c r="JF226" s="113"/>
      <c r="JG226" s="113"/>
      <c r="JH226" s="113"/>
      <c r="JI226" s="113"/>
      <c r="JJ226" s="113"/>
      <c r="JK226" s="113"/>
      <c r="JL226" s="113"/>
      <c r="JM226" s="113"/>
      <c r="JN226" s="113"/>
      <c r="JO226" s="113"/>
      <c r="JP226" s="113"/>
      <c r="JQ226" s="113"/>
      <c r="JR226" s="113"/>
      <c r="JS226" s="113"/>
      <c r="JT226" s="113"/>
      <c r="JU226" s="113"/>
      <c r="JV226" s="113"/>
      <c r="JW226" s="113"/>
      <c r="JX226" s="113"/>
      <c r="JY226" s="113"/>
      <c r="JZ226" s="113"/>
      <c r="KA226" s="113"/>
      <c r="KB226" s="113"/>
      <c r="KC226" s="113"/>
      <c r="KD226" s="113"/>
      <c r="KE226" s="113"/>
      <c r="KF226" s="113"/>
      <c r="KG226" s="113"/>
      <c r="KH226" s="113"/>
      <c r="KI226" s="113"/>
      <c r="KJ226" s="113"/>
      <c r="KK226" s="113"/>
      <c r="KL226" s="113"/>
      <c r="KM226" s="113"/>
      <c r="KN226" s="113"/>
      <c r="KO226" s="113"/>
      <c r="KP226" s="113"/>
      <c r="KQ226" s="113"/>
      <c r="KR226" s="113"/>
      <c r="KS226" s="113"/>
      <c r="KT226" s="113"/>
      <c r="KU226" s="113"/>
      <c r="KV226" s="113"/>
      <c r="KW226" s="113"/>
      <c r="KX226" s="113"/>
      <c r="KY226" s="113"/>
      <c r="KZ226" s="113"/>
      <c r="LA226" s="113"/>
      <c r="LB226" s="113"/>
      <c r="LC226" s="113"/>
      <c r="LD226" s="113"/>
      <c r="LE226" s="113"/>
      <c r="LF226" s="113"/>
      <c r="LG226" s="113"/>
      <c r="LH226" s="113"/>
      <c r="LI226" s="113"/>
      <c r="LJ226" s="113"/>
      <c r="LK226" s="113"/>
      <c r="LL226" s="113"/>
      <c r="LM226" s="113"/>
      <c r="LN226" s="113"/>
      <c r="LO226" s="113"/>
      <c r="LP226" s="113"/>
      <c r="LQ226" s="113"/>
      <c r="LR226" s="113"/>
      <c r="LS226" s="113"/>
      <c r="LT226" s="113"/>
      <c r="LU226" s="113"/>
      <c r="LV226" s="113"/>
      <c r="LW226" s="113"/>
      <c r="LX226" s="113"/>
      <c r="LY226" s="113"/>
      <c r="LZ226" s="113"/>
      <c r="MA226" s="113"/>
      <c r="MB226" s="113"/>
      <c r="MC226" s="113"/>
      <c r="MD226" s="113"/>
      <c r="ME226" s="113"/>
      <c r="MF226" s="113"/>
      <c r="MG226" s="113"/>
      <c r="MH226" s="113"/>
      <c r="MI226" s="113"/>
      <c r="MJ226" s="113"/>
      <c r="MK226" s="113"/>
      <c r="ML226" s="113"/>
      <c r="MM226" s="113"/>
      <c r="MN226" s="113"/>
      <c r="MO226" s="113"/>
      <c r="MP226" s="113"/>
      <c r="MQ226" s="113"/>
      <c r="MR226" s="113"/>
      <c r="MS226" s="113"/>
      <c r="MT226" s="113"/>
      <c r="MU226" s="113"/>
      <c r="MV226" s="113"/>
      <c r="MW226" s="113"/>
      <c r="MX226" s="113"/>
      <c r="MY226" s="113"/>
      <c r="MZ226" s="113"/>
      <c r="NA226" s="113"/>
      <c r="NB226" s="113"/>
      <c r="NC226" s="113"/>
      <c r="ND226" s="113"/>
      <c r="NE226" s="113"/>
      <c r="NF226" s="113"/>
      <c r="NG226" s="113"/>
      <c r="NH226" s="113"/>
      <c r="NI226" s="113"/>
      <c r="NJ226" s="113"/>
      <c r="NK226" s="113"/>
      <c r="NL226" s="113"/>
      <c r="NM226" s="113"/>
      <c r="NN226" s="113"/>
      <c r="NO226" s="113"/>
      <c r="NP226" s="113"/>
      <c r="NQ226" s="113"/>
      <c r="NR226" s="113"/>
      <c r="NS226" s="113"/>
      <c r="NT226" s="113"/>
      <c r="NU226" s="113"/>
      <c r="NV226" s="113"/>
      <c r="NW226" s="113"/>
      <c r="NX226" s="113"/>
      <c r="NY226" s="113"/>
      <c r="NZ226" s="113"/>
      <c r="OA226" s="113"/>
      <c r="OB226" s="113"/>
      <c r="OC226" s="113"/>
      <c r="OD226" s="113"/>
      <c r="OE226" s="113"/>
      <c r="OF226" s="113"/>
      <c r="OG226" s="113"/>
      <c r="OH226" s="113"/>
      <c r="OI226" s="113"/>
      <c r="OJ226" s="113"/>
      <c r="OK226" s="113"/>
      <c r="OL226" s="113"/>
      <c r="OM226" s="113"/>
      <c r="ON226" s="113"/>
      <c r="OO226" s="113"/>
      <c r="OP226" s="113"/>
      <c r="OQ226" s="113"/>
      <c r="OR226" s="113"/>
      <c r="OS226" s="113"/>
      <c r="OT226" s="113"/>
      <c r="OU226" s="113"/>
      <c r="OV226" s="113"/>
      <c r="OW226" s="113"/>
      <c r="OX226" s="113"/>
      <c r="OY226" s="113"/>
      <c r="OZ226" s="113"/>
      <c r="PA226" s="113"/>
      <c r="PB226" s="113"/>
      <c r="PC226" s="113"/>
      <c r="PD226" s="113"/>
      <c r="PE226" s="113"/>
      <c r="PF226" s="113"/>
      <c r="PG226" s="113"/>
      <c r="PH226" s="113"/>
      <c r="PI226" s="113"/>
      <c r="PJ226" s="113"/>
      <c r="PK226" s="113"/>
      <c r="PL226" s="113"/>
      <c r="PM226" s="113"/>
    </row>
    <row r="227" spans="1:429">
      <c r="B227" s="105"/>
      <c r="C227" s="71"/>
      <c r="D227" s="71"/>
      <c r="E227" s="72" t="s">
        <v>286</v>
      </c>
      <c r="F227" s="73" t="s">
        <v>837</v>
      </c>
      <c r="G227" s="41">
        <v>2.1</v>
      </c>
      <c r="H227" s="42">
        <v>2.7</v>
      </c>
      <c r="I227" s="74">
        <v>1.4</v>
      </c>
      <c r="J227" s="41">
        <v>0.3</v>
      </c>
      <c r="K227" s="42">
        <v>0.5</v>
      </c>
      <c r="L227" s="74">
        <v>0.1</v>
      </c>
      <c r="M227" s="42">
        <v>0.1</v>
      </c>
      <c r="N227" s="42">
        <v>0.1</v>
      </c>
      <c r="O227" s="42">
        <v>0</v>
      </c>
      <c r="P227" s="35">
        <v>2021</v>
      </c>
      <c r="Q227" s="36" t="s">
        <v>27</v>
      </c>
      <c r="R227" s="73" t="s">
        <v>24</v>
      </c>
    </row>
    <row r="228" spans="1:429">
      <c r="B228" s="105"/>
      <c r="C228" s="71"/>
      <c r="D228" s="71"/>
      <c r="E228" s="72" t="s">
        <v>287</v>
      </c>
      <c r="F228" s="73" t="s">
        <v>819</v>
      </c>
      <c r="G228" s="41">
        <v>0.5</v>
      </c>
      <c r="H228" s="42">
        <v>0.7</v>
      </c>
      <c r="I228" s="74">
        <v>0.2</v>
      </c>
      <c r="J228" s="41">
        <v>0.1</v>
      </c>
      <c r="K228" s="42">
        <v>0.2</v>
      </c>
      <c r="L228" s="74">
        <v>0</v>
      </c>
      <c r="M228" s="42"/>
      <c r="N228" s="42"/>
      <c r="O228" s="42"/>
      <c r="P228" s="35">
        <v>2021</v>
      </c>
      <c r="Q228" s="36" t="s">
        <v>265</v>
      </c>
      <c r="R228" s="73" t="s">
        <v>24</v>
      </c>
    </row>
    <row r="229" spans="1:429">
      <c r="B229" s="105"/>
      <c r="C229" s="71"/>
      <c r="D229" s="71"/>
      <c r="E229" s="72" t="s">
        <v>287</v>
      </c>
      <c r="F229" s="73" t="s">
        <v>819</v>
      </c>
      <c r="G229" s="41">
        <v>0.2</v>
      </c>
      <c r="H229" s="42">
        <v>0.5</v>
      </c>
      <c r="I229" s="74">
        <v>0</v>
      </c>
      <c r="J229" s="41">
        <v>0</v>
      </c>
      <c r="K229" s="42">
        <v>0.1</v>
      </c>
      <c r="L229" s="74">
        <v>0</v>
      </c>
      <c r="M229" s="42"/>
      <c r="N229" s="42"/>
      <c r="O229" s="42"/>
      <c r="P229" s="35">
        <v>2020</v>
      </c>
      <c r="Q229" s="36" t="s">
        <v>265</v>
      </c>
      <c r="R229" s="73" t="s">
        <v>24</v>
      </c>
    </row>
    <row r="230" spans="1:429">
      <c r="B230" s="105"/>
      <c r="C230" s="71"/>
      <c r="D230" s="71"/>
      <c r="E230" s="72" t="s">
        <v>287</v>
      </c>
      <c r="F230" s="73" t="s">
        <v>819</v>
      </c>
      <c r="G230" s="41">
        <v>0.5</v>
      </c>
      <c r="H230" s="42">
        <v>0.6</v>
      </c>
      <c r="I230" s="74">
        <v>0.4</v>
      </c>
      <c r="J230" s="41">
        <v>0.1</v>
      </c>
      <c r="K230" s="42">
        <v>0.2</v>
      </c>
      <c r="L230" s="74">
        <v>0</v>
      </c>
      <c r="M230" s="42"/>
      <c r="N230" s="42"/>
      <c r="O230" s="42"/>
      <c r="P230" s="35">
        <v>2019</v>
      </c>
      <c r="Q230" s="36" t="s">
        <v>265</v>
      </c>
      <c r="R230" s="73" t="s">
        <v>838</v>
      </c>
    </row>
    <row r="231" spans="1:429">
      <c r="B231" s="105"/>
      <c r="C231" s="71"/>
      <c r="D231" s="71"/>
      <c r="E231" s="72" t="s">
        <v>287</v>
      </c>
      <c r="F231" s="73" t="s">
        <v>819</v>
      </c>
      <c r="G231" s="41">
        <v>0.2</v>
      </c>
      <c r="H231" s="42">
        <v>0.3</v>
      </c>
      <c r="I231" s="74">
        <v>0</v>
      </c>
      <c r="J231" s="41">
        <v>0</v>
      </c>
      <c r="K231" s="42">
        <v>0</v>
      </c>
      <c r="L231" s="74">
        <v>0</v>
      </c>
      <c r="M231" s="42"/>
      <c r="N231" s="42"/>
      <c r="O231" s="42"/>
      <c r="P231" s="35">
        <v>2018</v>
      </c>
      <c r="Q231" s="36" t="s">
        <v>265</v>
      </c>
      <c r="R231" s="73" t="s">
        <v>24</v>
      </c>
    </row>
    <row r="232" spans="1:429">
      <c r="B232" s="105"/>
      <c r="C232" s="71"/>
      <c r="D232" s="71"/>
      <c r="E232" s="72" t="s">
        <v>287</v>
      </c>
      <c r="F232" s="73" t="s">
        <v>819</v>
      </c>
      <c r="G232" s="41">
        <v>1.0999999999999999</v>
      </c>
      <c r="H232" s="42">
        <v>1.7000000000000002</v>
      </c>
      <c r="I232" s="74">
        <v>0.4</v>
      </c>
      <c r="J232" s="41">
        <v>0.1</v>
      </c>
      <c r="K232" s="42">
        <v>0.2</v>
      </c>
      <c r="L232" s="74">
        <v>0</v>
      </c>
      <c r="M232" s="42"/>
      <c r="N232" s="42"/>
      <c r="O232" s="42"/>
      <c r="P232" s="35">
        <v>2017</v>
      </c>
      <c r="Q232" s="36" t="s">
        <v>265</v>
      </c>
      <c r="R232" s="73" t="s">
        <v>24</v>
      </c>
    </row>
    <row r="233" spans="1:429">
      <c r="B233" s="105"/>
      <c r="C233" s="71"/>
      <c r="D233" s="71"/>
      <c r="E233" s="72" t="s">
        <v>287</v>
      </c>
      <c r="F233" s="73" t="s">
        <v>819</v>
      </c>
      <c r="G233" s="41">
        <v>0.6</v>
      </c>
      <c r="H233" s="42">
        <v>0.89999999999999991</v>
      </c>
      <c r="I233" s="74">
        <v>0.3</v>
      </c>
      <c r="J233" s="41">
        <v>0.1</v>
      </c>
      <c r="K233" s="42">
        <v>0.2</v>
      </c>
      <c r="L233" s="74">
        <v>0</v>
      </c>
      <c r="M233" s="42"/>
      <c r="N233" s="42"/>
      <c r="O233" s="42"/>
      <c r="P233" s="35">
        <v>2016</v>
      </c>
      <c r="Q233" s="36" t="s">
        <v>265</v>
      </c>
      <c r="R233" s="73" t="s">
        <v>24</v>
      </c>
    </row>
    <row r="234" spans="1:429">
      <c r="B234" s="105"/>
      <c r="C234" s="71"/>
      <c r="D234" s="71"/>
      <c r="E234" s="72" t="s">
        <v>290</v>
      </c>
      <c r="F234" s="73" t="s">
        <v>819</v>
      </c>
      <c r="G234" s="41">
        <v>3.9</v>
      </c>
      <c r="H234" s="42">
        <v>5.3</v>
      </c>
      <c r="I234" s="74">
        <v>2.6</v>
      </c>
      <c r="J234" s="41">
        <v>1</v>
      </c>
      <c r="K234" s="42">
        <v>1.3</v>
      </c>
      <c r="L234" s="74">
        <v>0.7</v>
      </c>
      <c r="M234" s="42">
        <v>0.2</v>
      </c>
      <c r="N234" s="42">
        <v>0.3</v>
      </c>
      <c r="O234" s="42">
        <v>0.2</v>
      </c>
      <c r="P234" s="35">
        <v>2019</v>
      </c>
      <c r="Q234" s="36" t="s">
        <v>27</v>
      </c>
      <c r="R234" s="73" t="s">
        <v>24</v>
      </c>
    </row>
    <row r="235" spans="1:429">
      <c r="B235" s="105"/>
      <c r="C235" s="71"/>
      <c r="D235" s="71"/>
      <c r="E235" s="72" t="s">
        <v>290</v>
      </c>
      <c r="F235" s="73" t="s">
        <v>819</v>
      </c>
      <c r="G235" s="41">
        <v>1.2</v>
      </c>
      <c r="H235" s="42">
        <v>1.4000000000000001</v>
      </c>
      <c r="I235" s="74">
        <v>1.0999999999999999</v>
      </c>
      <c r="J235" s="41">
        <v>0.8</v>
      </c>
      <c r="K235" s="42">
        <v>0.89999999999999991</v>
      </c>
      <c r="L235" s="74">
        <v>0.70000000000000007</v>
      </c>
      <c r="M235" s="42">
        <v>0.3</v>
      </c>
      <c r="N235" s="42">
        <v>0.5</v>
      </c>
      <c r="O235" s="42">
        <v>0.2</v>
      </c>
      <c r="P235" s="35">
        <v>2016</v>
      </c>
      <c r="Q235" s="36" t="s">
        <v>27</v>
      </c>
      <c r="R235" s="73" t="s">
        <v>24</v>
      </c>
    </row>
    <row r="236" spans="1:429" s="48" customFormat="1">
      <c r="A236" s="113"/>
      <c r="B236" s="105"/>
      <c r="C236" s="71"/>
      <c r="D236" s="71"/>
      <c r="E236" s="72" t="s">
        <v>293</v>
      </c>
      <c r="F236" s="73" t="s">
        <v>819</v>
      </c>
      <c r="G236" s="41">
        <v>0.3</v>
      </c>
      <c r="H236" s="42">
        <v>0.4</v>
      </c>
      <c r="I236" s="74">
        <v>0.2</v>
      </c>
      <c r="J236" s="41">
        <v>0.1</v>
      </c>
      <c r="K236" s="42">
        <v>0.1</v>
      </c>
      <c r="L236" s="74">
        <v>0</v>
      </c>
      <c r="M236" s="42"/>
      <c r="N236" s="42"/>
      <c r="O236" s="42"/>
      <c r="P236" s="35">
        <v>2022</v>
      </c>
      <c r="Q236" s="36" t="s">
        <v>27</v>
      </c>
      <c r="R236" s="73" t="s">
        <v>24</v>
      </c>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c r="AO236" s="113"/>
      <c r="AP236" s="113"/>
      <c r="AQ236" s="113"/>
      <c r="AR236" s="113"/>
      <c r="AS236" s="113"/>
      <c r="AT236" s="113"/>
      <c r="AU236" s="113"/>
      <c r="AV236" s="113"/>
      <c r="AW236" s="113"/>
      <c r="AX236" s="113"/>
      <c r="AY236" s="113"/>
      <c r="AZ236" s="113"/>
      <c r="BA236" s="113"/>
      <c r="BB236" s="113"/>
      <c r="BC236" s="113"/>
      <c r="BD236" s="113"/>
      <c r="BE236" s="113"/>
      <c r="BF236" s="113"/>
      <c r="BG236" s="113"/>
      <c r="BH236" s="113"/>
      <c r="BI236" s="113"/>
      <c r="BJ236" s="113"/>
      <c r="BK236" s="113"/>
      <c r="BL236" s="113"/>
      <c r="BM236" s="113"/>
      <c r="BN236" s="113"/>
      <c r="BO236" s="113"/>
      <c r="BP236" s="113"/>
      <c r="BQ236" s="113"/>
      <c r="BR236" s="113"/>
      <c r="BS236" s="113"/>
      <c r="BT236" s="113"/>
      <c r="BU236" s="113"/>
      <c r="BV236" s="113"/>
      <c r="BW236" s="113"/>
      <c r="BX236" s="113"/>
      <c r="BY236" s="113"/>
      <c r="BZ236" s="113"/>
      <c r="CA236" s="113"/>
      <c r="CB236" s="113"/>
      <c r="CC236" s="113"/>
      <c r="CD236" s="113"/>
      <c r="CE236" s="113"/>
      <c r="CF236" s="113"/>
      <c r="CG236" s="113"/>
      <c r="CH236" s="113"/>
      <c r="CI236" s="113"/>
      <c r="CJ236" s="113"/>
      <c r="CK236" s="113"/>
      <c r="CL236" s="113"/>
      <c r="CM236" s="113"/>
      <c r="CN236" s="113"/>
      <c r="CO236" s="113"/>
      <c r="CP236" s="113"/>
      <c r="CQ236" s="113"/>
      <c r="CR236" s="113"/>
      <c r="CS236" s="113"/>
      <c r="CT236" s="113"/>
      <c r="CU236" s="113"/>
      <c r="CV236" s="113"/>
      <c r="CW236" s="113"/>
      <c r="CX236" s="113"/>
      <c r="CY236" s="113"/>
      <c r="CZ236" s="113"/>
      <c r="DA236" s="113"/>
      <c r="DB236" s="113"/>
      <c r="DC236" s="113"/>
      <c r="DD236" s="113"/>
      <c r="DE236" s="113"/>
      <c r="DF236" s="113"/>
      <c r="DG236" s="113"/>
      <c r="DH236" s="113"/>
      <c r="DI236" s="113"/>
      <c r="DJ236" s="113"/>
      <c r="DK236" s="113"/>
      <c r="DL236" s="113"/>
      <c r="DM236" s="113"/>
      <c r="DN236" s="113"/>
      <c r="DO236" s="113"/>
      <c r="DP236" s="113"/>
      <c r="DQ236" s="113"/>
      <c r="DR236" s="113"/>
      <c r="DS236" s="113"/>
      <c r="DT236" s="113"/>
      <c r="DU236" s="113"/>
      <c r="DV236" s="113"/>
      <c r="DW236" s="113"/>
      <c r="DX236" s="113"/>
      <c r="DY236" s="113"/>
      <c r="DZ236" s="113"/>
      <c r="EA236" s="113"/>
      <c r="EB236" s="113"/>
      <c r="EC236" s="113"/>
      <c r="ED236" s="113"/>
      <c r="EE236" s="113"/>
      <c r="EF236" s="113"/>
      <c r="EG236" s="113"/>
      <c r="EH236" s="113"/>
      <c r="EI236" s="113"/>
      <c r="EJ236" s="113"/>
      <c r="EK236" s="113"/>
      <c r="EL236" s="113"/>
      <c r="EM236" s="113"/>
      <c r="EN236" s="113"/>
      <c r="EO236" s="113"/>
      <c r="EP236" s="113"/>
      <c r="EQ236" s="113"/>
      <c r="ER236" s="113"/>
      <c r="ES236" s="113"/>
      <c r="ET236" s="113"/>
      <c r="EU236" s="113"/>
      <c r="EV236" s="113"/>
      <c r="EW236" s="113"/>
      <c r="EX236" s="113"/>
      <c r="EY236" s="113"/>
      <c r="EZ236" s="113"/>
      <c r="FA236" s="113"/>
      <c r="FB236" s="113"/>
      <c r="FC236" s="113"/>
      <c r="FD236" s="113"/>
      <c r="FE236" s="113"/>
      <c r="FF236" s="113"/>
      <c r="FG236" s="113"/>
      <c r="FH236" s="113"/>
      <c r="FI236" s="113"/>
      <c r="FJ236" s="113"/>
      <c r="FK236" s="113"/>
      <c r="FL236" s="113"/>
      <c r="FM236" s="113"/>
      <c r="FN236" s="113"/>
      <c r="FO236" s="113"/>
      <c r="FP236" s="113"/>
      <c r="FQ236" s="113"/>
      <c r="FR236" s="113"/>
      <c r="FS236" s="113"/>
      <c r="FT236" s="113"/>
      <c r="FU236" s="113"/>
      <c r="FV236" s="113"/>
      <c r="FW236" s="113"/>
      <c r="FX236" s="113"/>
      <c r="FY236" s="113"/>
      <c r="FZ236" s="113"/>
      <c r="GA236" s="113"/>
      <c r="GB236" s="113"/>
      <c r="GC236" s="113"/>
      <c r="GD236" s="113"/>
      <c r="GE236" s="113"/>
      <c r="GF236" s="113"/>
      <c r="GG236" s="113"/>
      <c r="GH236" s="113"/>
      <c r="GI236" s="113"/>
      <c r="GJ236" s="113"/>
      <c r="GK236" s="113"/>
      <c r="GL236" s="113"/>
      <c r="GM236" s="113"/>
      <c r="GN236" s="113"/>
      <c r="GO236" s="113"/>
      <c r="GP236" s="113"/>
      <c r="GQ236" s="113"/>
      <c r="GR236" s="113"/>
      <c r="GS236" s="113"/>
      <c r="GT236" s="113"/>
      <c r="GU236" s="113"/>
      <c r="GV236" s="113"/>
      <c r="GW236" s="113"/>
      <c r="GX236" s="113"/>
      <c r="GY236" s="113"/>
      <c r="GZ236" s="113"/>
      <c r="HA236" s="113"/>
      <c r="HB236" s="113"/>
      <c r="HC236" s="113"/>
      <c r="HD236" s="113"/>
      <c r="HE236" s="113"/>
      <c r="HF236" s="113"/>
      <c r="HG236" s="113"/>
      <c r="HH236" s="113"/>
      <c r="HI236" s="113"/>
      <c r="HJ236" s="113"/>
      <c r="HK236" s="113"/>
      <c r="HL236" s="113"/>
      <c r="HM236" s="113"/>
      <c r="HN236" s="113"/>
      <c r="HO236" s="113"/>
      <c r="HP236" s="113"/>
      <c r="HQ236" s="113"/>
      <c r="HR236" s="113"/>
      <c r="HS236" s="113"/>
      <c r="HT236" s="113"/>
      <c r="HU236" s="113"/>
      <c r="HV236" s="113"/>
      <c r="HW236" s="113"/>
      <c r="HX236" s="113"/>
      <c r="HY236" s="113"/>
      <c r="HZ236" s="113"/>
      <c r="IA236" s="113"/>
      <c r="IB236" s="113"/>
      <c r="IC236" s="113"/>
      <c r="ID236" s="113"/>
      <c r="IE236" s="113"/>
      <c r="IF236" s="113"/>
      <c r="IG236" s="113"/>
      <c r="IH236" s="113"/>
      <c r="II236" s="113"/>
      <c r="IJ236" s="113"/>
      <c r="IK236" s="113"/>
      <c r="IL236" s="113"/>
      <c r="IM236" s="113"/>
      <c r="IN236" s="113"/>
      <c r="IO236" s="113"/>
      <c r="IP236" s="113"/>
      <c r="IQ236" s="113"/>
      <c r="IR236" s="113"/>
      <c r="IS236" s="113"/>
      <c r="IT236" s="113"/>
      <c r="IU236" s="113"/>
      <c r="IV236" s="113"/>
      <c r="IW236" s="113"/>
      <c r="IX236" s="113"/>
      <c r="IY236" s="113"/>
      <c r="IZ236" s="113"/>
      <c r="JA236" s="113"/>
      <c r="JB236" s="113"/>
      <c r="JC236" s="113"/>
      <c r="JD236" s="113"/>
      <c r="JE236" s="113"/>
      <c r="JF236" s="113"/>
      <c r="JG236" s="113"/>
      <c r="JH236" s="113"/>
      <c r="JI236" s="113"/>
      <c r="JJ236" s="113"/>
      <c r="JK236" s="113"/>
      <c r="JL236" s="113"/>
      <c r="JM236" s="113"/>
      <c r="JN236" s="113"/>
      <c r="JO236" s="113"/>
      <c r="JP236" s="113"/>
      <c r="JQ236" s="113"/>
      <c r="JR236" s="113"/>
      <c r="JS236" s="113"/>
      <c r="JT236" s="113"/>
      <c r="JU236" s="113"/>
      <c r="JV236" s="113"/>
      <c r="JW236" s="113"/>
      <c r="JX236" s="113"/>
      <c r="JY236" s="113"/>
      <c r="JZ236" s="113"/>
      <c r="KA236" s="113"/>
      <c r="KB236" s="113"/>
      <c r="KC236" s="113"/>
      <c r="KD236" s="113"/>
      <c r="KE236" s="113"/>
      <c r="KF236" s="113"/>
      <c r="KG236" s="113"/>
      <c r="KH236" s="113"/>
      <c r="KI236" s="113"/>
      <c r="KJ236" s="113"/>
      <c r="KK236" s="113"/>
      <c r="KL236" s="113"/>
      <c r="KM236" s="113"/>
      <c r="KN236" s="113"/>
      <c r="KO236" s="113"/>
      <c r="KP236" s="113"/>
      <c r="KQ236" s="113"/>
      <c r="KR236" s="113"/>
      <c r="KS236" s="113"/>
      <c r="KT236" s="113"/>
      <c r="KU236" s="113"/>
      <c r="KV236" s="113"/>
      <c r="KW236" s="113"/>
      <c r="KX236" s="113"/>
      <c r="KY236" s="113"/>
      <c r="KZ236" s="113"/>
      <c r="LA236" s="113"/>
      <c r="LB236" s="113"/>
      <c r="LC236" s="113"/>
      <c r="LD236" s="113"/>
      <c r="LE236" s="113"/>
      <c r="LF236" s="113"/>
      <c r="LG236" s="113"/>
      <c r="LH236" s="113"/>
      <c r="LI236" s="113"/>
      <c r="LJ236" s="113"/>
      <c r="LK236" s="113"/>
      <c r="LL236" s="113"/>
      <c r="LM236" s="113"/>
      <c r="LN236" s="113"/>
      <c r="LO236" s="113"/>
      <c r="LP236" s="113"/>
      <c r="LQ236" s="113"/>
      <c r="LR236" s="113"/>
      <c r="LS236" s="113"/>
      <c r="LT236" s="113"/>
      <c r="LU236" s="113"/>
      <c r="LV236" s="113"/>
      <c r="LW236" s="113"/>
      <c r="LX236" s="113"/>
      <c r="LY236" s="113"/>
      <c r="LZ236" s="113"/>
      <c r="MA236" s="113"/>
      <c r="MB236" s="113"/>
      <c r="MC236" s="113"/>
      <c r="MD236" s="113"/>
      <c r="ME236" s="113"/>
      <c r="MF236" s="113"/>
      <c r="MG236" s="113"/>
      <c r="MH236" s="113"/>
      <c r="MI236" s="113"/>
      <c r="MJ236" s="113"/>
      <c r="MK236" s="113"/>
      <c r="ML236" s="113"/>
      <c r="MM236" s="113"/>
      <c r="MN236" s="113"/>
      <c r="MO236" s="113"/>
      <c r="MP236" s="113"/>
      <c r="MQ236" s="113"/>
      <c r="MR236" s="113"/>
      <c r="MS236" s="113"/>
      <c r="MT236" s="113"/>
      <c r="MU236" s="113"/>
      <c r="MV236" s="113"/>
      <c r="MW236" s="113"/>
      <c r="MX236" s="113"/>
      <c r="MY236" s="113"/>
      <c r="MZ236" s="113"/>
      <c r="NA236" s="113"/>
      <c r="NB236" s="113"/>
      <c r="NC236" s="113"/>
      <c r="ND236" s="113"/>
      <c r="NE236" s="113"/>
      <c r="NF236" s="113"/>
      <c r="NG236" s="113"/>
      <c r="NH236" s="113"/>
      <c r="NI236" s="113"/>
      <c r="NJ236" s="113"/>
      <c r="NK236" s="113"/>
      <c r="NL236" s="113"/>
      <c r="NM236" s="113"/>
      <c r="NN236" s="113"/>
      <c r="NO236" s="113"/>
      <c r="NP236" s="113"/>
      <c r="NQ236" s="113"/>
      <c r="NR236" s="113"/>
      <c r="NS236" s="113"/>
      <c r="NT236" s="113"/>
      <c r="NU236" s="113"/>
      <c r="NV236" s="113"/>
      <c r="NW236" s="113"/>
      <c r="NX236" s="113"/>
      <c r="NY236" s="113"/>
      <c r="NZ236" s="113"/>
      <c r="OA236" s="113"/>
      <c r="OB236" s="113"/>
      <c r="OC236" s="113"/>
      <c r="OD236" s="113"/>
      <c r="OE236" s="113"/>
      <c r="OF236" s="113"/>
      <c r="OG236" s="113"/>
      <c r="OH236" s="113"/>
      <c r="OI236" s="113"/>
      <c r="OJ236" s="113"/>
      <c r="OK236" s="113"/>
      <c r="OL236" s="113"/>
      <c r="OM236" s="113"/>
      <c r="ON236" s="113"/>
      <c r="OO236" s="113"/>
      <c r="OP236" s="113"/>
      <c r="OQ236" s="113"/>
      <c r="OR236" s="113"/>
      <c r="OS236" s="113"/>
      <c r="OT236" s="113"/>
      <c r="OU236" s="113"/>
      <c r="OV236" s="113"/>
      <c r="OW236" s="113"/>
      <c r="OX236" s="113"/>
      <c r="OY236" s="113"/>
      <c r="OZ236" s="113"/>
      <c r="PA236" s="113"/>
      <c r="PB236" s="113"/>
      <c r="PC236" s="113"/>
      <c r="PD236" s="113"/>
      <c r="PE236" s="113"/>
      <c r="PF236" s="113"/>
      <c r="PG236" s="113"/>
      <c r="PH236" s="113"/>
      <c r="PI236" s="113"/>
      <c r="PJ236" s="113"/>
      <c r="PK236" s="113"/>
      <c r="PL236" s="113"/>
      <c r="PM236" s="113"/>
    </row>
    <row r="237" spans="1:429">
      <c r="B237" s="105"/>
      <c r="C237" s="71"/>
      <c r="D237" s="71"/>
      <c r="E237" s="72" t="s">
        <v>293</v>
      </c>
      <c r="F237" s="73" t="s">
        <v>819</v>
      </c>
      <c r="G237" s="41">
        <v>0.3</v>
      </c>
      <c r="H237" s="42">
        <v>0.4</v>
      </c>
      <c r="I237" s="74">
        <v>0.1</v>
      </c>
      <c r="J237" s="41">
        <v>0.2</v>
      </c>
      <c r="K237" s="42">
        <v>0.3</v>
      </c>
      <c r="L237" s="74">
        <v>0.1</v>
      </c>
      <c r="M237" s="42">
        <v>0.02</v>
      </c>
      <c r="N237" s="42">
        <v>0.04</v>
      </c>
      <c r="O237" s="42">
        <v>0</v>
      </c>
      <c r="P237" s="35">
        <v>2017</v>
      </c>
      <c r="Q237" s="36" t="s">
        <v>27</v>
      </c>
      <c r="R237" s="73" t="s">
        <v>24</v>
      </c>
    </row>
    <row r="238" spans="1:429">
      <c r="B238" s="105"/>
      <c r="C238" s="71"/>
      <c r="D238" s="71"/>
      <c r="E238" s="72" t="s">
        <v>293</v>
      </c>
      <c r="F238" s="73" t="s">
        <v>819</v>
      </c>
      <c r="G238" s="41">
        <v>0.4</v>
      </c>
      <c r="H238" s="42"/>
      <c r="I238" s="74"/>
      <c r="J238" s="41"/>
      <c r="K238" s="42"/>
      <c r="L238" s="74"/>
      <c r="M238" s="42"/>
      <c r="N238" s="42"/>
      <c r="O238" s="42"/>
      <c r="P238" s="35">
        <v>2012</v>
      </c>
      <c r="Q238" s="36" t="s">
        <v>27</v>
      </c>
      <c r="R238" s="73" t="s">
        <v>839</v>
      </c>
    </row>
    <row r="239" spans="1:429">
      <c r="B239" s="105"/>
      <c r="C239" s="71"/>
      <c r="D239" s="71"/>
      <c r="E239" s="72" t="s">
        <v>293</v>
      </c>
      <c r="F239" s="73" t="s">
        <v>819</v>
      </c>
      <c r="G239" s="41">
        <v>0.9</v>
      </c>
      <c r="H239" s="42"/>
      <c r="I239" s="74"/>
      <c r="J239" s="41"/>
      <c r="K239" s="42"/>
      <c r="L239" s="74"/>
      <c r="M239" s="42"/>
      <c r="N239" s="42"/>
      <c r="O239" s="42"/>
      <c r="P239" s="35">
        <v>2012</v>
      </c>
      <c r="Q239" s="36" t="s">
        <v>826</v>
      </c>
      <c r="R239" s="73" t="s">
        <v>840</v>
      </c>
    </row>
    <row r="240" spans="1:429">
      <c r="B240" s="105"/>
      <c r="C240" s="71"/>
      <c r="D240" s="71"/>
      <c r="E240" s="72" t="s">
        <v>296</v>
      </c>
      <c r="F240" s="73" t="s">
        <v>817</v>
      </c>
      <c r="G240" s="41">
        <v>0.3</v>
      </c>
      <c r="H240" s="42">
        <v>0.5</v>
      </c>
      <c r="I240" s="74">
        <v>0.1</v>
      </c>
      <c r="J240" s="41">
        <v>0.1</v>
      </c>
      <c r="K240" s="42">
        <v>0.3</v>
      </c>
      <c r="L240" s="74">
        <v>0</v>
      </c>
      <c r="M240" s="42">
        <v>0.3</v>
      </c>
      <c r="N240" s="42">
        <v>0.5</v>
      </c>
      <c r="O240" s="42">
        <v>0</v>
      </c>
      <c r="P240" s="35">
        <v>2015</v>
      </c>
      <c r="Q240" s="36" t="s">
        <v>27</v>
      </c>
      <c r="R240" s="73" t="s">
        <v>24</v>
      </c>
    </row>
    <row r="241" spans="1:429">
      <c r="B241" s="105"/>
      <c r="C241" s="71"/>
      <c r="D241" s="71"/>
      <c r="E241" s="72" t="s">
        <v>296</v>
      </c>
      <c r="F241" s="73" t="s">
        <v>819</v>
      </c>
      <c r="G241" s="41">
        <v>0.6</v>
      </c>
      <c r="H241" s="42">
        <v>0.89999999999999991</v>
      </c>
      <c r="I241" s="74">
        <v>0.3</v>
      </c>
      <c r="J241" s="41">
        <v>0.3</v>
      </c>
      <c r="K241" s="42">
        <v>0.4</v>
      </c>
      <c r="L241" s="74">
        <v>0.2</v>
      </c>
      <c r="M241" s="42">
        <v>0.1</v>
      </c>
      <c r="N241" s="42">
        <v>0.1</v>
      </c>
      <c r="O241" s="42">
        <v>0.1</v>
      </c>
      <c r="P241" s="35" t="s">
        <v>767</v>
      </c>
      <c r="Q241" s="36" t="s">
        <v>27</v>
      </c>
      <c r="R241" s="73" t="s">
        <v>24</v>
      </c>
    </row>
    <row r="242" spans="1:429">
      <c r="B242" s="105"/>
      <c r="C242" s="71"/>
      <c r="D242" s="71"/>
      <c r="E242" s="72" t="s">
        <v>296</v>
      </c>
      <c r="F242" s="73" t="s">
        <v>818</v>
      </c>
      <c r="G242" s="41">
        <v>0</v>
      </c>
      <c r="H242" s="42">
        <v>0.1</v>
      </c>
      <c r="I242" s="74">
        <v>0</v>
      </c>
      <c r="J242" s="41"/>
      <c r="K242" s="42"/>
      <c r="L242" s="74"/>
      <c r="M242" s="42"/>
      <c r="N242" s="42"/>
      <c r="O242" s="42"/>
      <c r="P242" s="35">
        <v>2010</v>
      </c>
      <c r="Q242" s="36" t="s">
        <v>27</v>
      </c>
      <c r="R242" s="73" t="s">
        <v>24</v>
      </c>
    </row>
    <row r="243" spans="1:429" s="48" customFormat="1">
      <c r="A243" s="113"/>
      <c r="B243" s="105"/>
      <c r="C243" s="71"/>
      <c r="D243" s="71"/>
      <c r="E243" s="72" t="s">
        <v>297</v>
      </c>
      <c r="F243" s="73" t="s">
        <v>819</v>
      </c>
      <c r="G243" s="41">
        <v>0.7</v>
      </c>
      <c r="H243" s="42">
        <v>1.1000000000000001</v>
      </c>
      <c r="I243" s="74">
        <v>0.3</v>
      </c>
      <c r="J243" s="41">
        <v>0.3</v>
      </c>
      <c r="K243" s="42">
        <v>0.4</v>
      </c>
      <c r="L243" s="74">
        <v>0.1</v>
      </c>
      <c r="M243" s="42">
        <v>0.1</v>
      </c>
      <c r="N243" s="42">
        <v>0.2</v>
      </c>
      <c r="O243" s="42">
        <v>0</v>
      </c>
      <c r="P243" s="35">
        <v>2023</v>
      </c>
      <c r="Q243" s="36" t="s">
        <v>27</v>
      </c>
      <c r="R243" s="73" t="s">
        <v>24</v>
      </c>
      <c r="S243" s="113"/>
      <c r="T243" s="113"/>
      <c r="U243" s="113"/>
      <c r="V243" s="113"/>
      <c r="W243" s="113"/>
      <c r="X243" s="113"/>
      <c r="Y243" s="113"/>
      <c r="Z243" s="113"/>
      <c r="AA243" s="113"/>
      <c r="AB243" s="113"/>
      <c r="AC243" s="113"/>
      <c r="AD243" s="113"/>
      <c r="AE243" s="113"/>
      <c r="AF243" s="113"/>
      <c r="AG243" s="113"/>
      <c r="AH243" s="113"/>
      <c r="AI243" s="113"/>
      <c r="AJ243" s="113"/>
      <c r="AK243" s="113"/>
      <c r="AL243" s="113"/>
      <c r="AM243" s="113"/>
      <c r="AN243" s="113"/>
      <c r="AO243" s="113"/>
      <c r="AP243" s="113"/>
      <c r="AQ243" s="113"/>
      <c r="AR243" s="113"/>
      <c r="AS243" s="113"/>
      <c r="AT243" s="113"/>
      <c r="AU243" s="113"/>
      <c r="AV243" s="113"/>
      <c r="AW243" s="113"/>
      <c r="AX243" s="113"/>
      <c r="AY243" s="113"/>
      <c r="AZ243" s="113"/>
      <c r="BA243" s="113"/>
      <c r="BB243" s="113"/>
      <c r="BC243" s="113"/>
      <c r="BD243" s="113"/>
      <c r="BE243" s="113"/>
      <c r="BF243" s="113"/>
      <c r="BG243" s="113"/>
      <c r="BH243" s="113"/>
      <c r="BI243" s="113"/>
      <c r="BJ243" s="113"/>
      <c r="BK243" s="113"/>
      <c r="BL243" s="113"/>
      <c r="BM243" s="113"/>
      <c r="BN243" s="113"/>
      <c r="BO243" s="113"/>
      <c r="BP243" s="113"/>
      <c r="BQ243" s="113"/>
      <c r="BR243" s="113"/>
      <c r="BS243" s="113"/>
      <c r="BT243" s="113"/>
      <c r="BU243" s="113"/>
      <c r="BV243" s="113"/>
      <c r="BW243" s="113"/>
      <c r="BX243" s="113"/>
      <c r="BY243" s="113"/>
      <c r="BZ243" s="113"/>
      <c r="CA243" s="113"/>
      <c r="CB243" s="113"/>
      <c r="CC243" s="113"/>
      <c r="CD243" s="113"/>
      <c r="CE243" s="113"/>
      <c r="CF243" s="113"/>
      <c r="CG243" s="113"/>
      <c r="CH243" s="113"/>
      <c r="CI243" s="113"/>
      <c r="CJ243" s="113"/>
      <c r="CK243" s="113"/>
      <c r="CL243" s="113"/>
      <c r="CM243" s="113"/>
      <c r="CN243" s="113"/>
      <c r="CO243" s="113"/>
      <c r="CP243" s="113"/>
      <c r="CQ243" s="113"/>
      <c r="CR243" s="113"/>
      <c r="CS243" s="113"/>
      <c r="CT243" s="113"/>
      <c r="CU243" s="113"/>
      <c r="CV243" s="113"/>
      <c r="CW243" s="113"/>
      <c r="CX243" s="113"/>
      <c r="CY243" s="113"/>
      <c r="CZ243" s="113"/>
      <c r="DA243" s="113"/>
      <c r="DB243" s="113"/>
      <c r="DC243" s="113"/>
      <c r="DD243" s="113"/>
      <c r="DE243" s="113"/>
      <c r="DF243" s="113"/>
      <c r="DG243" s="113"/>
      <c r="DH243" s="113"/>
      <c r="DI243" s="113"/>
      <c r="DJ243" s="113"/>
      <c r="DK243" s="113"/>
      <c r="DL243" s="113"/>
      <c r="DM243" s="113"/>
      <c r="DN243" s="113"/>
      <c r="DO243" s="113"/>
      <c r="DP243" s="113"/>
      <c r="DQ243" s="113"/>
      <c r="DR243" s="113"/>
      <c r="DS243" s="113"/>
      <c r="DT243" s="113"/>
      <c r="DU243" s="113"/>
      <c r="DV243" s="113"/>
      <c r="DW243" s="113"/>
      <c r="DX243" s="113"/>
      <c r="DY243" s="113"/>
      <c r="DZ243" s="113"/>
      <c r="EA243" s="113"/>
      <c r="EB243" s="113"/>
      <c r="EC243" s="113"/>
      <c r="ED243" s="113"/>
      <c r="EE243" s="113"/>
      <c r="EF243" s="113"/>
      <c r="EG243" s="113"/>
      <c r="EH243" s="113"/>
      <c r="EI243" s="113"/>
      <c r="EJ243" s="113"/>
      <c r="EK243" s="113"/>
      <c r="EL243" s="113"/>
      <c r="EM243" s="113"/>
      <c r="EN243" s="113"/>
      <c r="EO243" s="113"/>
      <c r="EP243" s="113"/>
      <c r="EQ243" s="113"/>
      <c r="ER243" s="113"/>
      <c r="ES243" s="113"/>
      <c r="ET243" s="113"/>
      <c r="EU243" s="113"/>
      <c r="EV243" s="113"/>
      <c r="EW243" s="113"/>
      <c r="EX243" s="113"/>
      <c r="EY243" s="113"/>
      <c r="EZ243" s="113"/>
      <c r="FA243" s="113"/>
      <c r="FB243" s="113"/>
      <c r="FC243" s="113"/>
      <c r="FD243" s="113"/>
      <c r="FE243" s="113"/>
      <c r="FF243" s="113"/>
      <c r="FG243" s="113"/>
      <c r="FH243" s="113"/>
      <c r="FI243" s="113"/>
      <c r="FJ243" s="113"/>
      <c r="FK243" s="113"/>
      <c r="FL243" s="113"/>
      <c r="FM243" s="113"/>
      <c r="FN243" s="113"/>
      <c r="FO243" s="113"/>
      <c r="FP243" s="113"/>
      <c r="FQ243" s="113"/>
      <c r="FR243" s="113"/>
      <c r="FS243" s="113"/>
      <c r="FT243" s="113"/>
      <c r="FU243" s="113"/>
      <c r="FV243" s="113"/>
      <c r="FW243" s="113"/>
      <c r="FX243" s="113"/>
      <c r="FY243" s="113"/>
      <c r="FZ243" s="113"/>
      <c r="GA243" s="113"/>
      <c r="GB243" s="113"/>
      <c r="GC243" s="113"/>
      <c r="GD243" s="113"/>
      <c r="GE243" s="113"/>
      <c r="GF243" s="113"/>
      <c r="GG243" s="113"/>
      <c r="GH243" s="113"/>
      <c r="GI243" s="113"/>
      <c r="GJ243" s="113"/>
      <c r="GK243" s="113"/>
      <c r="GL243" s="113"/>
      <c r="GM243" s="113"/>
      <c r="GN243" s="113"/>
      <c r="GO243" s="113"/>
      <c r="GP243" s="113"/>
      <c r="GQ243" s="113"/>
      <c r="GR243" s="113"/>
      <c r="GS243" s="113"/>
      <c r="GT243" s="113"/>
      <c r="GU243" s="113"/>
      <c r="GV243" s="113"/>
      <c r="GW243" s="113"/>
      <c r="GX243" s="113"/>
      <c r="GY243" s="113"/>
      <c r="GZ243" s="113"/>
      <c r="HA243" s="113"/>
      <c r="HB243" s="113"/>
      <c r="HC243" s="113"/>
      <c r="HD243" s="113"/>
      <c r="HE243" s="113"/>
      <c r="HF243" s="113"/>
      <c r="HG243" s="113"/>
      <c r="HH243" s="113"/>
      <c r="HI243" s="113"/>
      <c r="HJ243" s="113"/>
      <c r="HK243" s="113"/>
      <c r="HL243" s="113"/>
      <c r="HM243" s="113"/>
      <c r="HN243" s="113"/>
      <c r="HO243" s="113"/>
      <c r="HP243" s="113"/>
      <c r="HQ243" s="113"/>
      <c r="HR243" s="113"/>
      <c r="HS243" s="113"/>
      <c r="HT243" s="113"/>
      <c r="HU243" s="113"/>
      <c r="HV243" s="113"/>
      <c r="HW243" s="113"/>
      <c r="HX243" s="113"/>
      <c r="HY243" s="113"/>
      <c r="HZ243" s="113"/>
      <c r="IA243" s="113"/>
      <c r="IB243" s="113"/>
      <c r="IC243" s="113"/>
      <c r="ID243" s="113"/>
      <c r="IE243" s="113"/>
      <c r="IF243" s="113"/>
      <c r="IG243" s="113"/>
      <c r="IH243" s="113"/>
      <c r="II243" s="113"/>
      <c r="IJ243" s="113"/>
      <c r="IK243" s="113"/>
      <c r="IL243" s="113"/>
      <c r="IM243" s="113"/>
      <c r="IN243" s="113"/>
      <c r="IO243" s="113"/>
      <c r="IP243" s="113"/>
      <c r="IQ243" s="113"/>
      <c r="IR243" s="113"/>
      <c r="IS243" s="113"/>
      <c r="IT243" s="113"/>
      <c r="IU243" s="113"/>
      <c r="IV243" s="113"/>
      <c r="IW243" s="113"/>
      <c r="IX243" s="113"/>
      <c r="IY243" s="113"/>
      <c r="IZ243" s="113"/>
      <c r="JA243" s="113"/>
      <c r="JB243" s="113"/>
      <c r="JC243" s="113"/>
      <c r="JD243" s="113"/>
      <c r="JE243" s="113"/>
      <c r="JF243" s="113"/>
      <c r="JG243" s="113"/>
      <c r="JH243" s="113"/>
      <c r="JI243" s="113"/>
      <c r="JJ243" s="113"/>
      <c r="JK243" s="113"/>
      <c r="JL243" s="113"/>
      <c r="JM243" s="113"/>
      <c r="JN243" s="113"/>
      <c r="JO243" s="113"/>
      <c r="JP243" s="113"/>
      <c r="JQ243" s="113"/>
      <c r="JR243" s="113"/>
      <c r="JS243" s="113"/>
      <c r="JT243" s="113"/>
      <c r="JU243" s="113"/>
      <c r="JV243" s="113"/>
      <c r="JW243" s="113"/>
      <c r="JX243" s="113"/>
      <c r="JY243" s="113"/>
      <c r="JZ243" s="113"/>
      <c r="KA243" s="113"/>
      <c r="KB243" s="113"/>
      <c r="KC243" s="113"/>
      <c r="KD243" s="113"/>
      <c r="KE243" s="113"/>
      <c r="KF243" s="113"/>
      <c r="KG243" s="113"/>
      <c r="KH243" s="113"/>
      <c r="KI243" s="113"/>
      <c r="KJ243" s="113"/>
      <c r="KK243" s="113"/>
      <c r="KL243" s="113"/>
      <c r="KM243" s="113"/>
      <c r="KN243" s="113"/>
      <c r="KO243" s="113"/>
      <c r="KP243" s="113"/>
      <c r="KQ243" s="113"/>
      <c r="KR243" s="113"/>
      <c r="KS243" s="113"/>
      <c r="KT243" s="113"/>
      <c r="KU243" s="113"/>
      <c r="KV243" s="113"/>
      <c r="KW243" s="113"/>
      <c r="KX243" s="113"/>
      <c r="KY243" s="113"/>
      <c r="KZ243" s="113"/>
      <c r="LA243" s="113"/>
      <c r="LB243" s="113"/>
      <c r="LC243" s="113"/>
      <c r="LD243" s="113"/>
      <c r="LE243" s="113"/>
      <c r="LF243" s="113"/>
      <c r="LG243" s="113"/>
      <c r="LH243" s="113"/>
      <c r="LI243" s="113"/>
      <c r="LJ243" s="113"/>
      <c r="LK243" s="113"/>
      <c r="LL243" s="113"/>
      <c r="LM243" s="113"/>
      <c r="LN243" s="113"/>
      <c r="LO243" s="113"/>
      <c r="LP243" s="113"/>
      <c r="LQ243" s="113"/>
      <c r="LR243" s="113"/>
      <c r="LS243" s="113"/>
      <c r="LT243" s="113"/>
      <c r="LU243" s="113"/>
      <c r="LV243" s="113"/>
      <c r="LW243" s="113"/>
      <c r="LX243" s="113"/>
      <c r="LY243" s="113"/>
      <c r="LZ243" s="113"/>
      <c r="MA243" s="113"/>
      <c r="MB243" s="113"/>
      <c r="MC243" s="113"/>
      <c r="MD243" s="113"/>
      <c r="ME243" s="113"/>
      <c r="MF243" s="113"/>
      <c r="MG243" s="113"/>
      <c r="MH243" s="113"/>
      <c r="MI243" s="113"/>
      <c r="MJ243" s="113"/>
      <c r="MK243" s="113"/>
      <c r="ML243" s="113"/>
      <c r="MM243" s="113"/>
      <c r="MN243" s="113"/>
      <c r="MO243" s="113"/>
      <c r="MP243" s="113"/>
      <c r="MQ243" s="113"/>
      <c r="MR243" s="113"/>
      <c r="MS243" s="113"/>
      <c r="MT243" s="113"/>
      <c r="MU243" s="113"/>
      <c r="MV243" s="113"/>
      <c r="MW243" s="113"/>
      <c r="MX243" s="113"/>
      <c r="MY243" s="113"/>
      <c r="MZ243" s="113"/>
      <c r="NA243" s="113"/>
      <c r="NB243" s="113"/>
      <c r="NC243" s="113"/>
      <c r="ND243" s="113"/>
      <c r="NE243" s="113"/>
      <c r="NF243" s="113"/>
      <c r="NG243" s="113"/>
      <c r="NH243" s="113"/>
      <c r="NI243" s="113"/>
      <c r="NJ243" s="113"/>
      <c r="NK243" s="113"/>
      <c r="NL243" s="113"/>
      <c r="NM243" s="113"/>
      <c r="NN243" s="113"/>
      <c r="NO243" s="113"/>
      <c r="NP243" s="113"/>
      <c r="NQ243" s="113"/>
      <c r="NR243" s="113"/>
      <c r="NS243" s="113"/>
      <c r="NT243" s="113"/>
      <c r="NU243" s="113"/>
      <c r="NV243" s="113"/>
      <c r="NW243" s="113"/>
      <c r="NX243" s="113"/>
      <c r="NY243" s="113"/>
      <c r="NZ243" s="113"/>
      <c r="OA243" s="113"/>
      <c r="OB243" s="113"/>
      <c r="OC243" s="113"/>
      <c r="OD243" s="113"/>
      <c r="OE243" s="113"/>
      <c r="OF243" s="113"/>
      <c r="OG243" s="113"/>
      <c r="OH243" s="113"/>
      <c r="OI243" s="113"/>
      <c r="OJ243" s="113"/>
      <c r="OK243" s="113"/>
      <c r="OL243" s="113"/>
      <c r="OM243" s="113"/>
      <c r="ON243" s="113"/>
      <c r="OO243" s="113"/>
      <c r="OP243" s="113"/>
      <c r="OQ243" s="113"/>
      <c r="OR243" s="113"/>
      <c r="OS243" s="113"/>
      <c r="OT243" s="113"/>
      <c r="OU243" s="113"/>
      <c r="OV243" s="113"/>
      <c r="OW243" s="113"/>
      <c r="OX243" s="113"/>
      <c r="OY243" s="113"/>
      <c r="OZ243" s="113"/>
      <c r="PA243" s="113"/>
      <c r="PB243" s="113"/>
      <c r="PC243" s="113"/>
      <c r="PD243" s="113"/>
      <c r="PE243" s="113"/>
      <c r="PF243" s="113"/>
      <c r="PG243" s="113"/>
      <c r="PH243" s="113"/>
      <c r="PI243" s="113"/>
      <c r="PJ243" s="113"/>
      <c r="PK243" s="113"/>
      <c r="PL243" s="113"/>
      <c r="PM243" s="113"/>
    </row>
    <row r="244" spans="1:429">
      <c r="B244" s="105"/>
      <c r="C244" s="71"/>
      <c r="D244" s="71"/>
      <c r="E244" s="72" t="s">
        <v>297</v>
      </c>
      <c r="F244" s="73" t="s">
        <v>819</v>
      </c>
      <c r="G244" s="41"/>
      <c r="H244" s="42"/>
      <c r="I244" s="74"/>
      <c r="J244" s="41">
        <v>0.1</v>
      </c>
      <c r="K244" s="42">
        <v>0</v>
      </c>
      <c r="L244" s="74">
        <v>0.1</v>
      </c>
      <c r="M244" s="42"/>
      <c r="N244" s="42"/>
      <c r="O244" s="42"/>
      <c r="P244" s="35">
        <v>2018</v>
      </c>
      <c r="Q244" s="36" t="s">
        <v>27</v>
      </c>
      <c r="R244" s="73" t="s">
        <v>249</v>
      </c>
    </row>
    <row r="245" spans="1:429">
      <c r="B245" s="105"/>
      <c r="C245" s="71"/>
      <c r="D245" s="71"/>
      <c r="E245" s="72" t="s">
        <v>299</v>
      </c>
      <c r="F245" s="73" t="s">
        <v>819</v>
      </c>
      <c r="G245" s="41">
        <v>1.9</v>
      </c>
      <c r="H245" s="42">
        <v>2.7</v>
      </c>
      <c r="I245" s="74">
        <v>1.1000000000000001</v>
      </c>
      <c r="J245" s="41"/>
      <c r="K245" s="42"/>
      <c r="L245" s="74"/>
      <c r="M245" s="42"/>
      <c r="N245" s="42"/>
      <c r="O245" s="42"/>
      <c r="P245" s="35">
        <v>2022</v>
      </c>
      <c r="Q245" s="36" t="s">
        <v>27</v>
      </c>
      <c r="R245" s="73" t="s">
        <v>24</v>
      </c>
    </row>
    <row r="246" spans="1:429">
      <c r="B246" s="105"/>
      <c r="C246" s="71"/>
      <c r="D246" s="71"/>
      <c r="E246" s="72" t="s">
        <v>299</v>
      </c>
      <c r="F246" s="73" t="s">
        <v>818</v>
      </c>
      <c r="G246" s="41">
        <v>0.2</v>
      </c>
      <c r="H246" s="42">
        <v>0.3</v>
      </c>
      <c r="I246" s="74">
        <v>0.1</v>
      </c>
      <c r="J246" s="41"/>
      <c r="K246" s="42"/>
      <c r="L246" s="74"/>
      <c r="M246" s="42"/>
      <c r="N246" s="42"/>
      <c r="O246" s="42"/>
      <c r="P246" s="35">
        <v>2022</v>
      </c>
      <c r="Q246" s="36" t="s">
        <v>27</v>
      </c>
      <c r="R246" s="73" t="s">
        <v>24</v>
      </c>
    </row>
    <row r="247" spans="1:429">
      <c r="B247" s="105"/>
      <c r="C247" s="71"/>
      <c r="D247" s="71"/>
      <c r="E247" s="72" t="s">
        <v>299</v>
      </c>
      <c r="F247" s="73" t="s">
        <v>819</v>
      </c>
      <c r="G247" s="41">
        <v>1.7</v>
      </c>
      <c r="H247" s="42">
        <v>2.5</v>
      </c>
      <c r="I247" s="74">
        <v>0.8</v>
      </c>
      <c r="J247" s="41"/>
      <c r="K247" s="42"/>
      <c r="L247" s="74"/>
      <c r="M247" s="42"/>
      <c r="N247" s="42"/>
      <c r="O247" s="42"/>
      <c r="P247" s="35">
        <v>2020</v>
      </c>
      <c r="Q247" s="36" t="s">
        <v>27</v>
      </c>
      <c r="R247" s="73" t="s">
        <v>24</v>
      </c>
    </row>
    <row r="248" spans="1:429">
      <c r="B248" s="105"/>
      <c r="C248" s="71"/>
      <c r="D248" s="71"/>
      <c r="E248" s="72" t="s">
        <v>299</v>
      </c>
      <c r="F248" s="73" t="s">
        <v>841</v>
      </c>
      <c r="G248" s="41">
        <v>0.1</v>
      </c>
      <c r="H248" s="42">
        <v>0.1</v>
      </c>
      <c r="I248" s="74">
        <v>0</v>
      </c>
      <c r="J248" s="41">
        <v>0</v>
      </c>
      <c r="K248" s="42">
        <v>0</v>
      </c>
      <c r="L248" s="74">
        <v>0</v>
      </c>
      <c r="M248" s="42">
        <v>0</v>
      </c>
      <c r="N248" s="42">
        <v>0</v>
      </c>
      <c r="O248" s="42">
        <v>0</v>
      </c>
      <c r="P248" s="35">
        <v>2017</v>
      </c>
      <c r="Q248" s="36" t="s">
        <v>27</v>
      </c>
      <c r="R248" s="73" t="s">
        <v>789</v>
      </c>
    </row>
    <row r="249" spans="1:429">
      <c r="B249" s="105"/>
      <c r="C249" s="71"/>
      <c r="D249" s="71"/>
      <c r="E249" s="72" t="s">
        <v>299</v>
      </c>
      <c r="F249" s="73" t="s">
        <v>819</v>
      </c>
      <c r="G249" s="41">
        <v>1.1000000000000001</v>
      </c>
      <c r="H249" s="42">
        <v>1.7</v>
      </c>
      <c r="I249" s="74">
        <v>0.5</v>
      </c>
      <c r="J249" s="41">
        <v>0.3</v>
      </c>
      <c r="K249" s="42">
        <v>0.5</v>
      </c>
      <c r="L249" s="74">
        <v>0.1</v>
      </c>
      <c r="M249" s="42">
        <v>0.1</v>
      </c>
      <c r="N249" s="42">
        <v>0.2</v>
      </c>
      <c r="O249" s="42">
        <v>0</v>
      </c>
      <c r="P249" s="35" t="s">
        <v>773</v>
      </c>
      <c r="Q249" s="36" t="s">
        <v>27</v>
      </c>
      <c r="R249" s="73" t="s">
        <v>842</v>
      </c>
    </row>
    <row r="250" spans="1:429">
      <c r="B250" s="105"/>
      <c r="C250" s="71"/>
      <c r="D250" s="71"/>
      <c r="E250" s="72" t="s">
        <v>299</v>
      </c>
      <c r="F250" s="73" t="s">
        <v>818</v>
      </c>
      <c r="G250" s="41">
        <v>0.2</v>
      </c>
      <c r="H250" s="42">
        <v>0.2</v>
      </c>
      <c r="I250" s="74">
        <v>0.1</v>
      </c>
      <c r="J250" s="41">
        <v>0</v>
      </c>
      <c r="K250" s="42">
        <v>0.1</v>
      </c>
      <c r="L250" s="74">
        <v>0</v>
      </c>
      <c r="M250" s="42">
        <v>0</v>
      </c>
      <c r="N250" s="42">
        <v>0</v>
      </c>
      <c r="O250" s="42">
        <v>0</v>
      </c>
      <c r="P250" s="35">
        <v>2015</v>
      </c>
      <c r="Q250" s="36" t="s">
        <v>27</v>
      </c>
      <c r="R250" s="73" t="s">
        <v>843</v>
      </c>
    </row>
    <row r="251" spans="1:429">
      <c r="B251" s="105"/>
      <c r="C251" s="71"/>
      <c r="D251" s="71"/>
      <c r="E251" s="72" t="s">
        <v>299</v>
      </c>
      <c r="F251" s="73" t="s">
        <v>818</v>
      </c>
      <c r="G251" s="41">
        <v>0.1</v>
      </c>
      <c r="H251" s="42">
        <v>0.1</v>
      </c>
      <c r="I251" s="74">
        <v>0</v>
      </c>
      <c r="J251" s="41">
        <v>0</v>
      </c>
      <c r="K251" s="42">
        <v>0</v>
      </c>
      <c r="L251" s="74">
        <v>0</v>
      </c>
      <c r="M251" s="42">
        <v>0</v>
      </c>
      <c r="N251" s="42">
        <v>0</v>
      </c>
      <c r="O251" s="42">
        <v>0</v>
      </c>
      <c r="P251" s="35">
        <v>2013</v>
      </c>
      <c r="Q251" s="36" t="s">
        <v>27</v>
      </c>
      <c r="R251" s="73" t="s">
        <v>844</v>
      </c>
    </row>
    <row r="252" spans="1:429">
      <c r="B252" s="105"/>
      <c r="C252" s="71"/>
      <c r="D252" s="71"/>
      <c r="E252" s="72" t="s">
        <v>299</v>
      </c>
      <c r="F252" s="73" t="s">
        <v>845</v>
      </c>
      <c r="G252" s="41">
        <v>0</v>
      </c>
      <c r="H252" s="42">
        <v>0.1</v>
      </c>
      <c r="I252" s="74">
        <v>0</v>
      </c>
      <c r="J252" s="41">
        <v>0</v>
      </c>
      <c r="K252" s="42">
        <v>0</v>
      </c>
      <c r="L252" s="74">
        <v>0</v>
      </c>
      <c r="M252" s="42">
        <v>0</v>
      </c>
      <c r="N252" s="42">
        <v>0</v>
      </c>
      <c r="O252" s="42">
        <v>0</v>
      </c>
      <c r="P252" s="35">
        <v>2013</v>
      </c>
      <c r="Q252" s="36" t="s">
        <v>27</v>
      </c>
      <c r="R252" s="73" t="s">
        <v>427</v>
      </c>
    </row>
    <row r="253" spans="1:429">
      <c r="B253" s="105"/>
      <c r="C253" s="71"/>
      <c r="D253" s="71"/>
      <c r="E253" s="72" t="s">
        <v>299</v>
      </c>
      <c r="F253" s="73" t="s">
        <v>818</v>
      </c>
      <c r="G253" s="41">
        <v>0.1</v>
      </c>
      <c r="H253" s="42">
        <v>0.2</v>
      </c>
      <c r="I253" s="74">
        <v>0</v>
      </c>
      <c r="J253" s="41">
        <v>0</v>
      </c>
      <c r="K253" s="42">
        <v>0.1</v>
      </c>
      <c r="L253" s="74">
        <v>0</v>
      </c>
      <c r="M253" s="42">
        <v>0</v>
      </c>
      <c r="N253" s="42">
        <v>0</v>
      </c>
      <c r="O253" s="42">
        <v>0</v>
      </c>
      <c r="P253" s="35">
        <v>2011</v>
      </c>
      <c r="Q253" s="36" t="s">
        <v>27</v>
      </c>
      <c r="R253" s="73" t="s">
        <v>427</v>
      </c>
    </row>
    <row r="254" spans="1:429">
      <c r="B254" s="105"/>
      <c r="C254" s="71"/>
      <c r="D254" s="71"/>
      <c r="E254" s="72" t="s">
        <v>299</v>
      </c>
      <c r="F254" s="73" t="s">
        <v>845</v>
      </c>
      <c r="G254" s="41">
        <v>0.1</v>
      </c>
      <c r="H254" s="42">
        <v>0.2</v>
      </c>
      <c r="I254" s="74">
        <v>0</v>
      </c>
      <c r="J254" s="41">
        <v>0</v>
      </c>
      <c r="K254" s="42">
        <v>0</v>
      </c>
      <c r="L254" s="74">
        <v>0</v>
      </c>
      <c r="M254" s="42">
        <v>0</v>
      </c>
      <c r="N254" s="42">
        <v>0</v>
      </c>
      <c r="O254" s="42">
        <v>0</v>
      </c>
      <c r="P254" s="35">
        <v>2011</v>
      </c>
      <c r="Q254" s="36" t="s">
        <v>27</v>
      </c>
      <c r="R254" s="73" t="s">
        <v>427</v>
      </c>
    </row>
    <row r="255" spans="1:429" s="48" customFormat="1">
      <c r="A255" s="113"/>
      <c r="B255" s="105"/>
      <c r="C255" s="71"/>
      <c r="D255" s="71"/>
      <c r="E255" s="72" t="s">
        <v>305</v>
      </c>
      <c r="F255" s="73" t="s">
        <v>819</v>
      </c>
      <c r="G255" s="41">
        <v>2.3674399240536936</v>
      </c>
      <c r="H255" s="42"/>
      <c r="I255" s="74"/>
      <c r="J255" s="41">
        <v>0.51075571267950615</v>
      </c>
      <c r="K255" s="42"/>
      <c r="L255" s="74"/>
      <c r="M255" s="42"/>
      <c r="N255" s="42"/>
      <c r="O255" s="42"/>
      <c r="P255" s="35">
        <v>2023</v>
      </c>
      <c r="Q255" s="36" t="s">
        <v>306</v>
      </c>
      <c r="R255" s="73" t="s">
        <v>36</v>
      </c>
      <c r="S255" s="113"/>
      <c r="T255" s="113"/>
      <c r="U255" s="113"/>
      <c r="V255" s="113"/>
      <c r="W255" s="113"/>
      <c r="X255" s="113"/>
      <c r="Y255" s="113"/>
      <c r="Z255" s="113"/>
      <c r="AA255" s="113"/>
      <c r="AB255" s="113"/>
      <c r="AC255" s="113"/>
      <c r="AD255" s="113"/>
      <c r="AE255" s="113"/>
      <c r="AF255" s="113"/>
      <c r="AG255" s="113"/>
      <c r="AH255" s="113"/>
      <c r="AI255" s="113"/>
      <c r="AJ255" s="113"/>
      <c r="AK255" s="113"/>
      <c r="AL255" s="113"/>
      <c r="AM255" s="113"/>
      <c r="AN255" s="113"/>
      <c r="AO255" s="113"/>
      <c r="AP255" s="113"/>
      <c r="AQ255" s="113"/>
      <c r="AR255" s="113"/>
      <c r="AS255" s="113"/>
      <c r="AT255" s="113"/>
      <c r="AU255" s="113"/>
      <c r="AV255" s="113"/>
      <c r="AW255" s="113"/>
      <c r="AX255" s="113"/>
      <c r="AY255" s="113"/>
      <c r="AZ255" s="113"/>
      <c r="BA255" s="113"/>
      <c r="BB255" s="113"/>
      <c r="BC255" s="113"/>
      <c r="BD255" s="113"/>
      <c r="BE255" s="113"/>
      <c r="BF255" s="113"/>
      <c r="BG255" s="113"/>
      <c r="BH255" s="113"/>
      <c r="BI255" s="113"/>
      <c r="BJ255" s="113"/>
      <c r="BK255" s="113"/>
      <c r="BL255" s="113"/>
      <c r="BM255" s="113"/>
      <c r="BN255" s="113"/>
      <c r="BO255" s="113"/>
      <c r="BP255" s="113"/>
      <c r="BQ255" s="113"/>
      <c r="BR255" s="113"/>
      <c r="BS255" s="113"/>
      <c r="BT255" s="113"/>
      <c r="BU255" s="113"/>
      <c r="BV255" s="113"/>
      <c r="BW255" s="113"/>
      <c r="BX255" s="113"/>
      <c r="BY255" s="113"/>
      <c r="BZ255" s="113"/>
      <c r="CA255" s="113"/>
      <c r="CB255" s="113"/>
      <c r="CC255" s="113"/>
      <c r="CD255" s="113"/>
      <c r="CE255" s="113"/>
      <c r="CF255" s="113"/>
      <c r="CG255" s="113"/>
      <c r="CH255" s="113"/>
      <c r="CI255" s="113"/>
      <c r="CJ255" s="113"/>
      <c r="CK255" s="113"/>
      <c r="CL255" s="113"/>
      <c r="CM255" s="113"/>
      <c r="CN255" s="113"/>
      <c r="CO255" s="113"/>
      <c r="CP255" s="113"/>
      <c r="CQ255" s="113"/>
      <c r="CR255" s="113"/>
      <c r="CS255" s="113"/>
      <c r="CT255" s="113"/>
      <c r="CU255" s="113"/>
      <c r="CV255" s="113"/>
      <c r="CW255" s="113"/>
      <c r="CX255" s="113"/>
      <c r="CY255" s="113"/>
      <c r="CZ255" s="113"/>
      <c r="DA255" s="113"/>
      <c r="DB255" s="113"/>
      <c r="DC255" s="113"/>
      <c r="DD255" s="113"/>
      <c r="DE255" s="113"/>
      <c r="DF255" s="113"/>
      <c r="DG255" s="113"/>
      <c r="DH255" s="113"/>
      <c r="DI255" s="113"/>
      <c r="DJ255" s="113"/>
      <c r="DK255" s="113"/>
      <c r="DL255" s="113"/>
      <c r="DM255" s="113"/>
      <c r="DN255" s="113"/>
      <c r="DO255" s="113"/>
      <c r="DP255" s="113"/>
      <c r="DQ255" s="113"/>
      <c r="DR255" s="113"/>
      <c r="DS255" s="113"/>
      <c r="DT255" s="113"/>
      <c r="DU255" s="113"/>
      <c r="DV255" s="113"/>
      <c r="DW255" s="113"/>
      <c r="DX255" s="113"/>
      <c r="DY255" s="113"/>
      <c r="DZ255" s="113"/>
      <c r="EA255" s="113"/>
      <c r="EB255" s="113"/>
      <c r="EC255" s="113"/>
      <c r="ED255" s="113"/>
      <c r="EE255" s="113"/>
      <c r="EF255" s="113"/>
      <c r="EG255" s="113"/>
      <c r="EH255" s="113"/>
      <c r="EI255" s="113"/>
      <c r="EJ255" s="113"/>
      <c r="EK255" s="113"/>
      <c r="EL255" s="113"/>
      <c r="EM255" s="113"/>
      <c r="EN255" s="113"/>
      <c r="EO255" s="113"/>
      <c r="EP255" s="113"/>
      <c r="EQ255" s="113"/>
      <c r="ER255" s="113"/>
      <c r="ES255" s="113"/>
      <c r="ET255" s="113"/>
      <c r="EU255" s="113"/>
      <c r="EV255" s="113"/>
      <c r="EW255" s="113"/>
      <c r="EX255" s="113"/>
      <c r="EY255" s="113"/>
      <c r="EZ255" s="113"/>
      <c r="FA255" s="113"/>
      <c r="FB255" s="113"/>
      <c r="FC255" s="113"/>
      <c r="FD255" s="113"/>
      <c r="FE255" s="113"/>
      <c r="FF255" s="113"/>
      <c r="FG255" s="113"/>
      <c r="FH255" s="113"/>
      <c r="FI255" s="113"/>
      <c r="FJ255" s="113"/>
      <c r="FK255" s="113"/>
      <c r="FL255" s="113"/>
      <c r="FM255" s="113"/>
      <c r="FN255" s="113"/>
      <c r="FO255" s="113"/>
      <c r="FP255" s="113"/>
      <c r="FQ255" s="113"/>
      <c r="FR255" s="113"/>
      <c r="FS255" s="113"/>
      <c r="FT255" s="113"/>
      <c r="FU255" s="113"/>
      <c r="FV255" s="113"/>
      <c r="FW255" s="113"/>
      <c r="FX255" s="113"/>
      <c r="FY255" s="113"/>
      <c r="FZ255" s="113"/>
      <c r="GA255" s="113"/>
      <c r="GB255" s="113"/>
      <c r="GC255" s="113"/>
      <c r="GD255" s="113"/>
      <c r="GE255" s="113"/>
      <c r="GF255" s="113"/>
      <c r="GG255" s="113"/>
      <c r="GH255" s="113"/>
      <c r="GI255" s="113"/>
      <c r="GJ255" s="113"/>
      <c r="GK255" s="113"/>
      <c r="GL255" s="113"/>
      <c r="GM255" s="113"/>
      <c r="GN255" s="113"/>
      <c r="GO255" s="113"/>
      <c r="GP255" s="113"/>
      <c r="GQ255" s="113"/>
      <c r="GR255" s="113"/>
      <c r="GS255" s="113"/>
      <c r="GT255" s="113"/>
      <c r="GU255" s="113"/>
      <c r="GV255" s="113"/>
      <c r="GW255" s="113"/>
      <c r="GX255" s="113"/>
      <c r="GY255" s="113"/>
      <c r="GZ255" s="113"/>
      <c r="HA255" s="113"/>
      <c r="HB255" s="113"/>
      <c r="HC255" s="113"/>
      <c r="HD255" s="113"/>
      <c r="HE255" s="113"/>
      <c r="HF255" s="113"/>
      <c r="HG255" s="113"/>
      <c r="HH255" s="113"/>
      <c r="HI255" s="113"/>
      <c r="HJ255" s="113"/>
      <c r="HK255" s="113"/>
      <c r="HL255" s="113"/>
      <c r="HM255" s="113"/>
      <c r="HN255" s="113"/>
      <c r="HO255" s="113"/>
      <c r="HP255" s="113"/>
      <c r="HQ255" s="113"/>
      <c r="HR255" s="113"/>
      <c r="HS255" s="113"/>
      <c r="HT255" s="113"/>
      <c r="HU255" s="113"/>
      <c r="HV255" s="113"/>
      <c r="HW255" s="113"/>
      <c r="HX255" s="113"/>
      <c r="HY255" s="113"/>
      <c r="HZ255" s="113"/>
      <c r="IA255" s="113"/>
      <c r="IB255" s="113"/>
      <c r="IC255" s="113"/>
      <c r="ID255" s="113"/>
      <c r="IE255" s="113"/>
      <c r="IF255" s="113"/>
      <c r="IG255" s="113"/>
      <c r="IH255" s="113"/>
      <c r="II255" s="113"/>
      <c r="IJ255" s="113"/>
      <c r="IK255" s="113"/>
      <c r="IL255" s="113"/>
      <c r="IM255" s="113"/>
      <c r="IN255" s="113"/>
      <c r="IO255" s="113"/>
      <c r="IP255" s="113"/>
      <c r="IQ255" s="113"/>
      <c r="IR255" s="113"/>
      <c r="IS255" s="113"/>
      <c r="IT255" s="113"/>
      <c r="IU255" s="113"/>
      <c r="IV255" s="113"/>
      <c r="IW255" s="113"/>
      <c r="IX255" s="113"/>
      <c r="IY255" s="113"/>
      <c r="IZ255" s="113"/>
      <c r="JA255" s="113"/>
      <c r="JB255" s="113"/>
      <c r="JC255" s="113"/>
      <c r="JD255" s="113"/>
      <c r="JE255" s="113"/>
      <c r="JF255" s="113"/>
      <c r="JG255" s="113"/>
      <c r="JH255" s="113"/>
      <c r="JI255" s="113"/>
      <c r="JJ255" s="113"/>
      <c r="JK255" s="113"/>
      <c r="JL255" s="113"/>
      <c r="JM255" s="113"/>
      <c r="JN255" s="113"/>
      <c r="JO255" s="113"/>
      <c r="JP255" s="113"/>
      <c r="JQ255" s="113"/>
      <c r="JR255" s="113"/>
      <c r="JS255" s="113"/>
      <c r="JT255" s="113"/>
      <c r="JU255" s="113"/>
      <c r="JV255" s="113"/>
      <c r="JW255" s="113"/>
      <c r="JX255" s="113"/>
      <c r="JY255" s="113"/>
      <c r="JZ255" s="113"/>
      <c r="KA255" s="113"/>
      <c r="KB255" s="113"/>
      <c r="KC255" s="113"/>
      <c r="KD255" s="113"/>
      <c r="KE255" s="113"/>
      <c r="KF255" s="113"/>
      <c r="KG255" s="113"/>
      <c r="KH255" s="113"/>
      <c r="KI255" s="113"/>
      <c r="KJ255" s="113"/>
      <c r="KK255" s="113"/>
      <c r="KL255" s="113"/>
      <c r="KM255" s="113"/>
      <c r="KN255" s="113"/>
      <c r="KO255" s="113"/>
      <c r="KP255" s="113"/>
      <c r="KQ255" s="113"/>
      <c r="KR255" s="113"/>
      <c r="KS255" s="113"/>
      <c r="KT255" s="113"/>
      <c r="KU255" s="113"/>
      <c r="KV255" s="113"/>
      <c r="KW255" s="113"/>
      <c r="KX255" s="113"/>
      <c r="KY255" s="113"/>
      <c r="KZ255" s="113"/>
      <c r="LA255" s="113"/>
      <c r="LB255" s="113"/>
      <c r="LC255" s="113"/>
      <c r="LD255" s="113"/>
      <c r="LE255" s="113"/>
      <c r="LF255" s="113"/>
      <c r="LG255" s="113"/>
      <c r="LH255" s="113"/>
      <c r="LI255" s="113"/>
      <c r="LJ255" s="113"/>
      <c r="LK255" s="113"/>
      <c r="LL255" s="113"/>
      <c r="LM255" s="113"/>
      <c r="LN255" s="113"/>
      <c r="LO255" s="113"/>
      <c r="LP255" s="113"/>
      <c r="LQ255" s="113"/>
      <c r="LR255" s="113"/>
      <c r="LS255" s="113"/>
      <c r="LT255" s="113"/>
      <c r="LU255" s="113"/>
      <c r="LV255" s="113"/>
      <c r="LW255" s="113"/>
      <c r="LX255" s="113"/>
      <c r="LY255" s="113"/>
      <c r="LZ255" s="113"/>
      <c r="MA255" s="113"/>
      <c r="MB255" s="113"/>
      <c r="MC255" s="113"/>
      <c r="MD255" s="113"/>
      <c r="ME255" s="113"/>
      <c r="MF255" s="113"/>
      <c r="MG255" s="113"/>
      <c r="MH255" s="113"/>
      <c r="MI255" s="113"/>
      <c r="MJ255" s="113"/>
      <c r="MK255" s="113"/>
      <c r="ML255" s="113"/>
      <c r="MM255" s="113"/>
      <c r="MN255" s="113"/>
      <c r="MO255" s="113"/>
      <c r="MP255" s="113"/>
      <c r="MQ255" s="113"/>
      <c r="MR255" s="113"/>
      <c r="MS255" s="113"/>
      <c r="MT255" s="113"/>
      <c r="MU255" s="113"/>
      <c r="MV255" s="113"/>
      <c r="MW255" s="113"/>
      <c r="MX255" s="113"/>
      <c r="MY255" s="113"/>
      <c r="MZ255" s="113"/>
      <c r="NA255" s="113"/>
      <c r="NB255" s="113"/>
      <c r="NC255" s="113"/>
      <c r="ND255" s="113"/>
      <c r="NE255" s="113"/>
      <c r="NF255" s="113"/>
      <c r="NG255" s="113"/>
      <c r="NH255" s="113"/>
      <c r="NI255" s="113"/>
      <c r="NJ255" s="113"/>
      <c r="NK255" s="113"/>
      <c r="NL255" s="113"/>
      <c r="NM255" s="113"/>
      <c r="NN255" s="113"/>
      <c r="NO255" s="113"/>
      <c r="NP255" s="113"/>
      <c r="NQ255" s="113"/>
      <c r="NR255" s="113"/>
      <c r="NS255" s="113"/>
      <c r="NT255" s="113"/>
      <c r="NU255" s="113"/>
      <c r="NV255" s="113"/>
      <c r="NW255" s="113"/>
      <c r="NX255" s="113"/>
      <c r="NY255" s="113"/>
      <c r="NZ255" s="113"/>
      <c r="OA255" s="113"/>
      <c r="OB255" s="113"/>
      <c r="OC255" s="113"/>
      <c r="OD255" s="113"/>
      <c r="OE255" s="113"/>
      <c r="OF255" s="113"/>
      <c r="OG255" s="113"/>
      <c r="OH255" s="113"/>
      <c r="OI255" s="113"/>
      <c r="OJ255" s="113"/>
      <c r="OK255" s="113"/>
      <c r="OL255" s="113"/>
      <c r="OM255" s="113"/>
      <c r="ON255" s="113"/>
      <c r="OO255" s="113"/>
      <c r="OP255" s="113"/>
      <c r="OQ255" s="113"/>
      <c r="OR255" s="113"/>
      <c r="OS255" s="113"/>
      <c r="OT255" s="113"/>
      <c r="OU255" s="113"/>
      <c r="OV255" s="113"/>
      <c r="OW255" s="113"/>
      <c r="OX255" s="113"/>
      <c r="OY255" s="113"/>
      <c r="OZ255" s="113"/>
      <c r="PA255" s="113"/>
      <c r="PB255" s="113"/>
      <c r="PC255" s="113"/>
      <c r="PD255" s="113"/>
      <c r="PE255" s="113"/>
      <c r="PF255" s="113"/>
      <c r="PG255" s="113"/>
      <c r="PH255" s="113"/>
      <c r="PI255" s="113"/>
      <c r="PJ255" s="113"/>
      <c r="PK255" s="113"/>
      <c r="PL255" s="113"/>
      <c r="PM255" s="113"/>
    </row>
    <row r="256" spans="1:429" s="48" customFormat="1">
      <c r="A256" s="113"/>
      <c r="B256" s="105"/>
      <c r="C256" s="71"/>
      <c r="D256" s="71"/>
      <c r="E256" s="72" t="s">
        <v>305</v>
      </c>
      <c r="F256" s="73" t="s">
        <v>818</v>
      </c>
      <c r="G256" s="41">
        <v>1.2709835673726608</v>
      </c>
      <c r="H256" s="42"/>
      <c r="I256" s="74"/>
      <c r="J256" s="41">
        <v>6.3377109677723031E-2</v>
      </c>
      <c r="K256" s="42"/>
      <c r="L256" s="74"/>
      <c r="M256" s="42">
        <v>5.1044784897021078E-3</v>
      </c>
      <c r="N256" s="42"/>
      <c r="O256" s="42"/>
      <c r="P256" s="35">
        <v>2023</v>
      </c>
      <c r="Q256" s="36" t="s">
        <v>306</v>
      </c>
      <c r="R256" s="73" t="s">
        <v>36</v>
      </c>
      <c r="S256" s="113"/>
      <c r="T256" s="113"/>
      <c r="U256" s="113"/>
      <c r="V256" s="113"/>
      <c r="W256" s="113"/>
      <c r="X256" s="113"/>
      <c r="Y256" s="113"/>
      <c r="Z256" s="113"/>
      <c r="AA256" s="113"/>
      <c r="AB256" s="113"/>
      <c r="AC256" s="113"/>
      <c r="AD256" s="113"/>
      <c r="AE256" s="113"/>
      <c r="AF256" s="113"/>
      <c r="AG256" s="113"/>
      <c r="AH256" s="113"/>
      <c r="AI256" s="113"/>
      <c r="AJ256" s="113"/>
      <c r="AK256" s="113"/>
      <c r="AL256" s="113"/>
      <c r="AM256" s="113"/>
      <c r="AN256" s="113"/>
      <c r="AO256" s="113"/>
      <c r="AP256" s="113"/>
      <c r="AQ256" s="113"/>
      <c r="AR256" s="113"/>
      <c r="AS256" s="113"/>
      <c r="AT256" s="113"/>
      <c r="AU256" s="113"/>
      <c r="AV256" s="113"/>
      <c r="AW256" s="113"/>
      <c r="AX256" s="113"/>
      <c r="AY256" s="113"/>
      <c r="AZ256" s="113"/>
      <c r="BA256" s="113"/>
      <c r="BB256" s="113"/>
      <c r="BC256" s="113"/>
      <c r="BD256" s="113"/>
      <c r="BE256" s="113"/>
      <c r="BF256" s="113"/>
      <c r="BG256" s="113"/>
      <c r="BH256" s="113"/>
      <c r="BI256" s="113"/>
      <c r="BJ256" s="113"/>
      <c r="BK256" s="113"/>
      <c r="BL256" s="113"/>
      <c r="BM256" s="113"/>
      <c r="BN256" s="113"/>
      <c r="BO256" s="113"/>
      <c r="BP256" s="113"/>
      <c r="BQ256" s="113"/>
      <c r="BR256" s="113"/>
      <c r="BS256" s="113"/>
      <c r="BT256" s="113"/>
      <c r="BU256" s="113"/>
      <c r="BV256" s="113"/>
      <c r="BW256" s="113"/>
      <c r="BX256" s="113"/>
      <c r="BY256" s="113"/>
      <c r="BZ256" s="113"/>
      <c r="CA256" s="113"/>
      <c r="CB256" s="113"/>
      <c r="CC256" s="113"/>
      <c r="CD256" s="113"/>
      <c r="CE256" s="113"/>
      <c r="CF256" s="113"/>
      <c r="CG256" s="113"/>
      <c r="CH256" s="113"/>
      <c r="CI256" s="113"/>
      <c r="CJ256" s="113"/>
      <c r="CK256" s="113"/>
      <c r="CL256" s="113"/>
      <c r="CM256" s="113"/>
      <c r="CN256" s="113"/>
      <c r="CO256" s="113"/>
      <c r="CP256" s="113"/>
      <c r="CQ256" s="113"/>
      <c r="CR256" s="113"/>
      <c r="CS256" s="113"/>
      <c r="CT256" s="113"/>
      <c r="CU256" s="113"/>
      <c r="CV256" s="113"/>
      <c r="CW256" s="113"/>
      <c r="CX256" s="113"/>
      <c r="CY256" s="113"/>
      <c r="CZ256" s="113"/>
      <c r="DA256" s="113"/>
      <c r="DB256" s="113"/>
      <c r="DC256" s="113"/>
      <c r="DD256" s="113"/>
      <c r="DE256" s="113"/>
      <c r="DF256" s="113"/>
      <c r="DG256" s="113"/>
      <c r="DH256" s="113"/>
      <c r="DI256" s="113"/>
      <c r="DJ256" s="113"/>
      <c r="DK256" s="113"/>
      <c r="DL256" s="113"/>
      <c r="DM256" s="113"/>
      <c r="DN256" s="113"/>
      <c r="DO256" s="113"/>
      <c r="DP256" s="113"/>
      <c r="DQ256" s="113"/>
      <c r="DR256" s="113"/>
      <c r="DS256" s="113"/>
      <c r="DT256" s="113"/>
      <c r="DU256" s="113"/>
      <c r="DV256" s="113"/>
      <c r="DW256" s="113"/>
      <c r="DX256" s="113"/>
      <c r="DY256" s="113"/>
      <c r="DZ256" s="113"/>
      <c r="EA256" s="113"/>
      <c r="EB256" s="113"/>
      <c r="EC256" s="113"/>
      <c r="ED256" s="113"/>
      <c r="EE256" s="113"/>
      <c r="EF256" s="113"/>
      <c r="EG256" s="113"/>
      <c r="EH256" s="113"/>
      <c r="EI256" s="113"/>
      <c r="EJ256" s="113"/>
      <c r="EK256" s="113"/>
      <c r="EL256" s="113"/>
      <c r="EM256" s="113"/>
      <c r="EN256" s="113"/>
      <c r="EO256" s="113"/>
      <c r="EP256" s="113"/>
      <c r="EQ256" s="113"/>
      <c r="ER256" s="113"/>
      <c r="ES256" s="113"/>
      <c r="ET256" s="113"/>
      <c r="EU256" s="113"/>
      <c r="EV256" s="113"/>
      <c r="EW256" s="113"/>
      <c r="EX256" s="113"/>
      <c r="EY256" s="113"/>
      <c r="EZ256" s="113"/>
      <c r="FA256" s="113"/>
      <c r="FB256" s="113"/>
      <c r="FC256" s="113"/>
      <c r="FD256" s="113"/>
      <c r="FE256" s="113"/>
      <c r="FF256" s="113"/>
      <c r="FG256" s="113"/>
      <c r="FH256" s="113"/>
      <c r="FI256" s="113"/>
      <c r="FJ256" s="113"/>
      <c r="FK256" s="113"/>
      <c r="FL256" s="113"/>
      <c r="FM256" s="113"/>
      <c r="FN256" s="113"/>
      <c r="FO256" s="113"/>
      <c r="FP256" s="113"/>
      <c r="FQ256" s="113"/>
      <c r="FR256" s="113"/>
      <c r="FS256" s="113"/>
      <c r="FT256" s="113"/>
      <c r="FU256" s="113"/>
      <c r="FV256" s="113"/>
      <c r="FW256" s="113"/>
      <c r="FX256" s="113"/>
      <c r="FY256" s="113"/>
      <c r="FZ256" s="113"/>
      <c r="GA256" s="113"/>
      <c r="GB256" s="113"/>
      <c r="GC256" s="113"/>
      <c r="GD256" s="113"/>
      <c r="GE256" s="113"/>
      <c r="GF256" s="113"/>
      <c r="GG256" s="113"/>
      <c r="GH256" s="113"/>
      <c r="GI256" s="113"/>
      <c r="GJ256" s="113"/>
      <c r="GK256" s="113"/>
      <c r="GL256" s="113"/>
      <c r="GM256" s="113"/>
      <c r="GN256" s="113"/>
      <c r="GO256" s="113"/>
      <c r="GP256" s="113"/>
      <c r="GQ256" s="113"/>
      <c r="GR256" s="113"/>
      <c r="GS256" s="113"/>
      <c r="GT256" s="113"/>
      <c r="GU256" s="113"/>
      <c r="GV256" s="113"/>
      <c r="GW256" s="113"/>
      <c r="GX256" s="113"/>
      <c r="GY256" s="113"/>
      <c r="GZ256" s="113"/>
      <c r="HA256" s="113"/>
      <c r="HB256" s="113"/>
      <c r="HC256" s="113"/>
      <c r="HD256" s="113"/>
      <c r="HE256" s="113"/>
      <c r="HF256" s="113"/>
      <c r="HG256" s="113"/>
      <c r="HH256" s="113"/>
      <c r="HI256" s="113"/>
      <c r="HJ256" s="113"/>
      <c r="HK256" s="113"/>
      <c r="HL256" s="113"/>
      <c r="HM256" s="113"/>
      <c r="HN256" s="113"/>
      <c r="HO256" s="113"/>
      <c r="HP256" s="113"/>
      <c r="HQ256" s="113"/>
      <c r="HR256" s="113"/>
      <c r="HS256" s="113"/>
      <c r="HT256" s="113"/>
      <c r="HU256" s="113"/>
      <c r="HV256" s="113"/>
      <c r="HW256" s="113"/>
      <c r="HX256" s="113"/>
      <c r="HY256" s="113"/>
      <c r="HZ256" s="113"/>
      <c r="IA256" s="113"/>
      <c r="IB256" s="113"/>
      <c r="IC256" s="113"/>
      <c r="ID256" s="113"/>
      <c r="IE256" s="113"/>
      <c r="IF256" s="113"/>
      <c r="IG256" s="113"/>
      <c r="IH256" s="113"/>
      <c r="II256" s="113"/>
      <c r="IJ256" s="113"/>
      <c r="IK256" s="113"/>
      <c r="IL256" s="113"/>
      <c r="IM256" s="113"/>
      <c r="IN256" s="113"/>
      <c r="IO256" s="113"/>
      <c r="IP256" s="113"/>
      <c r="IQ256" s="113"/>
      <c r="IR256" s="113"/>
      <c r="IS256" s="113"/>
      <c r="IT256" s="113"/>
      <c r="IU256" s="113"/>
      <c r="IV256" s="113"/>
      <c r="IW256" s="113"/>
      <c r="IX256" s="113"/>
      <c r="IY256" s="113"/>
      <c r="IZ256" s="113"/>
      <c r="JA256" s="113"/>
      <c r="JB256" s="113"/>
      <c r="JC256" s="113"/>
      <c r="JD256" s="113"/>
      <c r="JE256" s="113"/>
      <c r="JF256" s="113"/>
      <c r="JG256" s="113"/>
      <c r="JH256" s="113"/>
      <c r="JI256" s="113"/>
      <c r="JJ256" s="113"/>
      <c r="JK256" s="113"/>
      <c r="JL256" s="113"/>
      <c r="JM256" s="113"/>
      <c r="JN256" s="113"/>
      <c r="JO256" s="113"/>
      <c r="JP256" s="113"/>
      <c r="JQ256" s="113"/>
      <c r="JR256" s="113"/>
      <c r="JS256" s="113"/>
      <c r="JT256" s="113"/>
      <c r="JU256" s="113"/>
      <c r="JV256" s="113"/>
      <c r="JW256" s="113"/>
      <c r="JX256" s="113"/>
      <c r="JY256" s="113"/>
      <c r="JZ256" s="113"/>
      <c r="KA256" s="113"/>
      <c r="KB256" s="113"/>
      <c r="KC256" s="113"/>
      <c r="KD256" s="113"/>
      <c r="KE256" s="113"/>
      <c r="KF256" s="113"/>
      <c r="KG256" s="113"/>
      <c r="KH256" s="113"/>
      <c r="KI256" s="113"/>
      <c r="KJ256" s="113"/>
      <c r="KK256" s="113"/>
      <c r="KL256" s="113"/>
      <c r="KM256" s="113"/>
      <c r="KN256" s="113"/>
      <c r="KO256" s="113"/>
      <c r="KP256" s="113"/>
      <c r="KQ256" s="113"/>
      <c r="KR256" s="113"/>
      <c r="KS256" s="113"/>
      <c r="KT256" s="113"/>
      <c r="KU256" s="113"/>
      <c r="KV256" s="113"/>
      <c r="KW256" s="113"/>
      <c r="KX256" s="113"/>
      <c r="KY256" s="113"/>
      <c r="KZ256" s="113"/>
      <c r="LA256" s="113"/>
      <c r="LB256" s="113"/>
      <c r="LC256" s="113"/>
      <c r="LD256" s="113"/>
      <c r="LE256" s="113"/>
      <c r="LF256" s="113"/>
      <c r="LG256" s="113"/>
      <c r="LH256" s="113"/>
      <c r="LI256" s="113"/>
      <c r="LJ256" s="113"/>
      <c r="LK256" s="113"/>
      <c r="LL256" s="113"/>
      <c r="LM256" s="113"/>
      <c r="LN256" s="113"/>
      <c r="LO256" s="113"/>
      <c r="LP256" s="113"/>
      <c r="LQ256" s="113"/>
      <c r="LR256" s="113"/>
      <c r="LS256" s="113"/>
      <c r="LT256" s="113"/>
      <c r="LU256" s="113"/>
      <c r="LV256" s="113"/>
      <c r="LW256" s="113"/>
      <c r="LX256" s="113"/>
      <c r="LY256" s="113"/>
      <c r="LZ256" s="113"/>
      <c r="MA256" s="113"/>
      <c r="MB256" s="113"/>
      <c r="MC256" s="113"/>
      <c r="MD256" s="113"/>
      <c r="ME256" s="113"/>
      <c r="MF256" s="113"/>
      <c r="MG256" s="113"/>
      <c r="MH256" s="113"/>
      <c r="MI256" s="113"/>
      <c r="MJ256" s="113"/>
      <c r="MK256" s="113"/>
      <c r="ML256" s="113"/>
      <c r="MM256" s="113"/>
      <c r="MN256" s="113"/>
      <c r="MO256" s="113"/>
      <c r="MP256" s="113"/>
      <c r="MQ256" s="113"/>
      <c r="MR256" s="113"/>
      <c r="MS256" s="113"/>
      <c r="MT256" s="113"/>
      <c r="MU256" s="113"/>
      <c r="MV256" s="113"/>
      <c r="MW256" s="113"/>
      <c r="MX256" s="113"/>
      <c r="MY256" s="113"/>
      <c r="MZ256" s="113"/>
      <c r="NA256" s="113"/>
      <c r="NB256" s="113"/>
      <c r="NC256" s="113"/>
      <c r="ND256" s="113"/>
      <c r="NE256" s="113"/>
      <c r="NF256" s="113"/>
      <c r="NG256" s="113"/>
      <c r="NH256" s="113"/>
      <c r="NI256" s="113"/>
      <c r="NJ256" s="113"/>
      <c r="NK256" s="113"/>
      <c r="NL256" s="113"/>
      <c r="NM256" s="113"/>
      <c r="NN256" s="113"/>
      <c r="NO256" s="113"/>
      <c r="NP256" s="113"/>
      <c r="NQ256" s="113"/>
      <c r="NR256" s="113"/>
      <c r="NS256" s="113"/>
      <c r="NT256" s="113"/>
      <c r="NU256" s="113"/>
      <c r="NV256" s="113"/>
      <c r="NW256" s="113"/>
      <c r="NX256" s="113"/>
      <c r="NY256" s="113"/>
      <c r="NZ256" s="113"/>
      <c r="OA256" s="113"/>
      <c r="OB256" s="113"/>
      <c r="OC256" s="113"/>
      <c r="OD256" s="113"/>
      <c r="OE256" s="113"/>
      <c r="OF256" s="113"/>
      <c r="OG256" s="113"/>
      <c r="OH256" s="113"/>
      <c r="OI256" s="113"/>
      <c r="OJ256" s="113"/>
      <c r="OK256" s="113"/>
      <c r="OL256" s="113"/>
      <c r="OM256" s="113"/>
      <c r="ON256" s="113"/>
      <c r="OO256" s="113"/>
      <c r="OP256" s="113"/>
      <c r="OQ256" s="113"/>
      <c r="OR256" s="113"/>
      <c r="OS256" s="113"/>
      <c r="OT256" s="113"/>
      <c r="OU256" s="113"/>
      <c r="OV256" s="113"/>
      <c r="OW256" s="113"/>
      <c r="OX256" s="113"/>
      <c r="OY256" s="113"/>
      <c r="OZ256" s="113"/>
      <c r="PA256" s="113"/>
      <c r="PB256" s="113"/>
      <c r="PC256" s="113"/>
      <c r="PD256" s="113"/>
      <c r="PE256" s="113"/>
      <c r="PF256" s="113"/>
      <c r="PG256" s="113"/>
      <c r="PH256" s="113"/>
      <c r="PI256" s="113"/>
      <c r="PJ256" s="113"/>
      <c r="PK256" s="113"/>
      <c r="PL256" s="113"/>
      <c r="PM256" s="113"/>
    </row>
    <row r="257" spans="1:429" s="48" customFormat="1">
      <c r="A257" s="113"/>
      <c r="B257" s="105"/>
      <c r="C257" s="71"/>
      <c r="D257" s="71"/>
      <c r="E257" s="72" t="s">
        <v>305</v>
      </c>
      <c r="F257" s="73" t="s">
        <v>819</v>
      </c>
      <c r="G257" s="41">
        <v>2.68</v>
      </c>
      <c r="H257" s="42"/>
      <c r="I257" s="74"/>
      <c r="J257" s="41">
        <v>0.42</v>
      </c>
      <c r="K257" s="42"/>
      <c r="L257" s="74"/>
      <c r="M257" s="42"/>
      <c r="N257" s="42"/>
      <c r="O257" s="42"/>
      <c r="P257" s="35">
        <v>2022</v>
      </c>
      <c r="Q257" s="36" t="s">
        <v>306</v>
      </c>
      <c r="R257" s="73" t="s">
        <v>36</v>
      </c>
      <c r="S257" s="113"/>
      <c r="T257" s="113"/>
      <c r="U257" s="113"/>
      <c r="V257" s="113"/>
      <c r="W257" s="113"/>
      <c r="X257" s="113"/>
      <c r="Y257" s="113"/>
      <c r="Z257" s="113"/>
      <c r="AA257" s="113"/>
      <c r="AB257" s="113"/>
      <c r="AC257" s="113"/>
      <c r="AD257" s="113"/>
      <c r="AE257" s="113"/>
      <c r="AF257" s="113"/>
      <c r="AG257" s="113"/>
      <c r="AH257" s="113"/>
      <c r="AI257" s="113"/>
      <c r="AJ257" s="113"/>
      <c r="AK257" s="113"/>
      <c r="AL257" s="113"/>
      <c r="AM257" s="113"/>
      <c r="AN257" s="113"/>
      <c r="AO257" s="113"/>
      <c r="AP257" s="113"/>
      <c r="AQ257" s="113"/>
      <c r="AR257" s="113"/>
      <c r="AS257" s="113"/>
      <c r="AT257" s="113"/>
      <c r="AU257" s="113"/>
      <c r="AV257" s="113"/>
      <c r="AW257" s="113"/>
      <c r="AX257" s="113"/>
      <c r="AY257" s="113"/>
      <c r="AZ257" s="113"/>
      <c r="BA257" s="113"/>
      <c r="BB257" s="113"/>
      <c r="BC257" s="113"/>
      <c r="BD257" s="113"/>
      <c r="BE257" s="113"/>
      <c r="BF257" s="113"/>
      <c r="BG257" s="113"/>
      <c r="BH257" s="113"/>
      <c r="BI257" s="113"/>
      <c r="BJ257" s="113"/>
      <c r="BK257" s="113"/>
      <c r="BL257" s="113"/>
      <c r="BM257" s="113"/>
      <c r="BN257" s="113"/>
      <c r="BO257" s="113"/>
      <c r="BP257" s="113"/>
      <c r="BQ257" s="113"/>
      <c r="BR257" s="113"/>
      <c r="BS257" s="113"/>
      <c r="BT257" s="113"/>
      <c r="BU257" s="113"/>
      <c r="BV257" s="113"/>
      <c r="BW257" s="113"/>
      <c r="BX257" s="113"/>
      <c r="BY257" s="113"/>
      <c r="BZ257" s="113"/>
      <c r="CA257" s="113"/>
      <c r="CB257" s="113"/>
      <c r="CC257" s="113"/>
      <c r="CD257" s="113"/>
      <c r="CE257" s="113"/>
      <c r="CF257" s="113"/>
      <c r="CG257" s="113"/>
      <c r="CH257" s="113"/>
      <c r="CI257" s="113"/>
      <c r="CJ257" s="113"/>
      <c r="CK257" s="113"/>
      <c r="CL257" s="113"/>
      <c r="CM257" s="113"/>
      <c r="CN257" s="113"/>
      <c r="CO257" s="113"/>
      <c r="CP257" s="113"/>
      <c r="CQ257" s="113"/>
      <c r="CR257" s="113"/>
      <c r="CS257" s="113"/>
      <c r="CT257" s="113"/>
      <c r="CU257" s="113"/>
      <c r="CV257" s="113"/>
      <c r="CW257" s="113"/>
      <c r="CX257" s="113"/>
      <c r="CY257" s="113"/>
      <c r="CZ257" s="113"/>
      <c r="DA257" s="113"/>
      <c r="DB257" s="113"/>
      <c r="DC257" s="113"/>
      <c r="DD257" s="113"/>
      <c r="DE257" s="113"/>
      <c r="DF257" s="113"/>
      <c r="DG257" s="113"/>
      <c r="DH257" s="113"/>
      <c r="DI257" s="113"/>
      <c r="DJ257" s="113"/>
      <c r="DK257" s="113"/>
      <c r="DL257" s="113"/>
      <c r="DM257" s="113"/>
      <c r="DN257" s="113"/>
      <c r="DO257" s="113"/>
      <c r="DP257" s="113"/>
      <c r="DQ257" s="113"/>
      <c r="DR257" s="113"/>
      <c r="DS257" s="113"/>
      <c r="DT257" s="113"/>
      <c r="DU257" s="113"/>
      <c r="DV257" s="113"/>
      <c r="DW257" s="113"/>
      <c r="DX257" s="113"/>
      <c r="DY257" s="113"/>
      <c r="DZ257" s="113"/>
      <c r="EA257" s="113"/>
      <c r="EB257" s="113"/>
      <c r="EC257" s="113"/>
      <c r="ED257" s="113"/>
      <c r="EE257" s="113"/>
      <c r="EF257" s="113"/>
      <c r="EG257" s="113"/>
      <c r="EH257" s="113"/>
      <c r="EI257" s="113"/>
      <c r="EJ257" s="113"/>
      <c r="EK257" s="113"/>
      <c r="EL257" s="113"/>
      <c r="EM257" s="113"/>
      <c r="EN257" s="113"/>
      <c r="EO257" s="113"/>
      <c r="EP257" s="113"/>
      <c r="EQ257" s="113"/>
      <c r="ER257" s="113"/>
      <c r="ES257" s="113"/>
      <c r="ET257" s="113"/>
      <c r="EU257" s="113"/>
      <c r="EV257" s="113"/>
      <c r="EW257" s="113"/>
      <c r="EX257" s="113"/>
      <c r="EY257" s="113"/>
      <c r="EZ257" s="113"/>
      <c r="FA257" s="113"/>
      <c r="FB257" s="113"/>
      <c r="FC257" s="113"/>
      <c r="FD257" s="113"/>
      <c r="FE257" s="113"/>
      <c r="FF257" s="113"/>
      <c r="FG257" s="113"/>
      <c r="FH257" s="113"/>
      <c r="FI257" s="113"/>
      <c r="FJ257" s="113"/>
      <c r="FK257" s="113"/>
      <c r="FL257" s="113"/>
      <c r="FM257" s="113"/>
      <c r="FN257" s="113"/>
      <c r="FO257" s="113"/>
      <c r="FP257" s="113"/>
      <c r="FQ257" s="113"/>
      <c r="FR257" s="113"/>
      <c r="FS257" s="113"/>
      <c r="FT257" s="113"/>
      <c r="FU257" s="113"/>
      <c r="FV257" s="113"/>
      <c r="FW257" s="113"/>
      <c r="FX257" s="113"/>
      <c r="FY257" s="113"/>
      <c r="FZ257" s="113"/>
      <c r="GA257" s="113"/>
      <c r="GB257" s="113"/>
      <c r="GC257" s="113"/>
      <c r="GD257" s="113"/>
      <c r="GE257" s="113"/>
      <c r="GF257" s="113"/>
      <c r="GG257" s="113"/>
      <c r="GH257" s="113"/>
      <c r="GI257" s="113"/>
      <c r="GJ257" s="113"/>
      <c r="GK257" s="113"/>
      <c r="GL257" s="113"/>
      <c r="GM257" s="113"/>
      <c r="GN257" s="113"/>
      <c r="GO257" s="113"/>
      <c r="GP257" s="113"/>
      <c r="GQ257" s="113"/>
      <c r="GR257" s="113"/>
      <c r="GS257" s="113"/>
      <c r="GT257" s="113"/>
      <c r="GU257" s="113"/>
      <c r="GV257" s="113"/>
      <c r="GW257" s="113"/>
      <c r="GX257" s="113"/>
      <c r="GY257" s="113"/>
      <c r="GZ257" s="113"/>
      <c r="HA257" s="113"/>
      <c r="HB257" s="113"/>
      <c r="HC257" s="113"/>
      <c r="HD257" s="113"/>
      <c r="HE257" s="113"/>
      <c r="HF257" s="113"/>
      <c r="HG257" s="113"/>
      <c r="HH257" s="113"/>
      <c r="HI257" s="113"/>
      <c r="HJ257" s="113"/>
      <c r="HK257" s="113"/>
      <c r="HL257" s="113"/>
      <c r="HM257" s="113"/>
      <c r="HN257" s="113"/>
      <c r="HO257" s="113"/>
      <c r="HP257" s="113"/>
      <c r="HQ257" s="113"/>
      <c r="HR257" s="113"/>
      <c r="HS257" s="113"/>
      <c r="HT257" s="113"/>
      <c r="HU257" s="113"/>
      <c r="HV257" s="113"/>
      <c r="HW257" s="113"/>
      <c r="HX257" s="113"/>
      <c r="HY257" s="113"/>
      <c r="HZ257" s="113"/>
      <c r="IA257" s="113"/>
      <c r="IB257" s="113"/>
      <c r="IC257" s="113"/>
      <c r="ID257" s="113"/>
      <c r="IE257" s="113"/>
      <c r="IF257" s="113"/>
      <c r="IG257" s="113"/>
      <c r="IH257" s="113"/>
      <c r="II257" s="113"/>
      <c r="IJ257" s="113"/>
      <c r="IK257" s="113"/>
      <c r="IL257" s="113"/>
      <c r="IM257" s="113"/>
      <c r="IN257" s="113"/>
      <c r="IO257" s="113"/>
      <c r="IP257" s="113"/>
      <c r="IQ257" s="113"/>
      <c r="IR257" s="113"/>
      <c r="IS257" s="113"/>
      <c r="IT257" s="113"/>
      <c r="IU257" s="113"/>
      <c r="IV257" s="113"/>
      <c r="IW257" s="113"/>
      <c r="IX257" s="113"/>
      <c r="IY257" s="113"/>
      <c r="IZ257" s="113"/>
      <c r="JA257" s="113"/>
      <c r="JB257" s="113"/>
      <c r="JC257" s="113"/>
      <c r="JD257" s="113"/>
      <c r="JE257" s="113"/>
      <c r="JF257" s="113"/>
      <c r="JG257" s="113"/>
      <c r="JH257" s="113"/>
      <c r="JI257" s="113"/>
      <c r="JJ257" s="113"/>
      <c r="JK257" s="113"/>
      <c r="JL257" s="113"/>
      <c r="JM257" s="113"/>
      <c r="JN257" s="113"/>
      <c r="JO257" s="113"/>
      <c r="JP257" s="113"/>
      <c r="JQ257" s="113"/>
      <c r="JR257" s="113"/>
      <c r="JS257" s="113"/>
      <c r="JT257" s="113"/>
      <c r="JU257" s="113"/>
      <c r="JV257" s="113"/>
      <c r="JW257" s="113"/>
      <c r="JX257" s="113"/>
      <c r="JY257" s="113"/>
      <c r="JZ257" s="113"/>
      <c r="KA257" s="113"/>
      <c r="KB257" s="113"/>
      <c r="KC257" s="113"/>
      <c r="KD257" s="113"/>
      <c r="KE257" s="113"/>
      <c r="KF257" s="113"/>
      <c r="KG257" s="113"/>
      <c r="KH257" s="113"/>
      <c r="KI257" s="113"/>
      <c r="KJ257" s="113"/>
      <c r="KK257" s="113"/>
      <c r="KL257" s="113"/>
      <c r="KM257" s="113"/>
      <c r="KN257" s="113"/>
      <c r="KO257" s="113"/>
      <c r="KP257" s="113"/>
      <c r="KQ257" s="113"/>
      <c r="KR257" s="113"/>
      <c r="KS257" s="113"/>
      <c r="KT257" s="113"/>
      <c r="KU257" s="113"/>
      <c r="KV257" s="113"/>
      <c r="KW257" s="113"/>
      <c r="KX257" s="113"/>
      <c r="KY257" s="113"/>
      <c r="KZ257" s="113"/>
      <c r="LA257" s="113"/>
      <c r="LB257" s="113"/>
      <c r="LC257" s="113"/>
      <c r="LD257" s="113"/>
      <c r="LE257" s="113"/>
      <c r="LF257" s="113"/>
      <c r="LG257" s="113"/>
      <c r="LH257" s="113"/>
      <c r="LI257" s="113"/>
      <c r="LJ257" s="113"/>
      <c r="LK257" s="113"/>
      <c r="LL257" s="113"/>
      <c r="LM257" s="113"/>
      <c r="LN257" s="113"/>
      <c r="LO257" s="113"/>
      <c r="LP257" s="113"/>
      <c r="LQ257" s="113"/>
      <c r="LR257" s="113"/>
      <c r="LS257" s="113"/>
      <c r="LT257" s="113"/>
      <c r="LU257" s="113"/>
      <c r="LV257" s="113"/>
      <c r="LW257" s="113"/>
      <c r="LX257" s="113"/>
      <c r="LY257" s="113"/>
      <c r="LZ257" s="113"/>
      <c r="MA257" s="113"/>
      <c r="MB257" s="113"/>
      <c r="MC257" s="113"/>
      <c r="MD257" s="113"/>
      <c r="ME257" s="113"/>
      <c r="MF257" s="113"/>
      <c r="MG257" s="113"/>
      <c r="MH257" s="113"/>
      <c r="MI257" s="113"/>
      <c r="MJ257" s="113"/>
      <c r="MK257" s="113"/>
      <c r="ML257" s="113"/>
      <c r="MM257" s="113"/>
      <c r="MN257" s="113"/>
      <c r="MO257" s="113"/>
      <c r="MP257" s="113"/>
      <c r="MQ257" s="113"/>
      <c r="MR257" s="113"/>
      <c r="MS257" s="113"/>
      <c r="MT257" s="113"/>
      <c r="MU257" s="113"/>
      <c r="MV257" s="113"/>
      <c r="MW257" s="113"/>
      <c r="MX257" s="113"/>
      <c r="MY257" s="113"/>
      <c r="MZ257" s="113"/>
      <c r="NA257" s="113"/>
      <c r="NB257" s="113"/>
      <c r="NC257" s="113"/>
      <c r="ND257" s="113"/>
      <c r="NE257" s="113"/>
      <c r="NF257" s="113"/>
      <c r="NG257" s="113"/>
      <c r="NH257" s="113"/>
      <c r="NI257" s="113"/>
      <c r="NJ257" s="113"/>
      <c r="NK257" s="113"/>
      <c r="NL257" s="113"/>
      <c r="NM257" s="113"/>
      <c r="NN257" s="113"/>
      <c r="NO257" s="113"/>
      <c r="NP257" s="113"/>
      <c r="NQ257" s="113"/>
      <c r="NR257" s="113"/>
      <c r="NS257" s="113"/>
      <c r="NT257" s="113"/>
      <c r="NU257" s="113"/>
      <c r="NV257" s="113"/>
      <c r="NW257" s="113"/>
      <c r="NX257" s="113"/>
      <c r="NY257" s="113"/>
      <c r="NZ257" s="113"/>
      <c r="OA257" s="113"/>
      <c r="OB257" s="113"/>
      <c r="OC257" s="113"/>
      <c r="OD257" s="113"/>
      <c r="OE257" s="113"/>
      <c r="OF257" s="113"/>
      <c r="OG257" s="113"/>
      <c r="OH257" s="113"/>
      <c r="OI257" s="113"/>
      <c r="OJ257" s="113"/>
      <c r="OK257" s="113"/>
      <c r="OL257" s="113"/>
      <c r="OM257" s="113"/>
      <c r="ON257" s="113"/>
      <c r="OO257" s="113"/>
      <c r="OP257" s="113"/>
      <c r="OQ257" s="113"/>
      <c r="OR257" s="113"/>
      <c r="OS257" s="113"/>
      <c r="OT257" s="113"/>
      <c r="OU257" s="113"/>
      <c r="OV257" s="113"/>
      <c r="OW257" s="113"/>
      <c r="OX257" s="113"/>
      <c r="OY257" s="113"/>
      <c r="OZ257" s="113"/>
      <c r="PA257" s="113"/>
      <c r="PB257" s="113"/>
      <c r="PC257" s="113"/>
      <c r="PD257" s="113"/>
      <c r="PE257" s="113"/>
      <c r="PF257" s="113"/>
      <c r="PG257" s="113"/>
      <c r="PH257" s="113"/>
      <c r="PI257" s="113"/>
      <c r="PJ257" s="113"/>
      <c r="PK257" s="113"/>
      <c r="PL257" s="113"/>
      <c r="PM257" s="113"/>
    </row>
    <row r="258" spans="1:429" s="48" customFormat="1">
      <c r="A258" s="113"/>
      <c r="B258" s="105"/>
      <c r="C258" s="71"/>
      <c r="D258" s="71"/>
      <c r="E258" s="72" t="s">
        <v>305</v>
      </c>
      <c r="F258" s="73" t="s">
        <v>818</v>
      </c>
      <c r="G258" s="41">
        <v>1.63</v>
      </c>
      <c r="H258" s="42"/>
      <c r="I258" s="74"/>
      <c r="J258" s="41">
        <v>0.02</v>
      </c>
      <c r="K258" s="42"/>
      <c r="L258" s="74"/>
      <c r="M258" s="42">
        <v>1.17126822604683E-2</v>
      </c>
      <c r="N258" s="42"/>
      <c r="O258" s="42"/>
      <c r="P258" s="35">
        <v>2022</v>
      </c>
      <c r="Q258" s="36" t="s">
        <v>306</v>
      </c>
      <c r="R258" s="73" t="s">
        <v>36</v>
      </c>
      <c r="S258" s="113"/>
      <c r="T258" s="113"/>
      <c r="U258" s="113"/>
      <c r="V258" s="113"/>
      <c r="W258" s="113"/>
      <c r="X258" s="113"/>
      <c r="Y258" s="113"/>
      <c r="Z258" s="113"/>
      <c r="AA258" s="113"/>
      <c r="AB258" s="113"/>
      <c r="AC258" s="113"/>
      <c r="AD258" s="113"/>
      <c r="AE258" s="113"/>
      <c r="AF258" s="113"/>
      <c r="AG258" s="113"/>
      <c r="AH258" s="113"/>
      <c r="AI258" s="113"/>
      <c r="AJ258" s="113"/>
      <c r="AK258" s="113"/>
      <c r="AL258" s="113"/>
      <c r="AM258" s="113"/>
      <c r="AN258" s="113"/>
      <c r="AO258" s="113"/>
      <c r="AP258" s="113"/>
      <c r="AQ258" s="113"/>
      <c r="AR258" s="113"/>
      <c r="AS258" s="113"/>
      <c r="AT258" s="113"/>
      <c r="AU258" s="113"/>
      <c r="AV258" s="113"/>
      <c r="AW258" s="113"/>
      <c r="AX258" s="113"/>
      <c r="AY258" s="113"/>
      <c r="AZ258" s="113"/>
      <c r="BA258" s="113"/>
      <c r="BB258" s="113"/>
      <c r="BC258" s="113"/>
      <c r="BD258" s="113"/>
      <c r="BE258" s="113"/>
      <c r="BF258" s="113"/>
      <c r="BG258" s="113"/>
      <c r="BH258" s="113"/>
      <c r="BI258" s="113"/>
      <c r="BJ258" s="113"/>
      <c r="BK258" s="113"/>
      <c r="BL258" s="113"/>
      <c r="BM258" s="113"/>
      <c r="BN258" s="113"/>
      <c r="BO258" s="113"/>
      <c r="BP258" s="113"/>
      <c r="BQ258" s="113"/>
      <c r="BR258" s="113"/>
      <c r="BS258" s="113"/>
      <c r="BT258" s="113"/>
      <c r="BU258" s="113"/>
      <c r="BV258" s="113"/>
      <c r="BW258" s="113"/>
      <c r="BX258" s="113"/>
      <c r="BY258" s="113"/>
      <c r="BZ258" s="113"/>
      <c r="CA258" s="113"/>
      <c r="CB258" s="113"/>
      <c r="CC258" s="113"/>
      <c r="CD258" s="113"/>
      <c r="CE258" s="113"/>
      <c r="CF258" s="113"/>
      <c r="CG258" s="113"/>
      <c r="CH258" s="113"/>
      <c r="CI258" s="113"/>
      <c r="CJ258" s="113"/>
      <c r="CK258" s="113"/>
      <c r="CL258" s="113"/>
      <c r="CM258" s="113"/>
      <c r="CN258" s="113"/>
      <c r="CO258" s="113"/>
      <c r="CP258" s="113"/>
      <c r="CQ258" s="113"/>
      <c r="CR258" s="113"/>
      <c r="CS258" s="113"/>
      <c r="CT258" s="113"/>
      <c r="CU258" s="113"/>
      <c r="CV258" s="113"/>
      <c r="CW258" s="113"/>
      <c r="CX258" s="113"/>
      <c r="CY258" s="113"/>
      <c r="CZ258" s="113"/>
      <c r="DA258" s="113"/>
      <c r="DB258" s="113"/>
      <c r="DC258" s="113"/>
      <c r="DD258" s="113"/>
      <c r="DE258" s="113"/>
      <c r="DF258" s="113"/>
      <c r="DG258" s="113"/>
      <c r="DH258" s="113"/>
      <c r="DI258" s="113"/>
      <c r="DJ258" s="113"/>
      <c r="DK258" s="113"/>
      <c r="DL258" s="113"/>
      <c r="DM258" s="113"/>
      <c r="DN258" s="113"/>
      <c r="DO258" s="113"/>
      <c r="DP258" s="113"/>
      <c r="DQ258" s="113"/>
      <c r="DR258" s="113"/>
      <c r="DS258" s="113"/>
      <c r="DT258" s="113"/>
      <c r="DU258" s="113"/>
      <c r="DV258" s="113"/>
      <c r="DW258" s="113"/>
      <c r="DX258" s="113"/>
      <c r="DY258" s="113"/>
      <c r="DZ258" s="113"/>
      <c r="EA258" s="113"/>
      <c r="EB258" s="113"/>
      <c r="EC258" s="113"/>
      <c r="ED258" s="113"/>
      <c r="EE258" s="113"/>
      <c r="EF258" s="113"/>
      <c r="EG258" s="113"/>
      <c r="EH258" s="113"/>
      <c r="EI258" s="113"/>
      <c r="EJ258" s="113"/>
      <c r="EK258" s="113"/>
      <c r="EL258" s="113"/>
      <c r="EM258" s="113"/>
      <c r="EN258" s="113"/>
      <c r="EO258" s="113"/>
      <c r="EP258" s="113"/>
      <c r="EQ258" s="113"/>
      <c r="ER258" s="113"/>
      <c r="ES258" s="113"/>
      <c r="ET258" s="113"/>
      <c r="EU258" s="113"/>
      <c r="EV258" s="113"/>
      <c r="EW258" s="113"/>
      <c r="EX258" s="113"/>
      <c r="EY258" s="113"/>
      <c r="EZ258" s="113"/>
      <c r="FA258" s="113"/>
      <c r="FB258" s="113"/>
      <c r="FC258" s="113"/>
      <c r="FD258" s="113"/>
      <c r="FE258" s="113"/>
      <c r="FF258" s="113"/>
      <c r="FG258" s="113"/>
      <c r="FH258" s="113"/>
      <c r="FI258" s="113"/>
      <c r="FJ258" s="113"/>
      <c r="FK258" s="113"/>
      <c r="FL258" s="113"/>
      <c r="FM258" s="113"/>
      <c r="FN258" s="113"/>
      <c r="FO258" s="113"/>
      <c r="FP258" s="113"/>
      <c r="FQ258" s="113"/>
      <c r="FR258" s="113"/>
      <c r="FS258" s="113"/>
      <c r="FT258" s="113"/>
      <c r="FU258" s="113"/>
      <c r="FV258" s="113"/>
      <c r="FW258" s="113"/>
      <c r="FX258" s="113"/>
      <c r="FY258" s="113"/>
      <c r="FZ258" s="113"/>
      <c r="GA258" s="113"/>
      <c r="GB258" s="113"/>
      <c r="GC258" s="113"/>
      <c r="GD258" s="113"/>
      <c r="GE258" s="113"/>
      <c r="GF258" s="113"/>
      <c r="GG258" s="113"/>
      <c r="GH258" s="113"/>
      <c r="GI258" s="113"/>
      <c r="GJ258" s="113"/>
      <c r="GK258" s="113"/>
      <c r="GL258" s="113"/>
      <c r="GM258" s="113"/>
      <c r="GN258" s="113"/>
      <c r="GO258" s="113"/>
      <c r="GP258" s="113"/>
      <c r="GQ258" s="113"/>
      <c r="GR258" s="113"/>
      <c r="GS258" s="113"/>
      <c r="GT258" s="113"/>
      <c r="GU258" s="113"/>
      <c r="GV258" s="113"/>
      <c r="GW258" s="113"/>
      <c r="GX258" s="113"/>
      <c r="GY258" s="113"/>
      <c r="GZ258" s="113"/>
      <c r="HA258" s="113"/>
      <c r="HB258" s="113"/>
      <c r="HC258" s="113"/>
      <c r="HD258" s="113"/>
      <c r="HE258" s="113"/>
      <c r="HF258" s="113"/>
      <c r="HG258" s="113"/>
      <c r="HH258" s="113"/>
      <c r="HI258" s="113"/>
      <c r="HJ258" s="113"/>
      <c r="HK258" s="113"/>
      <c r="HL258" s="113"/>
      <c r="HM258" s="113"/>
      <c r="HN258" s="113"/>
      <c r="HO258" s="113"/>
      <c r="HP258" s="113"/>
      <c r="HQ258" s="113"/>
      <c r="HR258" s="113"/>
      <c r="HS258" s="113"/>
      <c r="HT258" s="113"/>
      <c r="HU258" s="113"/>
      <c r="HV258" s="113"/>
      <c r="HW258" s="113"/>
      <c r="HX258" s="113"/>
      <c r="HY258" s="113"/>
      <c r="HZ258" s="113"/>
      <c r="IA258" s="113"/>
      <c r="IB258" s="113"/>
      <c r="IC258" s="113"/>
      <c r="ID258" s="113"/>
      <c r="IE258" s="113"/>
      <c r="IF258" s="113"/>
      <c r="IG258" s="113"/>
      <c r="IH258" s="113"/>
      <c r="II258" s="113"/>
      <c r="IJ258" s="113"/>
      <c r="IK258" s="113"/>
      <c r="IL258" s="113"/>
      <c r="IM258" s="113"/>
      <c r="IN258" s="113"/>
      <c r="IO258" s="113"/>
      <c r="IP258" s="113"/>
      <c r="IQ258" s="113"/>
      <c r="IR258" s="113"/>
      <c r="IS258" s="113"/>
      <c r="IT258" s="113"/>
      <c r="IU258" s="113"/>
      <c r="IV258" s="113"/>
      <c r="IW258" s="113"/>
      <c r="IX258" s="113"/>
      <c r="IY258" s="113"/>
      <c r="IZ258" s="113"/>
      <c r="JA258" s="113"/>
      <c r="JB258" s="113"/>
      <c r="JC258" s="113"/>
      <c r="JD258" s="113"/>
      <c r="JE258" s="113"/>
      <c r="JF258" s="113"/>
      <c r="JG258" s="113"/>
      <c r="JH258" s="113"/>
      <c r="JI258" s="113"/>
      <c r="JJ258" s="113"/>
      <c r="JK258" s="113"/>
      <c r="JL258" s="113"/>
      <c r="JM258" s="113"/>
      <c r="JN258" s="113"/>
      <c r="JO258" s="113"/>
      <c r="JP258" s="113"/>
      <c r="JQ258" s="113"/>
      <c r="JR258" s="113"/>
      <c r="JS258" s="113"/>
      <c r="JT258" s="113"/>
      <c r="JU258" s="113"/>
      <c r="JV258" s="113"/>
      <c r="JW258" s="113"/>
      <c r="JX258" s="113"/>
      <c r="JY258" s="113"/>
      <c r="JZ258" s="113"/>
      <c r="KA258" s="113"/>
      <c r="KB258" s="113"/>
      <c r="KC258" s="113"/>
      <c r="KD258" s="113"/>
      <c r="KE258" s="113"/>
      <c r="KF258" s="113"/>
      <c r="KG258" s="113"/>
      <c r="KH258" s="113"/>
      <c r="KI258" s="113"/>
      <c r="KJ258" s="113"/>
      <c r="KK258" s="113"/>
      <c r="KL258" s="113"/>
      <c r="KM258" s="113"/>
      <c r="KN258" s="113"/>
      <c r="KO258" s="113"/>
      <c r="KP258" s="113"/>
      <c r="KQ258" s="113"/>
      <c r="KR258" s="113"/>
      <c r="KS258" s="113"/>
      <c r="KT258" s="113"/>
      <c r="KU258" s="113"/>
      <c r="KV258" s="113"/>
      <c r="KW258" s="113"/>
      <c r="KX258" s="113"/>
      <c r="KY258" s="113"/>
      <c r="KZ258" s="113"/>
      <c r="LA258" s="113"/>
      <c r="LB258" s="113"/>
      <c r="LC258" s="113"/>
      <c r="LD258" s="113"/>
      <c r="LE258" s="113"/>
      <c r="LF258" s="113"/>
      <c r="LG258" s="113"/>
      <c r="LH258" s="113"/>
      <c r="LI258" s="113"/>
      <c r="LJ258" s="113"/>
      <c r="LK258" s="113"/>
      <c r="LL258" s="113"/>
      <c r="LM258" s="113"/>
      <c r="LN258" s="113"/>
      <c r="LO258" s="113"/>
      <c r="LP258" s="113"/>
      <c r="LQ258" s="113"/>
      <c r="LR258" s="113"/>
      <c r="LS258" s="113"/>
      <c r="LT258" s="113"/>
      <c r="LU258" s="113"/>
      <c r="LV258" s="113"/>
      <c r="LW258" s="113"/>
      <c r="LX258" s="113"/>
      <c r="LY258" s="113"/>
      <c r="LZ258" s="113"/>
      <c r="MA258" s="113"/>
      <c r="MB258" s="113"/>
      <c r="MC258" s="113"/>
      <c r="MD258" s="113"/>
      <c r="ME258" s="113"/>
      <c r="MF258" s="113"/>
      <c r="MG258" s="113"/>
      <c r="MH258" s="113"/>
      <c r="MI258" s="113"/>
      <c r="MJ258" s="113"/>
      <c r="MK258" s="113"/>
      <c r="ML258" s="113"/>
      <c r="MM258" s="113"/>
      <c r="MN258" s="113"/>
      <c r="MO258" s="113"/>
      <c r="MP258" s="113"/>
      <c r="MQ258" s="113"/>
      <c r="MR258" s="113"/>
      <c r="MS258" s="113"/>
      <c r="MT258" s="113"/>
      <c r="MU258" s="113"/>
      <c r="MV258" s="113"/>
      <c r="MW258" s="113"/>
      <c r="MX258" s="113"/>
      <c r="MY258" s="113"/>
      <c r="MZ258" s="113"/>
      <c r="NA258" s="113"/>
      <c r="NB258" s="113"/>
      <c r="NC258" s="113"/>
      <c r="ND258" s="113"/>
      <c r="NE258" s="113"/>
      <c r="NF258" s="113"/>
      <c r="NG258" s="113"/>
      <c r="NH258" s="113"/>
      <c r="NI258" s="113"/>
      <c r="NJ258" s="113"/>
      <c r="NK258" s="113"/>
      <c r="NL258" s="113"/>
      <c r="NM258" s="113"/>
      <c r="NN258" s="113"/>
      <c r="NO258" s="113"/>
      <c r="NP258" s="113"/>
      <c r="NQ258" s="113"/>
      <c r="NR258" s="113"/>
      <c r="NS258" s="113"/>
      <c r="NT258" s="113"/>
      <c r="NU258" s="113"/>
      <c r="NV258" s="113"/>
      <c r="NW258" s="113"/>
      <c r="NX258" s="113"/>
      <c r="NY258" s="113"/>
      <c r="NZ258" s="113"/>
      <c r="OA258" s="113"/>
      <c r="OB258" s="113"/>
      <c r="OC258" s="113"/>
      <c r="OD258" s="113"/>
      <c r="OE258" s="113"/>
      <c r="OF258" s="113"/>
      <c r="OG258" s="113"/>
      <c r="OH258" s="113"/>
      <c r="OI258" s="113"/>
      <c r="OJ258" s="113"/>
      <c r="OK258" s="113"/>
      <c r="OL258" s="113"/>
      <c r="OM258" s="113"/>
      <c r="ON258" s="113"/>
      <c r="OO258" s="113"/>
      <c r="OP258" s="113"/>
      <c r="OQ258" s="113"/>
      <c r="OR258" s="113"/>
      <c r="OS258" s="113"/>
      <c r="OT258" s="113"/>
      <c r="OU258" s="113"/>
      <c r="OV258" s="113"/>
      <c r="OW258" s="113"/>
      <c r="OX258" s="113"/>
      <c r="OY258" s="113"/>
      <c r="OZ258" s="113"/>
      <c r="PA258" s="113"/>
      <c r="PB258" s="113"/>
      <c r="PC258" s="113"/>
      <c r="PD258" s="113"/>
      <c r="PE258" s="113"/>
      <c r="PF258" s="113"/>
      <c r="PG258" s="113"/>
      <c r="PH258" s="113"/>
      <c r="PI258" s="113"/>
      <c r="PJ258" s="113"/>
      <c r="PK258" s="113"/>
      <c r="PL258" s="113"/>
      <c r="PM258" s="113"/>
    </row>
    <row r="259" spans="1:429">
      <c r="B259" s="105"/>
      <c r="C259" s="71"/>
      <c r="D259" s="71"/>
      <c r="E259" s="72" t="s">
        <v>812</v>
      </c>
      <c r="F259" s="73" t="s">
        <v>841</v>
      </c>
      <c r="G259" s="41">
        <v>1.8560000000000001</v>
      </c>
      <c r="H259" s="42">
        <v>2.633</v>
      </c>
      <c r="I259" s="74">
        <v>1.0840000000000001</v>
      </c>
      <c r="J259" s="41">
        <v>0.09</v>
      </c>
      <c r="K259" s="42">
        <v>0.15</v>
      </c>
      <c r="L259" s="74">
        <v>0.03</v>
      </c>
      <c r="M259" s="42">
        <v>0.01</v>
      </c>
      <c r="N259" s="42">
        <v>8.9999999999999993E-3</v>
      </c>
      <c r="O259" s="42">
        <v>1.0999999999999999E-2</v>
      </c>
      <c r="P259" s="35">
        <v>2018</v>
      </c>
      <c r="Q259" s="36" t="s">
        <v>306</v>
      </c>
      <c r="R259" s="73" t="s">
        <v>24</v>
      </c>
    </row>
    <row r="260" spans="1:429">
      <c r="B260" s="105"/>
      <c r="C260" s="71"/>
      <c r="D260" s="71"/>
      <c r="E260" s="72" t="s">
        <v>305</v>
      </c>
      <c r="F260" s="73" t="s">
        <v>819</v>
      </c>
      <c r="G260" s="41">
        <v>3.0552970504026198</v>
      </c>
      <c r="H260" s="42">
        <v>3.8824353836653298</v>
      </c>
      <c r="I260" s="74">
        <v>2.2429581766781599</v>
      </c>
      <c r="J260" s="41">
        <v>0.39263861070574102</v>
      </c>
      <c r="K260" s="42">
        <v>0.51398243690008405</v>
      </c>
      <c r="L260" s="74">
        <v>0.27351288921987899</v>
      </c>
      <c r="M260" s="42"/>
      <c r="N260" s="42"/>
      <c r="O260" s="42"/>
      <c r="P260" s="35">
        <v>2021</v>
      </c>
      <c r="Q260" s="36" t="s">
        <v>306</v>
      </c>
      <c r="R260" s="73" t="s">
        <v>496</v>
      </c>
    </row>
    <row r="261" spans="1:429">
      <c r="B261" s="105"/>
      <c r="C261" s="71"/>
      <c r="D261" s="71"/>
      <c r="E261" s="72" t="s">
        <v>305</v>
      </c>
      <c r="F261" s="73" t="s">
        <v>818</v>
      </c>
      <c r="G261" s="41">
        <v>1.4278724701888801</v>
      </c>
      <c r="H261" s="42"/>
      <c r="I261" s="74"/>
      <c r="J261" s="41"/>
      <c r="K261" s="42"/>
      <c r="L261" s="74"/>
      <c r="M261" s="42"/>
      <c r="N261" s="42"/>
      <c r="O261" s="42"/>
      <c r="P261" s="35">
        <v>2021</v>
      </c>
      <c r="Q261" s="36" t="s">
        <v>306</v>
      </c>
      <c r="R261" s="73" t="s">
        <v>496</v>
      </c>
    </row>
    <row r="262" spans="1:429">
      <c r="B262" s="105"/>
      <c r="C262" s="71"/>
      <c r="D262" s="71"/>
      <c r="E262" s="72" t="s">
        <v>305</v>
      </c>
      <c r="F262" s="73" t="s">
        <v>818</v>
      </c>
      <c r="G262" s="41">
        <v>1.7</v>
      </c>
      <c r="H262" s="42">
        <v>2.42</v>
      </c>
      <c r="I262" s="74">
        <v>0.98</v>
      </c>
      <c r="J262" s="41"/>
      <c r="K262" s="42"/>
      <c r="L262" s="74"/>
      <c r="M262" s="42"/>
      <c r="N262" s="42"/>
      <c r="O262" s="42"/>
      <c r="P262" s="35">
        <v>2019</v>
      </c>
      <c r="Q262" s="36" t="s">
        <v>306</v>
      </c>
      <c r="R262" s="73" t="s">
        <v>24</v>
      </c>
    </row>
    <row r="263" spans="1:429">
      <c r="B263" s="105"/>
      <c r="C263" s="71"/>
      <c r="D263" s="71"/>
      <c r="E263" s="72" t="s">
        <v>305</v>
      </c>
      <c r="F263" s="73" t="s">
        <v>818</v>
      </c>
      <c r="G263" s="41">
        <v>1.7</v>
      </c>
      <c r="H263" s="42"/>
      <c r="I263" s="74"/>
      <c r="J263" s="41">
        <v>0</v>
      </c>
      <c r="K263" s="42"/>
      <c r="L263" s="74"/>
      <c r="M263" s="42"/>
      <c r="N263" s="42"/>
      <c r="O263" s="42"/>
      <c r="P263" s="35" t="s">
        <v>793</v>
      </c>
      <c r="Q263" s="36" t="s">
        <v>306</v>
      </c>
      <c r="R263" s="73" t="s">
        <v>785</v>
      </c>
    </row>
    <row r="264" spans="1:429">
      <c r="B264" s="105"/>
      <c r="C264" s="71"/>
      <c r="D264" s="71"/>
      <c r="E264" s="72" t="s">
        <v>305</v>
      </c>
      <c r="F264" s="73" t="s">
        <v>819</v>
      </c>
      <c r="G264" s="41">
        <v>2.5</v>
      </c>
      <c r="H264" s="42">
        <v>3.1</v>
      </c>
      <c r="I264" s="74">
        <v>1.8</v>
      </c>
      <c r="J264" s="41">
        <v>0.5</v>
      </c>
      <c r="K264" s="42">
        <v>0.6</v>
      </c>
      <c r="L264" s="74">
        <v>0.3</v>
      </c>
      <c r="M264" s="42"/>
      <c r="N264" s="42"/>
      <c r="O264" s="42"/>
      <c r="P264" s="35" t="s">
        <v>793</v>
      </c>
      <c r="Q264" s="36" t="s">
        <v>306</v>
      </c>
      <c r="R264" s="73" t="s">
        <v>846</v>
      </c>
    </row>
    <row r="265" spans="1:429">
      <c r="B265" s="105"/>
      <c r="C265" s="71"/>
      <c r="D265" s="71"/>
      <c r="E265" s="72" t="s">
        <v>305</v>
      </c>
      <c r="F265" s="73" t="s">
        <v>818</v>
      </c>
      <c r="G265" s="41"/>
      <c r="H265" s="42"/>
      <c r="I265" s="74"/>
      <c r="J265" s="41">
        <v>0</v>
      </c>
      <c r="K265" s="42">
        <v>0.1</v>
      </c>
      <c r="L265" s="74">
        <v>0</v>
      </c>
      <c r="M265" s="42"/>
      <c r="N265" s="42"/>
      <c r="O265" s="42"/>
      <c r="P265" s="35" t="s">
        <v>795</v>
      </c>
      <c r="Q265" s="36" t="s">
        <v>306</v>
      </c>
      <c r="R265" s="73" t="s">
        <v>847</v>
      </c>
    </row>
    <row r="266" spans="1:429">
      <c r="B266" s="105"/>
      <c r="C266" s="71"/>
      <c r="D266" s="71"/>
      <c r="E266" s="72" t="s">
        <v>305</v>
      </c>
      <c r="F266" s="73" t="s">
        <v>819</v>
      </c>
      <c r="G266" s="41">
        <v>2.5</v>
      </c>
      <c r="H266" s="42">
        <v>3.3</v>
      </c>
      <c r="I266" s="74">
        <v>1.7</v>
      </c>
      <c r="J266" s="41">
        <v>0.4</v>
      </c>
      <c r="K266" s="42">
        <v>0.5</v>
      </c>
      <c r="L266" s="74">
        <v>0.2</v>
      </c>
      <c r="M266" s="42"/>
      <c r="N266" s="42"/>
      <c r="O266" s="42"/>
      <c r="P266" s="35" t="s">
        <v>795</v>
      </c>
      <c r="Q266" s="36" t="s">
        <v>306</v>
      </c>
      <c r="R266" s="73" t="s">
        <v>847</v>
      </c>
    </row>
    <row r="267" spans="1:429">
      <c r="B267" s="105"/>
      <c r="C267" s="71"/>
      <c r="D267" s="71"/>
      <c r="E267" s="72" t="s">
        <v>305</v>
      </c>
      <c r="F267" s="73" t="s">
        <v>818</v>
      </c>
      <c r="G267" s="41">
        <v>1.8</v>
      </c>
      <c r="H267" s="42">
        <v>2.5</v>
      </c>
      <c r="I267" s="74">
        <v>1.2</v>
      </c>
      <c r="J267" s="41">
        <v>0.1</v>
      </c>
      <c r="K267" s="42">
        <v>0.2</v>
      </c>
      <c r="L267" s="74">
        <v>0.1</v>
      </c>
      <c r="M267" s="42">
        <v>0.01</v>
      </c>
      <c r="N267" s="42">
        <v>0</v>
      </c>
      <c r="O267" s="42">
        <v>0</v>
      </c>
      <c r="P267" s="35">
        <v>2017</v>
      </c>
      <c r="Q267" s="36" t="s">
        <v>306</v>
      </c>
      <c r="R267" s="73" t="s">
        <v>832</v>
      </c>
    </row>
    <row r="268" spans="1:429">
      <c r="B268" s="105"/>
      <c r="C268" s="71"/>
      <c r="D268" s="71"/>
      <c r="E268" s="72" t="s">
        <v>305</v>
      </c>
      <c r="F268" s="73" t="s">
        <v>819</v>
      </c>
      <c r="G268" s="41">
        <v>2.4</v>
      </c>
      <c r="H268" s="42">
        <v>3.2</v>
      </c>
      <c r="I268" s="74">
        <v>1.6</v>
      </c>
      <c r="J268" s="41">
        <v>0.4</v>
      </c>
      <c r="K268" s="42">
        <v>0.6</v>
      </c>
      <c r="L268" s="74">
        <v>0.3</v>
      </c>
      <c r="M268" s="42"/>
      <c r="N268" s="42"/>
      <c r="O268" s="42"/>
      <c r="P268" s="35" t="s">
        <v>796</v>
      </c>
      <c r="Q268" s="36" t="s">
        <v>306</v>
      </c>
      <c r="R268" s="73" t="s">
        <v>848</v>
      </c>
    </row>
    <row r="269" spans="1:429">
      <c r="B269" s="105"/>
      <c r="C269" s="71"/>
      <c r="D269" s="71"/>
      <c r="E269" s="72" t="s">
        <v>305</v>
      </c>
      <c r="F269" s="73" t="s">
        <v>818</v>
      </c>
      <c r="G269" s="41">
        <v>2</v>
      </c>
      <c r="H269" s="42">
        <v>2.9</v>
      </c>
      <c r="I269" s="74">
        <v>1.1000000000000001</v>
      </c>
      <c r="J269" s="41">
        <v>0.3</v>
      </c>
      <c r="K269" s="42">
        <v>0.4</v>
      </c>
      <c r="L269" s="74">
        <v>0.1</v>
      </c>
      <c r="M269" s="42">
        <v>0.1</v>
      </c>
      <c r="N269" s="42">
        <v>0.2</v>
      </c>
      <c r="O269" s="42">
        <v>0</v>
      </c>
      <c r="P269" s="35" t="s">
        <v>797</v>
      </c>
      <c r="Q269" s="36" t="s">
        <v>306</v>
      </c>
      <c r="R269" s="73" t="s">
        <v>24</v>
      </c>
    </row>
    <row r="270" spans="1:429">
      <c r="B270" s="105"/>
      <c r="C270" s="71"/>
      <c r="D270" s="71"/>
      <c r="E270" s="72" t="s">
        <v>305</v>
      </c>
      <c r="F270" s="73" t="s">
        <v>819</v>
      </c>
      <c r="G270" s="41">
        <v>2.7</v>
      </c>
      <c r="H270" s="42">
        <v>3.7</v>
      </c>
      <c r="I270" s="74">
        <v>1.7</v>
      </c>
      <c r="J270" s="41">
        <v>0.7</v>
      </c>
      <c r="K270" s="42">
        <v>1</v>
      </c>
      <c r="L270" s="74">
        <v>0.4</v>
      </c>
      <c r="M270" s="42"/>
      <c r="N270" s="42"/>
      <c r="O270" s="42"/>
      <c r="P270" s="35" t="s">
        <v>797</v>
      </c>
      <c r="Q270" s="36" t="s">
        <v>306</v>
      </c>
      <c r="R270" s="73" t="s">
        <v>849</v>
      </c>
    </row>
    <row r="271" spans="1:429">
      <c r="B271" s="105"/>
      <c r="C271" s="71"/>
      <c r="D271" s="71"/>
      <c r="E271" s="72" t="s">
        <v>305</v>
      </c>
      <c r="F271" s="73" t="s">
        <v>818</v>
      </c>
      <c r="G271" s="41">
        <v>2.2000000000000002</v>
      </c>
      <c r="H271" s="42">
        <v>3.2</v>
      </c>
      <c r="I271" s="74">
        <v>1.3</v>
      </c>
      <c r="J271" s="41">
        <v>0.5</v>
      </c>
      <c r="K271" s="42">
        <v>0.7</v>
      </c>
      <c r="L271" s="74">
        <v>0.3</v>
      </c>
      <c r="M271" s="42">
        <v>0.2</v>
      </c>
      <c r="N271" s="42">
        <v>0.2</v>
      </c>
      <c r="O271" s="42">
        <v>0.1</v>
      </c>
      <c r="P271" s="35" t="s">
        <v>798</v>
      </c>
      <c r="Q271" s="36" t="s">
        <v>306</v>
      </c>
      <c r="R271" s="73" t="s">
        <v>24</v>
      </c>
    </row>
    <row r="272" spans="1:429">
      <c r="B272" s="105"/>
      <c r="C272" s="71"/>
      <c r="D272" s="71"/>
      <c r="E272" s="72" t="s">
        <v>305</v>
      </c>
      <c r="F272" s="73" t="s">
        <v>819</v>
      </c>
      <c r="G272" s="41">
        <v>2.8</v>
      </c>
      <c r="H272" s="42">
        <v>3.8</v>
      </c>
      <c r="I272" s="74">
        <v>1.9</v>
      </c>
      <c r="J272" s="41">
        <v>0.9</v>
      </c>
      <c r="K272" s="42">
        <v>1.3</v>
      </c>
      <c r="L272" s="74">
        <v>0.4</v>
      </c>
      <c r="M272" s="42"/>
      <c r="N272" s="42"/>
      <c r="O272" s="42"/>
      <c r="P272" s="35" t="s">
        <v>798</v>
      </c>
      <c r="Q272" s="36" t="s">
        <v>830</v>
      </c>
      <c r="R272" s="73" t="s">
        <v>785</v>
      </c>
    </row>
    <row r="273" spans="1:429">
      <c r="B273" s="105"/>
      <c r="C273" s="71"/>
      <c r="D273" s="71"/>
      <c r="E273" s="72" t="s">
        <v>305</v>
      </c>
      <c r="F273" s="73" t="s">
        <v>818</v>
      </c>
      <c r="G273" s="41">
        <v>2.29</v>
      </c>
      <c r="H273" s="42">
        <v>3.2</v>
      </c>
      <c r="I273" s="74">
        <v>1.4000000000000001</v>
      </c>
      <c r="J273" s="41">
        <v>0.65</v>
      </c>
      <c r="K273" s="42">
        <v>0.91</v>
      </c>
      <c r="L273" s="74">
        <v>0.39</v>
      </c>
      <c r="M273" s="42"/>
      <c r="N273" s="42"/>
      <c r="O273" s="42"/>
      <c r="P273" s="35" t="s">
        <v>800</v>
      </c>
      <c r="Q273" s="36" t="s">
        <v>306</v>
      </c>
      <c r="R273" s="73" t="s">
        <v>801</v>
      </c>
    </row>
    <row r="274" spans="1:429">
      <c r="B274" s="105"/>
      <c r="C274" s="71"/>
      <c r="D274" s="71"/>
      <c r="E274" s="72" t="s">
        <v>305</v>
      </c>
      <c r="F274" s="73" t="s">
        <v>818</v>
      </c>
      <c r="G274" s="41">
        <v>1.9</v>
      </c>
      <c r="H274" s="42"/>
      <c r="I274" s="74"/>
      <c r="J274" s="41">
        <v>0.5</v>
      </c>
      <c r="K274" s="42"/>
      <c r="L274" s="74"/>
      <c r="M274" s="42"/>
      <c r="N274" s="42"/>
      <c r="O274" s="42"/>
      <c r="P274" s="35" t="s">
        <v>802</v>
      </c>
      <c r="Q274" s="36" t="s">
        <v>306</v>
      </c>
      <c r="R274" s="73" t="s">
        <v>803</v>
      </c>
    </row>
    <row r="275" spans="1:429">
      <c r="B275" s="105"/>
      <c r="C275" s="71"/>
      <c r="D275" s="71"/>
      <c r="E275" s="72" t="s">
        <v>305</v>
      </c>
      <c r="F275" s="73" t="s">
        <v>818</v>
      </c>
      <c r="G275" s="41"/>
      <c r="H275" s="42"/>
      <c r="I275" s="74"/>
      <c r="J275" s="41">
        <v>1</v>
      </c>
      <c r="K275" s="42">
        <v>1.5</v>
      </c>
      <c r="L275" s="74">
        <v>0.7</v>
      </c>
      <c r="M275" s="42"/>
      <c r="N275" s="42"/>
      <c r="O275" s="42"/>
      <c r="P275" s="35" t="s">
        <v>767</v>
      </c>
      <c r="Q275" s="36" t="s">
        <v>306</v>
      </c>
      <c r="R275" s="73" t="s">
        <v>768</v>
      </c>
    </row>
    <row r="276" spans="1:429">
      <c r="B276" s="105"/>
      <c r="C276" s="71"/>
      <c r="D276" s="71"/>
      <c r="E276" s="72" t="s">
        <v>305</v>
      </c>
      <c r="F276" s="73" t="s">
        <v>850</v>
      </c>
      <c r="G276" s="41"/>
      <c r="H276" s="42"/>
      <c r="I276" s="74"/>
      <c r="J276" s="41">
        <v>0.1</v>
      </c>
      <c r="K276" s="42"/>
      <c r="L276" s="74"/>
      <c r="M276" s="42"/>
      <c r="N276" s="42"/>
      <c r="O276" s="42"/>
      <c r="P276" s="35" t="s">
        <v>767</v>
      </c>
      <c r="Q276" s="36" t="s">
        <v>306</v>
      </c>
      <c r="R276" s="73" t="s">
        <v>768</v>
      </c>
    </row>
    <row r="277" spans="1:429">
      <c r="B277" s="105"/>
      <c r="C277" s="71"/>
      <c r="D277" s="71"/>
      <c r="E277" s="72" t="s">
        <v>305</v>
      </c>
      <c r="F277" s="73" t="s">
        <v>850</v>
      </c>
      <c r="G277" s="41"/>
      <c r="H277" s="42"/>
      <c r="I277" s="74"/>
      <c r="J277" s="41">
        <v>0.1</v>
      </c>
      <c r="K277" s="42"/>
      <c r="L277" s="74"/>
      <c r="M277" s="42"/>
      <c r="N277" s="42"/>
      <c r="O277" s="42"/>
      <c r="P277" s="35" t="s">
        <v>762</v>
      </c>
      <c r="Q277" s="36" t="s">
        <v>306</v>
      </c>
      <c r="R277" s="73" t="s">
        <v>769</v>
      </c>
    </row>
    <row r="278" spans="1:429" s="48" customFormat="1">
      <c r="A278" s="113"/>
      <c r="B278" s="105"/>
      <c r="C278" s="71" t="s">
        <v>327</v>
      </c>
      <c r="D278" s="71" t="s">
        <v>328</v>
      </c>
      <c r="E278" s="72" t="s">
        <v>329</v>
      </c>
      <c r="F278" s="73" t="s">
        <v>824</v>
      </c>
      <c r="G278" s="41">
        <v>0.8</v>
      </c>
      <c r="H278" s="42"/>
      <c r="I278" s="74"/>
      <c r="J278" s="41">
        <v>0.1</v>
      </c>
      <c r="K278" s="42"/>
      <c r="L278" s="74"/>
      <c r="M278" s="42"/>
      <c r="N278" s="42"/>
      <c r="O278" s="42"/>
      <c r="P278" s="35" t="s">
        <v>330</v>
      </c>
      <c r="Q278" s="36" t="s">
        <v>226</v>
      </c>
      <c r="R278" s="73" t="s">
        <v>36</v>
      </c>
      <c r="S278" s="113"/>
      <c r="T278" s="113"/>
      <c r="U278" s="113"/>
      <c r="V278" s="113"/>
      <c r="W278" s="113"/>
      <c r="X278" s="113"/>
      <c r="Y278" s="113"/>
      <c r="Z278" s="113"/>
      <c r="AA278" s="113"/>
      <c r="AB278" s="113"/>
      <c r="AC278" s="113"/>
      <c r="AD278" s="113"/>
      <c r="AE278" s="113"/>
      <c r="AF278" s="113"/>
      <c r="AG278" s="113"/>
      <c r="AH278" s="113"/>
      <c r="AI278" s="113"/>
      <c r="AJ278" s="113"/>
      <c r="AK278" s="113"/>
      <c r="AL278" s="113"/>
      <c r="AM278" s="113"/>
      <c r="AN278" s="113"/>
      <c r="AO278" s="113"/>
      <c r="AP278" s="113"/>
      <c r="AQ278" s="113"/>
      <c r="AR278" s="113"/>
      <c r="AS278" s="113"/>
      <c r="AT278" s="113"/>
      <c r="AU278" s="113"/>
      <c r="AV278" s="113"/>
      <c r="AW278" s="113"/>
      <c r="AX278" s="113"/>
      <c r="AY278" s="113"/>
      <c r="AZ278" s="113"/>
      <c r="BA278" s="113"/>
      <c r="BB278" s="113"/>
      <c r="BC278" s="113"/>
      <c r="BD278" s="113"/>
      <c r="BE278" s="113"/>
      <c r="BF278" s="113"/>
      <c r="BG278" s="113"/>
      <c r="BH278" s="113"/>
      <c r="BI278" s="113"/>
      <c r="BJ278" s="113"/>
      <c r="BK278" s="113"/>
      <c r="BL278" s="113"/>
      <c r="BM278" s="113"/>
      <c r="BN278" s="113"/>
      <c r="BO278" s="113"/>
      <c r="BP278" s="113"/>
      <c r="BQ278" s="113"/>
      <c r="BR278" s="113"/>
      <c r="BS278" s="113"/>
      <c r="BT278" s="113"/>
      <c r="BU278" s="113"/>
      <c r="BV278" s="113"/>
      <c r="BW278" s="113"/>
      <c r="BX278" s="113"/>
      <c r="BY278" s="113"/>
      <c r="BZ278" s="113"/>
      <c r="CA278" s="113"/>
      <c r="CB278" s="113"/>
      <c r="CC278" s="113"/>
      <c r="CD278" s="113"/>
      <c r="CE278" s="113"/>
      <c r="CF278" s="113"/>
      <c r="CG278" s="113"/>
      <c r="CH278" s="113"/>
      <c r="CI278" s="113"/>
      <c r="CJ278" s="113"/>
      <c r="CK278" s="113"/>
      <c r="CL278" s="113"/>
      <c r="CM278" s="113"/>
      <c r="CN278" s="113"/>
      <c r="CO278" s="113"/>
      <c r="CP278" s="113"/>
      <c r="CQ278" s="113"/>
      <c r="CR278" s="113"/>
      <c r="CS278" s="113"/>
      <c r="CT278" s="113"/>
      <c r="CU278" s="113"/>
      <c r="CV278" s="113"/>
      <c r="CW278" s="113"/>
      <c r="CX278" s="113"/>
      <c r="CY278" s="113"/>
      <c r="CZ278" s="113"/>
      <c r="DA278" s="113"/>
      <c r="DB278" s="113"/>
      <c r="DC278" s="113"/>
      <c r="DD278" s="113"/>
      <c r="DE278" s="113"/>
      <c r="DF278" s="113"/>
      <c r="DG278" s="113"/>
      <c r="DH278" s="113"/>
      <c r="DI278" s="113"/>
      <c r="DJ278" s="113"/>
      <c r="DK278" s="113"/>
      <c r="DL278" s="113"/>
      <c r="DM278" s="113"/>
      <c r="DN278" s="113"/>
      <c r="DO278" s="113"/>
      <c r="DP278" s="113"/>
      <c r="DQ278" s="113"/>
      <c r="DR278" s="113"/>
      <c r="DS278" s="113"/>
      <c r="DT278" s="113"/>
      <c r="DU278" s="113"/>
      <c r="DV278" s="113"/>
      <c r="DW278" s="113"/>
      <c r="DX278" s="113"/>
      <c r="DY278" s="113"/>
      <c r="DZ278" s="113"/>
      <c r="EA278" s="113"/>
      <c r="EB278" s="113"/>
      <c r="EC278" s="113"/>
      <c r="ED278" s="113"/>
      <c r="EE278" s="113"/>
      <c r="EF278" s="113"/>
      <c r="EG278" s="113"/>
      <c r="EH278" s="113"/>
      <c r="EI278" s="113"/>
      <c r="EJ278" s="113"/>
      <c r="EK278" s="113"/>
      <c r="EL278" s="113"/>
      <c r="EM278" s="113"/>
      <c r="EN278" s="113"/>
      <c r="EO278" s="113"/>
      <c r="EP278" s="113"/>
      <c r="EQ278" s="113"/>
      <c r="ER278" s="113"/>
      <c r="ES278" s="113"/>
      <c r="ET278" s="113"/>
      <c r="EU278" s="113"/>
      <c r="EV278" s="113"/>
      <c r="EW278" s="113"/>
      <c r="EX278" s="113"/>
      <c r="EY278" s="113"/>
      <c r="EZ278" s="113"/>
      <c r="FA278" s="113"/>
      <c r="FB278" s="113"/>
      <c r="FC278" s="113"/>
      <c r="FD278" s="113"/>
      <c r="FE278" s="113"/>
      <c r="FF278" s="113"/>
      <c r="FG278" s="113"/>
      <c r="FH278" s="113"/>
      <c r="FI278" s="113"/>
      <c r="FJ278" s="113"/>
      <c r="FK278" s="113"/>
      <c r="FL278" s="113"/>
      <c r="FM278" s="113"/>
      <c r="FN278" s="113"/>
      <c r="FO278" s="113"/>
      <c r="FP278" s="113"/>
      <c r="FQ278" s="113"/>
      <c r="FR278" s="113"/>
      <c r="FS278" s="113"/>
      <c r="FT278" s="113"/>
      <c r="FU278" s="113"/>
      <c r="FV278" s="113"/>
      <c r="FW278" s="113"/>
      <c r="FX278" s="113"/>
      <c r="FY278" s="113"/>
      <c r="FZ278" s="113"/>
      <c r="GA278" s="113"/>
      <c r="GB278" s="113"/>
      <c r="GC278" s="113"/>
      <c r="GD278" s="113"/>
      <c r="GE278" s="113"/>
      <c r="GF278" s="113"/>
      <c r="GG278" s="113"/>
      <c r="GH278" s="113"/>
      <c r="GI278" s="113"/>
      <c r="GJ278" s="113"/>
      <c r="GK278" s="113"/>
      <c r="GL278" s="113"/>
      <c r="GM278" s="113"/>
      <c r="GN278" s="113"/>
      <c r="GO278" s="113"/>
      <c r="GP278" s="113"/>
      <c r="GQ278" s="113"/>
      <c r="GR278" s="113"/>
      <c r="GS278" s="113"/>
      <c r="GT278" s="113"/>
      <c r="GU278" s="113"/>
      <c r="GV278" s="113"/>
      <c r="GW278" s="113"/>
      <c r="GX278" s="113"/>
      <c r="GY278" s="113"/>
      <c r="GZ278" s="113"/>
      <c r="HA278" s="113"/>
      <c r="HB278" s="113"/>
      <c r="HC278" s="113"/>
      <c r="HD278" s="113"/>
      <c r="HE278" s="113"/>
      <c r="HF278" s="113"/>
      <c r="HG278" s="113"/>
      <c r="HH278" s="113"/>
      <c r="HI278" s="113"/>
      <c r="HJ278" s="113"/>
      <c r="HK278" s="113"/>
      <c r="HL278" s="113"/>
      <c r="HM278" s="113"/>
      <c r="HN278" s="113"/>
      <c r="HO278" s="113"/>
      <c r="HP278" s="113"/>
      <c r="HQ278" s="113"/>
      <c r="HR278" s="113"/>
      <c r="HS278" s="113"/>
      <c r="HT278" s="113"/>
      <c r="HU278" s="113"/>
      <c r="HV278" s="113"/>
      <c r="HW278" s="113"/>
      <c r="HX278" s="113"/>
      <c r="HY278" s="113"/>
      <c r="HZ278" s="113"/>
      <c r="IA278" s="113"/>
      <c r="IB278" s="113"/>
      <c r="IC278" s="113"/>
      <c r="ID278" s="113"/>
      <c r="IE278" s="113"/>
      <c r="IF278" s="113"/>
      <c r="IG278" s="113"/>
      <c r="IH278" s="113"/>
      <c r="II278" s="113"/>
      <c r="IJ278" s="113"/>
      <c r="IK278" s="113"/>
      <c r="IL278" s="113"/>
      <c r="IM278" s="113"/>
      <c r="IN278" s="113"/>
      <c r="IO278" s="113"/>
      <c r="IP278" s="113"/>
      <c r="IQ278" s="113"/>
      <c r="IR278" s="113"/>
      <c r="IS278" s="113"/>
      <c r="IT278" s="113"/>
      <c r="IU278" s="113"/>
      <c r="IV278" s="113"/>
      <c r="IW278" s="113"/>
      <c r="IX278" s="113"/>
      <c r="IY278" s="113"/>
      <c r="IZ278" s="113"/>
      <c r="JA278" s="113"/>
      <c r="JB278" s="113"/>
      <c r="JC278" s="113"/>
      <c r="JD278" s="113"/>
      <c r="JE278" s="113"/>
      <c r="JF278" s="113"/>
      <c r="JG278" s="113"/>
      <c r="JH278" s="113"/>
      <c r="JI278" s="113"/>
      <c r="JJ278" s="113"/>
      <c r="JK278" s="113"/>
      <c r="JL278" s="113"/>
      <c r="JM278" s="113"/>
      <c r="JN278" s="113"/>
      <c r="JO278" s="113"/>
      <c r="JP278" s="113"/>
      <c r="JQ278" s="113"/>
      <c r="JR278" s="113"/>
      <c r="JS278" s="113"/>
      <c r="JT278" s="113"/>
      <c r="JU278" s="113"/>
      <c r="JV278" s="113"/>
      <c r="JW278" s="113"/>
      <c r="JX278" s="113"/>
      <c r="JY278" s="113"/>
      <c r="JZ278" s="113"/>
      <c r="KA278" s="113"/>
      <c r="KB278" s="113"/>
      <c r="KC278" s="113"/>
      <c r="KD278" s="113"/>
      <c r="KE278" s="113"/>
      <c r="KF278" s="113"/>
      <c r="KG278" s="113"/>
      <c r="KH278" s="113"/>
      <c r="KI278" s="113"/>
      <c r="KJ278" s="113"/>
      <c r="KK278" s="113"/>
      <c r="KL278" s="113"/>
      <c r="KM278" s="113"/>
      <c r="KN278" s="113"/>
      <c r="KO278" s="113"/>
      <c r="KP278" s="113"/>
      <c r="KQ278" s="113"/>
      <c r="KR278" s="113"/>
      <c r="KS278" s="113"/>
      <c r="KT278" s="113"/>
      <c r="KU278" s="113"/>
      <c r="KV278" s="113"/>
      <c r="KW278" s="113"/>
      <c r="KX278" s="113"/>
      <c r="KY278" s="113"/>
      <c r="KZ278" s="113"/>
      <c r="LA278" s="113"/>
      <c r="LB278" s="113"/>
      <c r="LC278" s="113"/>
      <c r="LD278" s="113"/>
      <c r="LE278" s="113"/>
      <c r="LF278" s="113"/>
      <c r="LG278" s="113"/>
      <c r="LH278" s="113"/>
      <c r="LI278" s="113"/>
      <c r="LJ278" s="113"/>
      <c r="LK278" s="113"/>
      <c r="LL278" s="113"/>
      <c r="LM278" s="113"/>
      <c r="LN278" s="113"/>
      <c r="LO278" s="113"/>
      <c r="LP278" s="113"/>
      <c r="LQ278" s="113"/>
      <c r="LR278" s="113"/>
      <c r="LS278" s="113"/>
      <c r="LT278" s="113"/>
      <c r="LU278" s="113"/>
      <c r="LV278" s="113"/>
      <c r="LW278" s="113"/>
      <c r="LX278" s="113"/>
      <c r="LY278" s="113"/>
      <c r="LZ278" s="113"/>
      <c r="MA278" s="113"/>
      <c r="MB278" s="113"/>
      <c r="MC278" s="113"/>
      <c r="MD278" s="113"/>
      <c r="ME278" s="113"/>
      <c r="MF278" s="113"/>
      <c r="MG278" s="113"/>
      <c r="MH278" s="113"/>
      <c r="MI278" s="113"/>
      <c r="MJ278" s="113"/>
      <c r="MK278" s="113"/>
      <c r="ML278" s="113"/>
      <c r="MM278" s="113"/>
      <c r="MN278" s="113"/>
      <c r="MO278" s="113"/>
      <c r="MP278" s="113"/>
      <c r="MQ278" s="113"/>
      <c r="MR278" s="113"/>
      <c r="MS278" s="113"/>
      <c r="MT278" s="113"/>
      <c r="MU278" s="113"/>
      <c r="MV278" s="113"/>
      <c r="MW278" s="113"/>
      <c r="MX278" s="113"/>
      <c r="MY278" s="113"/>
      <c r="MZ278" s="113"/>
      <c r="NA278" s="113"/>
      <c r="NB278" s="113"/>
      <c r="NC278" s="113"/>
      <c r="ND278" s="113"/>
      <c r="NE278" s="113"/>
      <c r="NF278" s="113"/>
      <c r="NG278" s="113"/>
      <c r="NH278" s="113"/>
      <c r="NI278" s="113"/>
      <c r="NJ278" s="113"/>
      <c r="NK278" s="113"/>
      <c r="NL278" s="113"/>
      <c r="NM278" s="113"/>
      <c r="NN278" s="113"/>
      <c r="NO278" s="113"/>
      <c r="NP278" s="113"/>
      <c r="NQ278" s="113"/>
      <c r="NR278" s="113"/>
      <c r="NS278" s="113"/>
      <c r="NT278" s="113"/>
      <c r="NU278" s="113"/>
      <c r="NV278" s="113"/>
      <c r="NW278" s="113"/>
      <c r="NX278" s="113"/>
      <c r="NY278" s="113"/>
      <c r="NZ278" s="113"/>
      <c r="OA278" s="113"/>
      <c r="OB278" s="113"/>
      <c r="OC278" s="113"/>
      <c r="OD278" s="113"/>
      <c r="OE278" s="113"/>
      <c r="OF278" s="113"/>
      <c r="OG278" s="113"/>
      <c r="OH278" s="113"/>
      <c r="OI278" s="113"/>
      <c r="OJ278" s="113"/>
      <c r="OK278" s="113"/>
      <c r="OL278" s="113"/>
      <c r="OM278" s="113"/>
      <c r="ON278" s="113"/>
      <c r="OO278" s="113"/>
      <c r="OP278" s="113"/>
      <c r="OQ278" s="113"/>
      <c r="OR278" s="113"/>
      <c r="OS278" s="113"/>
      <c r="OT278" s="113"/>
      <c r="OU278" s="113"/>
      <c r="OV278" s="113"/>
      <c r="OW278" s="113"/>
      <c r="OX278" s="113"/>
      <c r="OY278" s="113"/>
      <c r="OZ278" s="113"/>
      <c r="PA278" s="113"/>
      <c r="PB278" s="113"/>
      <c r="PC278" s="113"/>
      <c r="PD278" s="113"/>
      <c r="PE278" s="113"/>
      <c r="PF278" s="113"/>
      <c r="PG278" s="113"/>
      <c r="PH278" s="113"/>
      <c r="PI278" s="113"/>
      <c r="PJ278" s="113"/>
      <c r="PK278" s="113"/>
      <c r="PL278" s="113"/>
      <c r="PM278" s="113"/>
    </row>
    <row r="279" spans="1:429" s="48" customFormat="1">
      <c r="A279" s="113"/>
      <c r="B279" s="105"/>
      <c r="C279" s="71"/>
      <c r="D279" s="71"/>
      <c r="E279" s="72" t="s">
        <v>329</v>
      </c>
      <c r="F279" s="73" t="s">
        <v>819</v>
      </c>
      <c r="G279" s="41">
        <v>0.7</v>
      </c>
      <c r="H279" s="42"/>
      <c r="I279" s="74"/>
      <c r="J279" s="41">
        <v>0.1</v>
      </c>
      <c r="K279" s="42"/>
      <c r="L279" s="74"/>
      <c r="M279" s="42"/>
      <c r="N279" s="42"/>
      <c r="O279" s="42"/>
      <c r="P279" s="35" t="s">
        <v>330</v>
      </c>
      <c r="Q279" s="36" t="s">
        <v>226</v>
      </c>
      <c r="R279" s="73" t="s">
        <v>36</v>
      </c>
      <c r="S279" s="113"/>
      <c r="T279" s="113"/>
      <c r="U279" s="113"/>
      <c r="V279" s="113"/>
      <c r="W279" s="113"/>
      <c r="X279" s="113"/>
      <c r="Y279" s="113"/>
      <c r="Z279" s="113"/>
      <c r="AA279" s="113"/>
      <c r="AB279" s="113"/>
      <c r="AC279" s="113"/>
      <c r="AD279" s="113"/>
      <c r="AE279" s="113"/>
      <c r="AF279" s="113"/>
      <c r="AG279" s="113"/>
      <c r="AH279" s="113"/>
      <c r="AI279" s="113"/>
      <c r="AJ279" s="113"/>
      <c r="AK279" s="113"/>
      <c r="AL279" s="113"/>
      <c r="AM279" s="113"/>
      <c r="AN279" s="113"/>
      <c r="AO279" s="113"/>
      <c r="AP279" s="113"/>
      <c r="AQ279" s="113"/>
      <c r="AR279" s="113"/>
      <c r="AS279" s="113"/>
      <c r="AT279" s="113"/>
      <c r="AU279" s="113"/>
      <c r="AV279" s="113"/>
      <c r="AW279" s="113"/>
      <c r="AX279" s="113"/>
      <c r="AY279" s="113"/>
      <c r="AZ279" s="113"/>
      <c r="BA279" s="113"/>
      <c r="BB279" s="113"/>
      <c r="BC279" s="113"/>
      <c r="BD279" s="113"/>
      <c r="BE279" s="113"/>
      <c r="BF279" s="113"/>
      <c r="BG279" s="113"/>
      <c r="BH279" s="113"/>
      <c r="BI279" s="113"/>
      <c r="BJ279" s="113"/>
      <c r="BK279" s="113"/>
      <c r="BL279" s="113"/>
      <c r="BM279" s="113"/>
      <c r="BN279" s="113"/>
      <c r="BO279" s="113"/>
      <c r="BP279" s="113"/>
      <c r="BQ279" s="113"/>
      <c r="BR279" s="113"/>
      <c r="BS279" s="113"/>
      <c r="BT279" s="113"/>
      <c r="BU279" s="113"/>
      <c r="BV279" s="113"/>
      <c r="BW279" s="113"/>
      <c r="BX279" s="113"/>
      <c r="BY279" s="113"/>
      <c r="BZ279" s="113"/>
      <c r="CA279" s="113"/>
      <c r="CB279" s="113"/>
      <c r="CC279" s="113"/>
      <c r="CD279" s="113"/>
      <c r="CE279" s="113"/>
      <c r="CF279" s="113"/>
      <c r="CG279" s="113"/>
      <c r="CH279" s="113"/>
      <c r="CI279" s="113"/>
      <c r="CJ279" s="113"/>
      <c r="CK279" s="113"/>
      <c r="CL279" s="113"/>
      <c r="CM279" s="113"/>
      <c r="CN279" s="113"/>
      <c r="CO279" s="113"/>
      <c r="CP279" s="113"/>
      <c r="CQ279" s="113"/>
      <c r="CR279" s="113"/>
      <c r="CS279" s="113"/>
      <c r="CT279" s="113"/>
      <c r="CU279" s="113"/>
      <c r="CV279" s="113"/>
      <c r="CW279" s="113"/>
      <c r="CX279" s="113"/>
      <c r="CY279" s="113"/>
      <c r="CZ279" s="113"/>
      <c r="DA279" s="113"/>
      <c r="DB279" s="113"/>
      <c r="DC279" s="113"/>
      <c r="DD279" s="113"/>
      <c r="DE279" s="113"/>
      <c r="DF279" s="113"/>
      <c r="DG279" s="113"/>
      <c r="DH279" s="113"/>
      <c r="DI279" s="113"/>
      <c r="DJ279" s="113"/>
      <c r="DK279" s="113"/>
      <c r="DL279" s="113"/>
      <c r="DM279" s="113"/>
      <c r="DN279" s="113"/>
      <c r="DO279" s="113"/>
      <c r="DP279" s="113"/>
      <c r="DQ279" s="113"/>
      <c r="DR279" s="113"/>
      <c r="DS279" s="113"/>
      <c r="DT279" s="113"/>
      <c r="DU279" s="113"/>
      <c r="DV279" s="113"/>
      <c r="DW279" s="113"/>
      <c r="DX279" s="113"/>
      <c r="DY279" s="113"/>
      <c r="DZ279" s="113"/>
      <c r="EA279" s="113"/>
      <c r="EB279" s="113"/>
      <c r="EC279" s="113"/>
      <c r="ED279" s="113"/>
      <c r="EE279" s="113"/>
      <c r="EF279" s="113"/>
      <c r="EG279" s="113"/>
      <c r="EH279" s="113"/>
      <c r="EI279" s="113"/>
      <c r="EJ279" s="113"/>
      <c r="EK279" s="113"/>
      <c r="EL279" s="113"/>
      <c r="EM279" s="113"/>
      <c r="EN279" s="113"/>
      <c r="EO279" s="113"/>
      <c r="EP279" s="113"/>
      <c r="EQ279" s="113"/>
      <c r="ER279" s="113"/>
      <c r="ES279" s="113"/>
      <c r="ET279" s="113"/>
      <c r="EU279" s="113"/>
      <c r="EV279" s="113"/>
      <c r="EW279" s="113"/>
      <c r="EX279" s="113"/>
      <c r="EY279" s="113"/>
      <c r="EZ279" s="113"/>
      <c r="FA279" s="113"/>
      <c r="FB279" s="113"/>
      <c r="FC279" s="113"/>
      <c r="FD279" s="113"/>
      <c r="FE279" s="113"/>
      <c r="FF279" s="113"/>
      <c r="FG279" s="113"/>
      <c r="FH279" s="113"/>
      <c r="FI279" s="113"/>
      <c r="FJ279" s="113"/>
      <c r="FK279" s="113"/>
      <c r="FL279" s="113"/>
      <c r="FM279" s="113"/>
      <c r="FN279" s="113"/>
      <c r="FO279" s="113"/>
      <c r="FP279" s="113"/>
      <c r="FQ279" s="113"/>
      <c r="FR279" s="113"/>
      <c r="FS279" s="113"/>
      <c r="FT279" s="113"/>
      <c r="FU279" s="113"/>
      <c r="FV279" s="113"/>
      <c r="FW279" s="113"/>
      <c r="FX279" s="113"/>
      <c r="FY279" s="113"/>
      <c r="FZ279" s="113"/>
      <c r="GA279" s="113"/>
      <c r="GB279" s="113"/>
      <c r="GC279" s="113"/>
      <c r="GD279" s="113"/>
      <c r="GE279" s="113"/>
      <c r="GF279" s="113"/>
      <c r="GG279" s="113"/>
      <c r="GH279" s="113"/>
      <c r="GI279" s="113"/>
      <c r="GJ279" s="113"/>
      <c r="GK279" s="113"/>
      <c r="GL279" s="113"/>
      <c r="GM279" s="113"/>
      <c r="GN279" s="113"/>
      <c r="GO279" s="113"/>
      <c r="GP279" s="113"/>
      <c r="GQ279" s="113"/>
      <c r="GR279" s="113"/>
      <c r="GS279" s="113"/>
      <c r="GT279" s="113"/>
      <c r="GU279" s="113"/>
      <c r="GV279" s="113"/>
      <c r="GW279" s="113"/>
      <c r="GX279" s="113"/>
      <c r="GY279" s="113"/>
      <c r="GZ279" s="113"/>
      <c r="HA279" s="113"/>
      <c r="HB279" s="113"/>
      <c r="HC279" s="113"/>
      <c r="HD279" s="113"/>
      <c r="HE279" s="113"/>
      <c r="HF279" s="113"/>
      <c r="HG279" s="113"/>
      <c r="HH279" s="113"/>
      <c r="HI279" s="113"/>
      <c r="HJ279" s="113"/>
      <c r="HK279" s="113"/>
      <c r="HL279" s="113"/>
      <c r="HM279" s="113"/>
      <c r="HN279" s="113"/>
      <c r="HO279" s="113"/>
      <c r="HP279" s="113"/>
      <c r="HQ279" s="113"/>
      <c r="HR279" s="113"/>
      <c r="HS279" s="113"/>
      <c r="HT279" s="113"/>
      <c r="HU279" s="113"/>
      <c r="HV279" s="113"/>
      <c r="HW279" s="113"/>
      <c r="HX279" s="113"/>
      <c r="HY279" s="113"/>
      <c r="HZ279" s="113"/>
      <c r="IA279" s="113"/>
      <c r="IB279" s="113"/>
      <c r="IC279" s="113"/>
      <c r="ID279" s="113"/>
      <c r="IE279" s="113"/>
      <c r="IF279" s="113"/>
      <c r="IG279" s="113"/>
      <c r="IH279" s="113"/>
      <c r="II279" s="113"/>
      <c r="IJ279" s="113"/>
      <c r="IK279" s="113"/>
      <c r="IL279" s="113"/>
      <c r="IM279" s="113"/>
      <c r="IN279" s="113"/>
      <c r="IO279" s="113"/>
      <c r="IP279" s="113"/>
      <c r="IQ279" s="113"/>
      <c r="IR279" s="113"/>
      <c r="IS279" s="113"/>
      <c r="IT279" s="113"/>
      <c r="IU279" s="113"/>
      <c r="IV279" s="113"/>
      <c r="IW279" s="113"/>
      <c r="IX279" s="113"/>
      <c r="IY279" s="113"/>
      <c r="IZ279" s="113"/>
      <c r="JA279" s="113"/>
      <c r="JB279" s="113"/>
      <c r="JC279" s="113"/>
      <c r="JD279" s="113"/>
      <c r="JE279" s="113"/>
      <c r="JF279" s="113"/>
      <c r="JG279" s="113"/>
      <c r="JH279" s="113"/>
      <c r="JI279" s="113"/>
      <c r="JJ279" s="113"/>
      <c r="JK279" s="113"/>
      <c r="JL279" s="113"/>
      <c r="JM279" s="113"/>
      <c r="JN279" s="113"/>
      <c r="JO279" s="113"/>
      <c r="JP279" s="113"/>
      <c r="JQ279" s="113"/>
      <c r="JR279" s="113"/>
      <c r="JS279" s="113"/>
      <c r="JT279" s="113"/>
      <c r="JU279" s="113"/>
      <c r="JV279" s="113"/>
      <c r="JW279" s="113"/>
      <c r="JX279" s="113"/>
      <c r="JY279" s="113"/>
      <c r="JZ279" s="113"/>
      <c r="KA279" s="113"/>
      <c r="KB279" s="113"/>
      <c r="KC279" s="113"/>
      <c r="KD279" s="113"/>
      <c r="KE279" s="113"/>
      <c r="KF279" s="113"/>
      <c r="KG279" s="113"/>
      <c r="KH279" s="113"/>
      <c r="KI279" s="113"/>
      <c r="KJ279" s="113"/>
      <c r="KK279" s="113"/>
      <c r="KL279" s="113"/>
      <c r="KM279" s="113"/>
      <c r="KN279" s="113"/>
      <c r="KO279" s="113"/>
      <c r="KP279" s="113"/>
      <c r="KQ279" s="113"/>
      <c r="KR279" s="113"/>
      <c r="KS279" s="113"/>
      <c r="KT279" s="113"/>
      <c r="KU279" s="113"/>
      <c r="KV279" s="113"/>
      <c r="KW279" s="113"/>
      <c r="KX279" s="113"/>
      <c r="KY279" s="113"/>
      <c r="KZ279" s="113"/>
      <c r="LA279" s="113"/>
      <c r="LB279" s="113"/>
      <c r="LC279" s="113"/>
      <c r="LD279" s="113"/>
      <c r="LE279" s="113"/>
      <c r="LF279" s="113"/>
      <c r="LG279" s="113"/>
      <c r="LH279" s="113"/>
      <c r="LI279" s="113"/>
      <c r="LJ279" s="113"/>
      <c r="LK279" s="113"/>
      <c r="LL279" s="113"/>
      <c r="LM279" s="113"/>
      <c r="LN279" s="113"/>
      <c r="LO279" s="113"/>
      <c r="LP279" s="113"/>
      <c r="LQ279" s="113"/>
      <c r="LR279" s="113"/>
      <c r="LS279" s="113"/>
      <c r="LT279" s="113"/>
      <c r="LU279" s="113"/>
      <c r="LV279" s="113"/>
      <c r="LW279" s="113"/>
      <c r="LX279" s="113"/>
      <c r="LY279" s="113"/>
      <c r="LZ279" s="113"/>
      <c r="MA279" s="113"/>
      <c r="MB279" s="113"/>
      <c r="MC279" s="113"/>
      <c r="MD279" s="113"/>
      <c r="ME279" s="113"/>
      <c r="MF279" s="113"/>
      <c r="MG279" s="113"/>
      <c r="MH279" s="113"/>
      <c r="MI279" s="113"/>
      <c r="MJ279" s="113"/>
      <c r="MK279" s="113"/>
      <c r="ML279" s="113"/>
      <c r="MM279" s="113"/>
      <c r="MN279" s="113"/>
      <c r="MO279" s="113"/>
      <c r="MP279" s="113"/>
      <c r="MQ279" s="113"/>
      <c r="MR279" s="113"/>
      <c r="MS279" s="113"/>
      <c r="MT279" s="113"/>
      <c r="MU279" s="113"/>
      <c r="MV279" s="113"/>
      <c r="MW279" s="113"/>
      <c r="MX279" s="113"/>
      <c r="MY279" s="113"/>
      <c r="MZ279" s="113"/>
      <c r="NA279" s="113"/>
      <c r="NB279" s="113"/>
      <c r="NC279" s="113"/>
      <c r="ND279" s="113"/>
      <c r="NE279" s="113"/>
      <c r="NF279" s="113"/>
      <c r="NG279" s="113"/>
      <c r="NH279" s="113"/>
      <c r="NI279" s="113"/>
      <c r="NJ279" s="113"/>
      <c r="NK279" s="113"/>
      <c r="NL279" s="113"/>
      <c r="NM279" s="113"/>
      <c r="NN279" s="113"/>
      <c r="NO279" s="113"/>
      <c r="NP279" s="113"/>
      <c r="NQ279" s="113"/>
      <c r="NR279" s="113"/>
      <c r="NS279" s="113"/>
      <c r="NT279" s="113"/>
      <c r="NU279" s="113"/>
      <c r="NV279" s="113"/>
      <c r="NW279" s="113"/>
      <c r="NX279" s="113"/>
      <c r="NY279" s="113"/>
      <c r="NZ279" s="113"/>
      <c r="OA279" s="113"/>
      <c r="OB279" s="113"/>
      <c r="OC279" s="113"/>
      <c r="OD279" s="113"/>
      <c r="OE279" s="113"/>
      <c r="OF279" s="113"/>
      <c r="OG279" s="113"/>
      <c r="OH279" s="113"/>
      <c r="OI279" s="113"/>
      <c r="OJ279" s="113"/>
      <c r="OK279" s="113"/>
      <c r="OL279" s="113"/>
      <c r="OM279" s="113"/>
      <c r="ON279" s="113"/>
      <c r="OO279" s="113"/>
      <c r="OP279" s="113"/>
      <c r="OQ279" s="113"/>
      <c r="OR279" s="113"/>
      <c r="OS279" s="113"/>
      <c r="OT279" s="113"/>
      <c r="OU279" s="113"/>
      <c r="OV279" s="113"/>
      <c r="OW279" s="113"/>
      <c r="OX279" s="113"/>
      <c r="OY279" s="113"/>
      <c r="OZ279" s="113"/>
      <c r="PA279" s="113"/>
      <c r="PB279" s="113"/>
      <c r="PC279" s="113"/>
      <c r="PD279" s="113"/>
      <c r="PE279" s="113"/>
      <c r="PF279" s="113"/>
      <c r="PG279" s="113"/>
      <c r="PH279" s="113"/>
      <c r="PI279" s="113"/>
      <c r="PJ279" s="113"/>
      <c r="PK279" s="113"/>
      <c r="PL279" s="113"/>
      <c r="PM279" s="113"/>
    </row>
    <row r="280" spans="1:429">
      <c r="B280" s="105"/>
      <c r="C280" s="71"/>
      <c r="D280" s="71"/>
      <c r="E280" s="72" t="s">
        <v>329</v>
      </c>
      <c r="F280" s="73" t="s">
        <v>819</v>
      </c>
      <c r="G280" s="41">
        <v>1</v>
      </c>
      <c r="H280" s="42"/>
      <c r="I280" s="74"/>
      <c r="J280" s="41">
        <v>0.3</v>
      </c>
      <c r="K280" s="42"/>
      <c r="L280" s="74"/>
      <c r="M280" s="42"/>
      <c r="N280" s="42"/>
      <c r="O280" s="42"/>
      <c r="P280" s="35">
        <v>2016</v>
      </c>
      <c r="Q280" s="36" t="s">
        <v>226</v>
      </c>
      <c r="R280" s="73" t="s">
        <v>851</v>
      </c>
    </row>
    <row r="281" spans="1:429">
      <c r="B281" s="105"/>
      <c r="C281" s="71"/>
      <c r="D281" s="71"/>
      <c r="E281" s="72" t="s">
        <v>329</v>
      </c>
      <c r="F281" s="73" t="s">
        <v>819</v>
      </c>
      <c r="G281" s="41">
        <v>0.4</v>
      </c>
      <c r="H281" s="42"/>
      <c r="I281" s="74"/>
      <c r="J281" s="41">
        <v>0.4</v>
      </c>
      <c r="K281" s="42"/>
      <c r="L281" s="74"/>
      <c r="M281" s="42"/>
      <c r="N281" s="42"/>
      <c r="O281" s="42"/>
      <c r="P281" s="35">
        <v>2013</v>
      </c>
      <c r="Q281" s="36" t="s">
        <v>226</v>
      </c>
      <c r="R281" s="73" t="s">
        <v>851</v>
      </c>
    </row>
    <row r="282" spans="1:429">
      <c r="B282" s="112"/>
      <c r="C282" s="71"/>
      <c r="D282" s="71"/>
      <c r="E282" s="72" t="s">
        <v>331</v>
      </c>
      <c r="F282" s="73" t="s">
        <v>850</v>
      </c>
      <c r="G282" s="41">
        <v>13.5</v>
      </c>
      <c r="H282" s="42">
        <v>15.7</v>
      </c>
      <c r="I282" s="74">
        <v>11.4</v>
      </c>
      <c r="J282" s="41">
        <v>5.6</v>
      </c>
      <c r="K282" s="42">
        <v>6.4</v>
      </c>
      <c r="L282" s="74">
        <v>4.9000000000000004</v>
      </c>
      <c r="M282" s="42"/>
      <c r="N282" s="42"/>
      <c r="O282" s="42"/>
      <c r="P282" s="35">
        <v>2008</v>
      </c>
      <c r="Q282" s="36" t="s">
        <v>265</v>
      </c>
      <c r="R282" s="73" t="s">
        <v>341</v>
      </c>
    </row>
    <row r="283" spans="1:429" ht="15.6" customHeight="1">
      <c r="B283" s="104" t="s">
        <v>852</v>
      </c>
      <c r="C283" s="71" t="s">
        <v>16</v>
      </c>
      <c r="D283" s="71" t="s">
        <v>17</v>
      </c>
      <c r="E283" s="72" t="s">
        <v>18</v>
      </c>
      <c r="F283" s="73" t="s">
        <v>853</v>
      </c>
      <c r="G283" s="41">
        <v>8.6999999999999993</v>
      </c>
      <c r="H283" s="42">
        <v>14.6</v>
      </c>
      <c r="I283" s="74">
        <v>3</v>
      </c>
      <c r="J283" s="41">
        <v>4.8</v>
      </c>
      <c r="K283" s="42">
        <v>8.5</v>
      </c>
      <c r="L283" s="74">
        <v>1.2</v>
      </c>
      <c r="M283" s="42">
        <v>5.5</v>
      </c>
      <c r="N283" s="42">
        <v>7.6</v>
      </c>
      <c r="O283" s="42">
        <v>0.70000000000000007</v>
      </c>
      <c r="P283" s="35" t="s">
        <v>773</v>
      </c>
      <c r="Q283" s="36" t="s">
        <v>27</v>
      </c>
      <c r="R283" s="73" t="s">
        <v>24</v>
      </c>
    </row>
    <row r="284" spans="1:429" s="48" customFormat="1" ht="15.6" customHeight="1">
      <c r="A284" s="113"/>
      <c r="B284" s="105"/>
      <c r="C284" s="71" t="s">
        <v>76</v>
      </c>
      <c r="D284" s="71" t="s">
        <v>104</v>
      </c>
      <c r="E284" s="72" t="s">
        <v>107</v>
      </c>
      <c r="F284" s="73" t="s">
        <v>854</v>
      </c>
      <c r="G284" s="41"/>
      <c r="H284" s="42"/>
      <c r="I284" s="74"/>
      <c r="J284" s="41">
        <v>0.116466009</v>
      </c>
      <c r="K284" s="42">
        <v>8.0501481E-2</v>
      </c>
      <c r="L284" s="74">
        <v>0.16847081999999999</v>
      </c>
      <c r="M284" s="42"/>
      <c r="N284" s="42"/>
      <c r="O284" s="42"/>
      <c r="P284" s="35">
        <v>2023</v>
      </c>
      <c r="Q284" s="36" t="s">
        <v>50</v>
      </c>
      <c r="R284" s="73" t="s">
        <v>36</v>
      </c>
      <c r="S284" s="113"/>
      <c r="T284" s="113"/>
      <c r="U284" s="113"/>
      <c r="V284" s="113"/>
      <c r="W284" s="113"/>
      <c r="X284" s="113"/>
      <c r="Y284" s="113"/>
      <c r="Z284" s="113"/>
      <c r="AA284" s="113"/>
      <c r="AB284" s="113"/>
      <c r="AC284" s="113"/>
      <c r="AD284" s="113"/>
      <c r="AE284" s="113"/>
      <c r="AF284" s="113"/>
      <c r="AG284" s="113"/>
      <c r="AH284" s="113"/>
      <c r="AI284" s="113"/>
      <c r="AJ284" s="113"/>
      <c r="AK284" s="113"/>
      <c r="AL284" s="113"/>
      <c r="AM284" s="113"/>
      <c r="AN284" s="113"/>
      <c r="AO284" s="113"/>
      <c r="AP284" s="113"/>
      <c r="AQ284" s="113"/>
      <c r="AR284" s="113"/>
      <c r="AS284" s="113"/>
      <c r="AT284" s="113"/>
      <c r="AU284" s="113"/>
      <c r="AV284" s="113"/>
      <c r="AW284" s="113"/>
      <c r="AX284" s="113"/>
      <c r="AY284" s="113"/>
      <c r="AZ284" s="113"/>
      <c r="BA284" s="113"/>
      <c r="BB284" s="113"/>
      <c r="BC284" s="113"/>
      <c r="BD284" s="113"/>
      <c r="BE284" s="113"/>
      <c r="BF284" s="113"/>
      <c r="BG284" s="113"/>
      <c r="BH284" s="113"/>
      <c r="BI284" s="113"/>
      <c r="BJ284" s="113"/>
      <c r="BK284" s="113"/>
      <c r="BL284" s="113"/>
      <c r="BM284" s="113"/>
      <c r="BN284" s="113"/>
      <c r="BO284" s="113"/>
      <c r="BP284" s="113"/>
      <c r="BQ284" s="113"/>
      <c r="BR284" s="113"/>
      <c r="BS284" s="113"/>
      <c r="BT284" s="113"/>
      <c r="BU284" s="113"/>
      <c r="BV284" s="113"/>
      <c r="BW284" s="113"/>
      <c r="BX284" s="113"/>
      <c r="BY284" s="113"/>
      <c r="BZ284" s="113"/>
      <c r="CA284" s="113"/>
      <c r="CB284" s="113"/>
      <c r="CC284" s="113"/>
      <c r="CD284" s="113"/>
      <c r="CE284" s="113"/>
      <c r="CF284" s="113"/>
      <c r="CG284" s="113"/>
      <c r="CH284" s="113"/>
      <c r="CI284" s="113"/>
      <c r="CJ284" s="113"/>
      <c r="CK284" s="113"/>
      <c r="CL284" s="113"/>
      <c r="CM284" s="113"/>
      <c r="CN284" s="113"/>
      <c r="CO284" s="113"/>
      <c r="CP284" s="113"/>
      <c r="CQ284" s="113"/>
      <c r="CR284" s="113"/>
      <c r="CS284" s="113"/>
      <c r="CT284" s="113"/>
      <c r="CU284" s="113"/>
      <c r="CV284" s="113"/>
      <c r="CW284" s="113"/>
      <c r="CX284" s="113"/>
      <c r="CY284" s="113"/>
      <c r="CZ284" s="113"/>
      <c r="DA284" s="113"/>
      <c r="DB284" s="113"/>
      <c r="DC284" s="113"/>
      <c r="DD284" s="113"/>
      <c r="DE284" s="113"/>
      <c r="DF284" s="113"/>
      <c r="DG284" s="113"/>
      <c r="DH284" s="113"/>
      <c r="DI284" s="113"/>
      <c r="DJ284" s="113"/>
      <c r="DK284" s="113"/>
      <c r="DL284" s="113"/>
      <c r="DM284" s="113"/>
      <c r="DN284" s="113"/>
      <c r="DO284" s="113"/>
      <c r="DP284" s="113"/>
      <c r="DQ284" s="113"/>
      <c r="DR284" s="113"/>
      <c r="DS284" s="113"/>
      <c r="DT284" s="113"/>
      <c r="DU284" s="113"/>
      <c r="DV284" s="113"/>
      <c r="DW284" s="113"/>
      <c r="DX284" s="113"/>
      <c r="DY284" s="113"/>
      <c r="DZ284" s="113"/>
      <c r="EA284" s="113"/>
      <c r="EB284" s="113"/>
      <c r="EC284" s="113"/>
      <c r="ED284" s="113"/>
      <c r="EE284" s="113"/>
      <c r="EF284" s="113"/>
      <c r="EG284" s="113"/>
      <c r="EH284" s="113"/>
      <c r="EI284" s="113"/>
      <c r="EJ284" s="113"/>
      <c r="EK284" s="113"/>
      <c r="EL284" s="113"/>
      <c r="EM284" s="113"/>
      <c r="EN284" s="113"/>
      <c r="EO284" s="113"/>
      <c r="EP284" s="113"/>
      <c r="EQ284" s="113"/>
      <c r="ER284" s="113"/>
      <c r="ES284" s="113"/>
      <c r="ET284" s="113"/>
      <c r="EU284" s="113"/>
      <c r="EV284" s="113"/>
      <c r="EW284" s="113"/>
      <c r="EX284" s="113"/>
      <c r="EY284" s="113"/>
      <c r="EZ284" s="113"/>
      <c r="FA284" s="113"/>
      <c r="FB284" s="113"/>
      <c r="FC284" s="113"/>
      <c r="FD284" s="113"/>
      <c r="FE284" s="113"/>
      <c r="FF284" s="113"/>
      <c r="FG284" s="113"/>
      <c r="FH284" s="113"/>
      <c r="FI284" s="113"/>
      <c r="FJ284" s="113"/>
      <c r="FK284" s="113"/>
      <c r="FL284" s="113"/>
      <c r="FM284" s="113"/>
      <c r="FN284" s="113"/>
      <c r="FO284" s="113"/>
      <c r="FP284" s="113"/>
      <c r="FQ284" s="113"/>
      <c r="FR284" s="113"/>
      <c r="FS284" s="113"/>
      <c r="FT284" s="113"/>
      <c r="FU284" s="113"/>
      <c r="FV284" s="113"/>
      <c r="FW284" s="113"/>
      <c r="FX284" s="113"/>
      <c r="FY284" s="113"/>
      <c r="FZ284" s="113"/>
      <c r="GA284" s="113"/>
      <c r="GB284" s="113"/>
      <c r="GC284" s="113"/>
      <c r="GD284" s="113"/>
      <c r="GE284" s="113"/>
      <c r="GF284" s="113"/>
      <c r="GG284" s="113"/>
      <c r="GH284" s="113"/>
      <c r="GI284" s="113"/>
      <c r="GJ284" s="113"/>
      <c r="GK284" s="113"/>
      <c r="GL284" s="113"/>
      <c r="GM284" s="113"/>
      <c r="GN284" s="113"/>
      <c r="GO284" s="113"/>
      <c r="GP284" s="113"/>
      <c r="GQ284" s="113"/>
      <c r="GR284" s="113"/>
      <c r="GS284" s="113"/>
      <c r="GT284" s="113"/>
      <c r="GU284" s="113"/>
      <c r="GV284" s="113"/>
      <c r="GW284" s="113"/>
      <c r="GX284" s="113"/>
      <c r="GY284" s="113"/>
      <c r="GZ284" s="113"/>
      <c r="HA284" s="113"/>
      <c r="HB284" s="113"/>
      <c r="HC284" s="113"/>
      <c r="HD284" s="113"/>
      <c r="HE284" s="113"/>
      <c r="HF284" s="113"/>
      <c r="HG284" s="113"/>
      <c r="HH284" s="113"/>
      <c r="HI284" s="113"/>
      <c r="HJ284" s="113"/>
      <c r="HK284" s="113"/>
      <c r="HL284" s="113"/>
      <c r="HM284" s="113"/>
      <c r="HN284" s="113"/>
      <c r="HO284" s="113"/>
      <c r="HP284" s="113"/>
      <c r="HQ284" s="113"/>
      <c r="HR284" s="113"/>
      <c r="HS284" s="113"/>
      <c r="HT284" s="113"/>
      <c r="HU284" s="113"/>
      <c r="HV284" s="113"/>
      <c r="HW284" s="113"/>
      <c r="HX284" s="113"/>
      <c r="HY284" s="113"/>
      <c r="HZ284" s="113"/>
      <c r="IA284" s="113"/>
      <c r="IB284" s="113"/>
      <c r="IC284" s="113"/>
      <c r="ID284" s="113"/>
      <c r="IE284" s="113"/>
      <c r="IF284" s="113"/>
      <c r="IG284" s="113"/>
      <c r="IH284" s="113"/>
      <c r="II284" s="113"/>
      <c r="IJ284" s="113"/>
      <c r="IK284" s="113"/>
      <c r="IL284" s="113"/>
      <c r="IM284" s="113"/>
      <c r="IN284" s="113"/>
      <c r="IO284" s="113"/>
      <c r="IP284" s="113"/>
      <c r="IQ284" s="113"/>
      <c r="IR284" s="113"/>
      <c r="IS284" s="113"/>
      <c r="IT284" s="113"/>
      <c r="IU284" s="113"/>
      <c r="IV284" s="113"/>
      <c r="IW284" s="113"/>
      <c r="IX284" s="113"/>
      <c r="IY284" s="113"/>
      <c r="IZ284" s="113"/>
      <c r="JA284" s="113"/>
      <c r="JB284" s="113"/>
      <c r="JC284" s="113"/>
      <c r="JD284" s="113"/>
      <c r="JE284" s="113"/>
      <c r="JF284" s="113"/>
      <c r="JG284" s="113"/>
      <c r="JH284" s="113"/>
      <c r="JI284" s="113"/>
      <c r="JJ284" s="113"/>
      <c r="JK284" s="113"/>
      <c r="JL284" s="113"/>
      <c r="JM284" s="113"/>
      <c r="JN284" s="113"/>
      <c r="JO284" s="113"/>
      <c r="JP284" s="113"/>
      <c r="JQ284" s="113"/>
      <c r="JR284" s="113"/>
      <c r="JS284" s="113"/>
      <c r="JT284" s="113"/>
      <c r="JU284" s="113"/>
      <c r="JV284" s="113"/>
      <c r="JW284" s="113"/>
      <c r="JX284" s="113"/>
      <c r="JY284" s="113"/>
      <c r="JZ284" s="113"/>
      <c r="KA284" s="113"/>
      <c r="KB284" s="113"/>
      <c r="KC284" s="113"/>
      <c r="KD284" s="113"/>
      <c r="KE284" s="113"/>
      <c r="KF284" s="113"/>
      <c r="KG284" s="113"/>
      <c r="KH284" s="113"/>
      <c r="KI284" s="113"/>
      <c r="KJ284" s="113"/>
      <c r="KK284" s="113"/>
      <c r="KL284" s="113"/>
      <c r="KM284" s="113"/>
      <c r="KN284" s="113"/>
      <c r="KO284" s="113"/>
      <c r="KP284" s="113"/>
      <c r="KQ284" s="113"/>
      <c r="KR284" s="113"/>
      <c r="KS284" s="113"/>
      <c r="KT284" s="113"/>
      <c r="KU284" s="113"/>
      <c r="KV284" s="113"/>
      <c r="KW284" s="113"/>
      <c r="KX284" s="113"/>
      <c r="KY284" s="113"/>
      <c r="KZ284" s="113"/>
      <c r="LA284" s="113"/>
      <c r="LB284" s="113"/>
      <c r="LC284" s="113"/>
      <c r="LD284" s="113"/>
      <c r="LE284" s="113"/>
      <c r="LF284" s="113"/>
      <c r="LG284" s="113"/>
      <c r="LH284" s="113"/>
      <c r="LI284" s="113"/>
      <c r="LJ284" s="113"/>
      <c r="LK284" s="113"/>
      <c r="LL284" s="113"/>
      <c r="LM284" s="113"/>
      <c r="LN284" s="113"/>
      <c r="LO284" s="113"/>
      <c r="LP284" s="113"/>
      <c r="LQ284" s="113"/>
      <c r="LR284" s="113"/>
      <c r="LS284" s="113"/>
      <c r="LT284" s="113"/>
      <c r="LU284" s="113"/>
      <c r="LV284" s="113"/>
      <c r="LW284" s="113"/>
      <c r="LX284" s="113"/>
      <c r="LY284" s="113"/>
      <c r="LZ284" s="113"/>
      <c r="MA284" s="113"/>
      <c r="MB284" s="113"/>
      <c r="MC284" s="113"/>
      <c r="MD284" s="113"/>
      <c r="ME284" s="113"/>
      <c r="MF284" s="113"/>
      <c r="MG284" s="113"/>
      <c r="MH284" s="113"/>
      <c r="MI284" s="113"/>
      <c r="MJ284" s="113"/>
      <c r="MK284" s="113"/>
      <c r="ML284" s="113"/>
      <c r="MM284" s="113"/>
      <c r="MN284" s="113"/>
      <c r="MO284" s="113"/>
      <c r="MP284" s="113"/>
      <c r="MQ284" s="113"/>
      <c r="MR284" s="113"/>
      <c r="MS284" s="113"/>
      <c r="MT284" s="113"/>
      <c r="MU284" s="113"/>
      <c r="MV284" s="113"/>
      <c r="MW284" s="113"/>
      <c r="MX284" s="113"/>
      <c r="MY284" s="113"/>
      <c r="MZ284" s="113"/>
      <c r="NA284" s="113"/>
      <c r="NB284" s="113"/>
      <c r="NC284" s="113"/>
      <c r="ND284" s="113"/>
      <c r="NE284" s="113"/>
      <c r="NF284" s="113"/>
      <c r="NG284" s="113"/>
      <c r="NH284" s="113"/>
      <c r="NI284" s="113"/>
      <c r="NJ284" s="113"/>
      <c r="NK284" s="113"/>
      <c r="NL284" s="113"/>
      <c r="NM284" s="113"/>
      <c r="NN284" s="113"/>
      <c r="NO284" s="113"/>
      <c r="NP284" s="113"/>
      <c r="NQ284" s="113"/>
      <c r="NR284" s="113"/>
      <c r="NS284" s="113"/>
      <c r="NT284" s="113"/>
      <c r="NU284" s="113"/>
      <c r="NV284" s="113"/>
      <c r="NW284" s="113"/>
      <c r="NX284" s="113"/>
      <c r="NY284" s="113"/>
      <c r="NZ284" s="113"/>
      <c r="OA284" s="113"/>
      <c r="OB284" s="113"/>
      <c r="OC284" s="113"/>
      <c r="OD284" s="113"/>
      <c r="OE284" s="113"/>
      <c r="OF284" s="113"/>
      <c r="OG284" s="113"/>
      <c r="OH284" s="113"/>
      <c r="OI284" s="113"/>
      <c r="OJ284" s="113"/>
      <c r="OK284" s="113"/>
      <c r="OL284" s="113"/>
      <c r="OM284" s="113"/>
      <c r="ON284" s="113"/>
      <c r="OO284" s="113"/>
      <c r="OP284" s="113"/>
      <c r="OQ284" s="113"/>
      <c r="OR284" s="113"/>
      <c r="OS284" s="113"/>
      <c r="OT284" s="113"/>
      <c r="OU284" s="113"/>
      <c r="OV284" s="113"/>
      <c r="OW284" s="113"/>
      <c r="OX284" s="113"/>
      <c r="OY284" s="113"/>
      <c r="OZ284" s="113"/>
      <c r="PA284" s="113"/>
      <c r="PB284" s="113"/>
      <c r="PC284" s="113"/>
      <c r="PD284" s="113"/>
      <c r="PE284" s="113"/>
      <c r="PF284" s="113"/>
      <c r="PG284" s="113"/>
      <c r="PH284" s="113"/>
      <c r="PI284" s="113"/>
      <c r="PJ284" s="113"/>
      <c r="PK284" s="113"/>
      <c r="PL284" s="113"/>
      <c r="PM284" s="113"/>
    </row>
    <row r="285" spans="1:429">
      <c r="B285" s="105"/>
      <c r="C285" s="71"/>
      <c r="D285" s="71"/>
      <c r="E285" s="72" t="s">
        <v>107</v>
      </c>
      <c r="F285" s="73" t="s">
        <v>854</v>
      </c>
      <c r="G285" s="41">
        <v>2.71</v>
      </c>
      <c r="H285" s="42">
        <v>4.17</v>
      </c>
      <c r="I285" s="74">
        <v>1.25</v>
      </c>
      <c r="J285" s="41"/>
      <c r="K285" s="42"/>
      <c r="L285" s="74"/>
      <c r="M285" s="42"/>
      <c r="N285" s="42"/>
      <c r="O285" s="42"/>
      <c r="P285" s="35">
        <v>2015</v>
      </c>
      <c r="Q285" s="36" t="s">
        <v>27</v>
      </c>
      <c r="R285" s="73" t="s">
        <v>24</v>
      </c>
    </row>
    <row r="286" spans="1:429">
      <c r="B286" s="105"/>
      <c r="C286" s="71"/>
      <c r="D286" s="71"/>
      <c r="E286" s="72" t="s">
        <v>107</v>
      </c>
      <c r="F286" s="73" t="s">
        <v>854</v>
      </c>
      <c r="G286" s="41">
        <v>1.6</v>
      </c>
      <c r="H286" s="42">
        <v>2.2000000000000002</v>
      </c>
      <c r="I286" s="74">
        <v>1.1000000000000001</v>
      </c>
      <c r="J286" s="41"/>
      <c r="K286" s="42"/>
      <c r="L286" s="74"/>
      <c r="M286" s="42"/>
      <c r="N286" s="42"/>
      <c r="O286" s="42"/>
      <c r="P286" s="35">
        <v>2011</v>
      </c>
      <c r="Q286" s="36" t="s">
        <v>27</v>
      </c>
      <c r="R286" s="73" t="s">
        <v>24</v>
      </c>
    </row>
    <row r="287" spans="1:429">
      <c r="B287" s="105"/>
      <c r="C287" s="71"/>
      <c r="D287" s="71"/>
      <c r="E287" s="72" t="s">
        <v>110</v>
      </c>
      <c r="F287" s="73" t="s">
        <v>854</v>
      </c>
      <c r="G287" s="41">
        <v>0.62</v>
      </c>
      <c r="H287" s="42"/>
      <c r="I287" s="74"/>
      <c r="J287" s="41"/>
      <c r="K287" s="42"/>
      <c r="L287" s="74"/>
      <c r="M287" s="42"/>
      <c r="N287" s="42"/>
      <c r="O287" s="42"/>
      <c r="P287" s="35">
        <v>2016</v>
      </c>
      <c r="Q287" s="36" t="s">
        <v>79</v>
      </c>
      <c r="R287" s="73" t="s">
        <v>747</v>
      </c>
    </row>
    <row r="288" spans="1:429" s="48" customFormat="1">
      <c r="A288" s="113"/>
      <c r="B288" s="105"/>
      <c r="C288" s="71"/>
      <c r="D288" s="71"/>
      <c r="E288" s="72" t="s">
        <v>113</v>
      </c>
      <c r="F288" s="73" t="s">
        <v>854</v>
      </c>
      <c r="G288" s="41" t="s">
        <v>360</v>
      </c>
      <c r="H288" s="42" t="s">
        <v>360</v>
      </c>
      <c r="I288" s="74" t="s">
        <v>360</v>
      </c>
      <c r="J288" s="41">
        <v>0</v>
      </c>
      <c r="K288" s="42" t="s">
        <v>360</v>
      </c>
      <c r="L288" s="74" t="s">
        <v>360</v>
      </c>
      <c r="M288" s="42" t="s">
        <v>360</v>
      </c>
      <c r="N288" s="42" t="s">
        <v>360</v>
      </c>
      <c r="O288" s="42" t="s">
        <v>360</v>
      </c>
      <c r="P288" s="35">
        <v>2022</v>
      </c>
      <c r="Q288" s="36" t="s">
        <v>27</v>
      </c>
      <c r="R288" s="73" t="s">
        <v>115</v>
      </c>
      <c r="S288" s="113"/>
      <c r="T288" s="113"/>
      <c r="U288" s="113"/>
      <c r="V288" s="113"/>
      <c r="W288" s="113"/>
      <c r="X288" s="113"/>
      <c r="Y288" s="113"/>
      <c r="Z288" s="113"/>
      <c r="AA288" s="113"/>
      <c r="AB288" s="113"/>
      <c r="AC288" s="113"/>
      <c r="AD288" s="113"/>
      <c r="AE288" s="113"/>
      <c r="AF288" s="113"/>
      <c r="AG288" s="113"/>
      <c r="AH288" s="113"/>
      <c r="AI288" s="113"/>
      <c r="AJ288" s="113"/>
      <c r="AK288" s="113"/>
      <c r="AL288" s="113"/>
      <c r="AM288" s="113"/>
      <c r="AN288" s="113"/>
      <c r="AO288" s="113"/>
      <c r="AP288" s="113"/>
      <c r="AQ288" s="113"/>
      <c r="AR288" s="113"/>
      <c r="AS288" s="113"/>
      <c r="AT288" s="113"/>
      <c r="AU288" s="113"/>
      <c r="AV288" s="113"/>
      <c r="AW288" s="113"/>
      <c r="AX288" s="113"/>
      <c r="AY288" s="113"/>
      <c r="AZ288" s="113"/>
      <c r="BA288" s="113"/>
      <c r="BB288" s="113"/>
      <c r="BC288" s="113"/>
      <c r="BD288" s="113"/>
      <c r="BE288" s="113"/>
      <c r="BF288" s="113"/>
      <c r="BG288" s="113"/>
      <c r="BH288" s="113"/>
      <c r="BI288" s="113"/>
      <c r="BJ288" s="113"/>
      <c r="BK288" s="113"/>
      <c r="BL288" s="113"/>
      <c r="BM288" s="113"/>
      <c r="BN288" s="113"/>
      <c r="BO288" s="113"/>
      <c r="BP288" s="113"/>
      <c r="BQ288" s="113"/>
      <c r="BR288" s="113"/>
      <c r="BS288" s="113"/>
      <c r="BT288" s="113"/>
      <c r="BU288" s="113"/>
      <c r="BV288" s="113"/>
      <c r="BW288" s="113"/>
      <c r="BX288" s="113"/>
      <c r="BY288" s="113"/>
      <c r="BZ288" s="113"/>
      <c r="CA288" s="113"/>
      <c r="CB288" s="113"/>
      <c r="CC288" s="113"/>
      <c r="CD288" s="113"/>
      <c r="CE288" s="113"/>
      <c r="CF288" s="113"/>
      <c r="CG288" s="113"/>
      <c r="CH288" s="113"/>
      <c r="CI288" s="113"/>
      <c r="CJ288" s="113"/>
      <c r="CK288" s="113"/>
      <c r="CL288" s="113"/>
      <c r="CM288" s="113"/>
      <c r="CN288" s="113"/>
      <c r="CO288" s="113"/>
      <c r="CP288" s="113"/>
      <c r="CQ288" s="113"/>
      <c r="CR288" s="113"/>
      <c r="CS288" s="113"/>
      <c r="CT288" s="113"/>
      <c r="CU288" s="113"/>
      <c r="CV288" s="113"/>
      <c r="CW288" s="113"/>
      <c r="CX288" s="113"/>
      <c r="CY288" s="113"/>
      <c r="CZ288" s="113"/>
      <c r="DA288" s="113"/>
      <c r="DB288" s="113"/>
      <c r="DC288" s="113"/>
      <c r="DD288" s="113"/>
      <c r="DE288" s="113"/>
      <c r="DF288" s="113"/>
      <c r="DG288" s="113"/>
      <c r="DH288" s="113"/>
      <c r="DI288" s="113"/>
      <c r="DJ288" s="113"/>
      <c r="DK288" s="113"/>
      <c r="DL288" s="113"/>
      <c r="DM288" s="113"/>
      <c r="DN288" s="113"/>
      <c r="DO288" s="113"/>
      <c r="DP288" s="113"/>
      <c r="DQ288" s="113"/>
      <c r="DR288" s="113"/>
      <c r="DS288" s="113"/>
      <c r="DT288" s="113"/>
      <c r="DU288" s="113"/>
      <c r="DV288" s="113"/>
      <c r="DW288" s="113"/>
      <c r="DX288" s="113"/>
      <c r="DY288" s="113"/>
      <c r="DZ288" s="113"/>
      <c r="EA288" s="113"/>
      <c r="EB288" s="113"/>
      <c r="EC288" s="113"/>
      <c r="ED288" s="113"/>
      <c r="EE288" s="113"/>
      <c r="EF288" s="113"/>
      <c r="EG288" s="113"/>
      <c r="EH288" s="113"/>
      <c r="EI288" s="113"/>
      <c r="EJ288" s="113"/>
      <c r="EK288" s="113"/>
      <c r="EL288" s="113"/>
      <c r="EM288" s="113"/>
      <c r="EN288" s="113"/>
      <c r="EO288" s="113"/>
      <c r="EP288" s="113"/>
      <c r="EQ288" s="113"/>
      <c r="ER288" s="113"/>
      <c r="ES288" s="113"/>
      <c r="ET288" s="113"/>
      <c r="EU288" s="113"/>
      <c r="EV288" s="113"/>
      <c r="EW288" s="113"/>
      <c r="EX288" s="113"/>
      <c r="EY288" s="113"/>
      <c r="EZ288" s="113"/>
      <c r="FA288" s="113"/>
      <c r="FB288" s="113"/>
      <c r="FC288" s="113"/>
      <c r="FD288" s="113"/>
      <c r="FE288" s="113"/>
      <c r="FF288" s="113"/>
      <c r="FG288" s="113"/>
      <c r="FH288" s="113"/>
      <c r="FI288" s="113"/>
      <c r="FJ288" s="113"/>
      <c r="FK288" s="113"/>
      <c r="FL288" s="113"/>
      <c r="FM288" s="113"/>
      <c r="FN288" s="113"/>
      <c r="FO288" s="113"/>
      <c r="FP288" s="113"/>
      <c r="FQ288" s="113"/>
      <c r="FR288" s="113"/>
      <c r="FS288" s="113"/>
      <c r="FT288" s="113"/>
      <c r="FU288" s="113"/>
      <c r="FV288" s="113"/>
      <c r="FW288" s="113"/>
      <c r="FX288" s="113"/>
      <c r="FY288" s="113"/>
      <c r="FZ288" s="113"/>
      <c r="GA288" s="113"/>
      <c r="GB288" s="113"/>
      <c r="GC288" s="113"/>
      <c r="GD288" s="113"/>
      <c r="GE288" s="113"/>
      <c r="GF288" s="113"/>
      <c r="GG288" s="113"/>
      <c r="GH288" s="113"/>
      <c r="GI288" s="113"/>
      <c r="GJ288" s="113"/>
      <c r="GK288" s="113"/>
      <c r="GL288" s="113"/>
      <c r="GM288" s="113"/>
      <c r="GN288" s="113"/>
      <c r="GO288" s="113"/>
      <c r="GP288" s="113"/>
      <c r="GQ288" s="113"/>
      <c r="GR288" s="113"/>
      <c r="GS288" s="113"/>
      <c r="GT288" s="113"/>
      <c r="GU288" s="113"/>
      <c r="GV288" s="113"/>
      <c r="GW288" s="113"/>
      <c r="GX288" s="113"/>
      <c r="GY288" s="113"/>
      <c r="GZ288" s="113"/>
      <c r="HA288" s="113"/>
      <c r="HB288" s="113"/>
      <c r="HC288" s="113"/>
      <c r="HD288" s="113"/>
      <c r="HE288" s="113"/>
      <c r="HF288" s="113"/>
      <c r="HG288" s="113"/>
      <c r="HH288" s="113"/>
      <c r="HI288" s="113"/>
      <c r="HJ288" s="113"/>
      <c r="HK288" s="113"/>
      <c r="HL288" s="113"/>
      <c r="HM288" s="113"/>
      <c r="HN288" s="113"/>
      <c r="HO288" s="113"/>
      <c r="HP288" s="113"/>
      <c r="HQ288" s="113"/>
      <c r="HR288" s="113"/>
      <c r="HS288" s="113"/>
      <c r="HT288" s="113"/>
      <c r="HU288" s="113"/>
      <c r="HV288" s="113"/>
      <c r="HW288" s="113"/>
      <c r="HX288" s="113"/>
      <c r="HY288" s="113"/>
      <c r="HZ288" s="113"/>
      <c r="IA288" s="113"/>
      <c r="IB288" s="113"/>
      <c r="IC288" s="113"/>
      <c r="ID288" s="113"/>
      <c r="IE288" s="113"/>
      <c r="IF288" s="113"/>
      <c r="IG288" s="113"/>
      <c r="IH288" s="113"/>
      <c r="II288" s="113"/>
      <c r="IJ288" s="113"/>
      <c r="IK288" s="113"/>
      <c r="IL288" s="113"/>
      <c r="IM288" s="113"/>
      <c r="IN288" s="113"/>
      <c r="IO288" s="113"/>
      <c r="IP288" s="113"/>
      <c r="IQ288" s="113"/>
      <c r="IR288" s="113"/>
      <c r="IS288" s="113"/>
      <c r="IT288" s="113"/>
      <c r="IU288" s="113"/>
      <c r="IV288" s="113"/>
      <c r="IW288" s="113"/>
      <c r="IX288" s="113"/>
      <c r="IY288" s="113"/>
      <c r="IZ288" s="113"/>
      <c r="JA288" s="113"/>
      <c r="JB288" s="113"/>
      <c r="JC288" s="113"/>
      <c r="JD288" s="113"/>
      <c r="JE288" s="113"/>
      <c r="JF288" s="113"/>
      <c r="JG288" s="113"/>
      <c r="JH288" s="113"/>
      <c r="JI288" s="113"/>
      <c r="JJ288" s="113"/>
      <c r="JK288" s="113"/>
      <c r="JL288" s="113"/>
      <c r="JM288" s="113"/>
      <c r="JN288" s="113"/>
      <c r="JO288" s="113"/>
      <c r="JP288" s="113"/>
      <c r="JQ288" s="113"/>
      <c r="JR288" s="113"/>
      <c r="JS288" s="113"/>
      <c r="JT288" s="113"/>
      <c r="JU288" s="113"/>
      <c r="JV288" s="113"/>
      <c r="JW288" s="113"/>
      <c r="JX288" s="113"/>
      <c r="JY288" s="113"/>
      <c r="JZ288" s="113"/>
      <c r="KA288" s="113"/>
      <c r="KB288" s="113"/>
      <c r="KC288" s="113"/>
      <c r="KD288" s="113"/>
      <c r="KE288" s="113"/>
      <c r="KF288" s="113"/>
      <c r="KG288" s="113"/>
      <c r="KH288" s="113"/>
      <c r="KI288" s="113"/>
      <c r="KJ288" s="113"/>
      <c r="KK288" s="113"/>
      <c r="KL288" s="113"/>
      <c r="KM288" s="113"/>
      <c r="KN288" s="113"/>
      <c r="KO288" s="113"/>
      <c r="KP288" s="113"/>
      <c r="KQ288" s="113"/>
      <c r="KR288" s="113"/>
      <c r="KS288" s="113"/>
      <c r="KT288" s="113"/>
      <c r="KU288" s="113"/>
      <c r="KV288" s="113"/>
      <c r="KW288" s="113"/>
      <c r="KX288" s="113"/>
      <c r="KY288" s="113"/>
      <c r="KZ288" s="113"/>
      <c r="LA288" s="113"/>
      <c r="LB288" s="113"/>
      <c r="LC288" s="113"/>
      <c r="LD288" s="113"/>
      <c r="LE288" s="113"/>
      <c r="LF288" s="113"/>
      <c r="LG288" s="113"/>
      <c r="LH288" s="113"/>
      <c r="LI288" s="113"/>
      <c r="LJ288" s="113"/>
      <c r="LK288" s="113"/>
      <c r="LL288" s="113"/>
      <c r="LM288" s="113"/>
      <c r="LN288" s="113"/>
      <c r="LO288" s="113"/>
      <c r="LP288" s="113"/>
      <c r="LQ288" s="113"/>
      <c r="LR288" s="113"/>
      <c r="LS288" s="113"/>
      <c r="LT288" s="113"/>
      <c r="LU288" s="113"/>
      <c r="LV288" s="113"/>
      <c r="LW288" s="113"/>
      <c r="LX288" s="113"/>
      <c r="LY288" s="113"/>
      <c r="LZ288" s="113"/>
      <c r="MA288" s="113"/>
      <c r="MB288" s="113"/>
      <c r="MC288" s="113"/>
      <c r="MD288" s="113"/>
      <c r="ME288" s="113"/>
      <c r="MF288" s="113"/>
      <c r="MG288" s="113"/>
      <c r="MH288" s="113"/>
      <c r="MI288" s="113"/>
      <c r="MJ288" s="113"/>
      <c r="MK288" s="113"/>
      <c r="ML288" s="113"/>
      <c r="MM288" s="113"/>
      <c r="MN288" s="113"/>
      <c r="MO288" s="113"/>
      <c r="MP288" s="113"/>
      <c r="MQ288" s="113"/>
      <c r="MR288" s="113"/>
      <c r="MS288" s="113"/>
      <c r="MT288" s="113"/>
      <c r="MU288" s="113"/>
      <c r="MV288" s="113"/>
      <c r="MW288" s="113"/>
      <c r="MX288" s="113"/>
      <c r="MY288" s="113"/>
      <c r="MZ288" s="113"/>
      <c r="NA288" s="113"/>
      <c r="NB288" s="113"/>
      <c r="NC288" s="113"/>
      <c r="ND288" s="113"/>
      <c r="NE288" s="113"/>
      <c r="NF288" s="113"/>
      <c r="NG288" s="113"/>
      <c r="NH288" s="113"/>
      <c r="NI288" s="113"/>
      <c r="NJ288" s="113"/>
      <c r="NK288" s="113"/>
      <c r="NL288" s="113"/>
      <c r="NM288" s="113"/>
      <c r="NN288" s="113"/>
      <c r="NO288" s="113"/>
      <c r="NP288" s="113"/>
      <c r="NQ288" s="113"/>
      <c r="NR288" s="113"/>
      <c r="NS288" s="113"/>
      <c r="NT288" s="113"/>
      <c r="NU288" s="113"/>
      <c r="NV288" s="113"/>
      <c r="NW288" s="113"/>
      <c r="NX288" s="113"/>
      <c r="NY288" s="113"/>
      <c r="NZ288" s="113"/>
      <c r="OA288" s="113"/>
      <c r="OB288" s="113"/>
      <c r="OC288" s="113"/>
      <c r="OD288" s="113"/>
      <c r="OE288" s="113"/>
      <c r="OF288" s="113"/>
      <c r="OG288" s="113"/>
      <c r="OH288" s="113"/>
      <c r="OI288" s="113"/>
      <c r="OJ288" s="113"/>
      <c r="OK288" s="113"/>
      <c r="OL288" s="113"/>
      <c r="OM288" s="113"/>
      <c r="ON288" s="113"/>
      <c r="OO288" s="113"/>
      <c r="OP288" s="113"/>
      <c r="OQ288" s="113"/>
      <c r="OR288" s="113"/>
      <c r="OS288" s="113"/>
      <c r="OT288" s="113"/>
      <c r="OU288" s="113"/>
      <c r="OV288" s="113"/>
      <c r="OW288" s="113"/>
      <c r="OX288" s="113"/>
      <c r="OY288" s="113"/>
      <c r="OZ288" s="113"/>
      <c r="PA288" s="113"/>
      <c r="PB288" s="113"/>
      <c r="PC288" s="113"/>
      <c r="PD288" s="113"/>
      <c r="PE288" s="113"/>
      <c r="PF288" s="113"/>
      <c r="PG288" s="113"/>
      <c r="PH288" s="113"/>
      <c r="PI288" s="113"/>
      <c r="PJ288" s="113"/>
      <c r="PK288" s="113"/>
      <c r="PL288" s="113"/>
      <c r="PM288" s="113"/>
    </row>
    <row r="289" spans="1:429">
      <c r="B289" s="105"/>
      <c r="C289" s="71"/>
      <c r="D289" s="71"/>
      <c r="E289" s="72" t="s">
        <v>113</v>
      </c>
      <c r="F289" s="73" t="s">
        <v>854</v>
      </c>
      <c r="G289" s="41"/>
      <c r="H289" s="42"/>
      <c r="I289" s="74"/>
      <c r="J289" s="41">
        <v>0.5</v>
      </c>
      <c r="K289" s="42">
        <v>0.8</v>
      </c>
      <c r="L289" s="74">
        <v>0.2</v>
      </c>
      <c r="M289" s="42"/>
      <c r="N289" s="42"/>
      <c r="O289" s="42"/>
      <c r="P289" s="35">
        <v>2019</v>
      </c>
      <c r="Q289" s="36" t="s">
        <v>748</v>
      </c>
      <c r="R289" s="73" t="s">
        <v>749</v>
      </c>
    </row>
    <row r="290" spans="1:429">
      <c r="B290" s="105"/>
      <c r="C290" s="71"/>
      <c r="D290" s="71"/>
      <c r="E290" s="72" t="s">
        <v>113</v>
      </c>
      <c r="F290" s="73" t="s">
        <v>854</v>
      </c>
      <c r="G290" s="41"/>
      <c r="H290" s="42"/>
      <c r="I290" s="74"/>
      <c r="J290" s="41">
        <v>0.6</v>
      </c>
      <c r="K290" s="42">
        <v>0.7</v>
      </c>
      <c r="L290" s="74">
        <v>0.6</v>
      </c>
      <c r="M290" s="42"/>
      <c r="N290" s="42"/>
      <c r="O290" s="42"/>
      <c r="P290" s="35" t="s">
        <v>781</v>
      </c>
      <c r="Q290" s="36" t="s">
        <v>748</v>
      </c>
      <c r="R290" s="73" t="s">
        <v>753</v>
      </c>
    </row>
    <row r="291" spans="1:429">
      <c r="B291" s="105"/>
      <c r="C291" s="71"/>
      <c r="D291" s="71"/>
      <c r="E291" s="72" t="s">
        <v>113</v>
      </c>
      <c r="F291" s="73" t="s">
        <v>854</v>
      </c>
      <c r="G291" s="41"/>
      <c r="H291" s="42"/>
      <c r="I291" s="74"/>
      <c r="J291" s="41">
        <v>0.6</v>
      </c>
      <c r="K291" s="42"/>
      <c r="L291" s="74"/>
      <c r="M291" s="42"/>
      <c r="N291" s="42"/>
      <c r="O291" s="42"/>
      <c r="P291" s="35" t="s">
        <v>781</v>
      </c>
      <c r="Q291" s="36" t="s">
        <v>750</v>
      </c>
      <c r="R291" s="73" t="s">
        <v>753</v>
      </c>
    </row>
    <row r="292" spans="1:429">
      <c r="B292" s="105"/>
      <c r="C292" s="71"/>
      <c r="D292" s="71"/>
      <c r="E292" s="72" t="s">
        <v>113</v>
      </c>
      <c r="F292" s="73" t="s">
        <v>854</v>
      </c>
      <c r="G292" s="41"/>
      <c r="H292" s="42"/>
      <c r="I292" s="74"/>
      <c r="J292" s="41">
        <v>0.7</v>
      </c>
      <c r="K292" s="42">
        <v>1</v>
      </c>
      <c r="L292" s="74">
        <v>0.5</v>
      </c>
      <c r="M292" s="42"/>
      <c r="N292" s="42"/>
      <c r="O292" s="42"/>
      <c r="P292" s="35">
        <v>2016</v>
      </c>
      <c r="Q292" s="36" t="s">
        <v>748</v>
      </c>
      <c r="R292" s="73" t="s">
        <v>754</v>
      </c>
    </row>
    <row r="293" spans="1:429">
      <c r="B293" s="105"/>
      <c r="C293" s="71"/>
      <c r="D293" s="71"/>
      <c r="E293" s="72" t="s">
        <v>113</v>
      </c>
      <c r="F293" s="73" t="s">
        <v>854</v>
      </c>
      <c r="G293" s="41">
        <v>2.71</v>
      </c>
      <c r="H293" s="42">
        <v>4.17</v>
      </c>
      <c r="I293" s="74">
        <v>1.25</v>
      </c>
      <c r="J293" s="41"/>
      <c r="K293" s="42"/>
      <c r="L293" s="74"/>
      <c r="M293" s="42"/>
      <c r="N293" s="42"/>
      <c r="O293" s="42"/>
      <c r="P293" s="35">
        <v>2015</v>
      </c>
      <c r="Q293" s="36" t="s">
        <v>27</v>
      </c>
      <c r="R293" s="73" t="s">
        <v>755</v>
      </c>
    </row>
    <row r="294" spans="1:429">
      <c r="B294" s="105"/>
      <c r="C294" s="71"/>
      <c r="D294" s="71"/>
      <c r="E294" s="72" t="s">
        <v>113</v>
      </c>
      <c r="F294" s="73" t="s">
        <v>854</v>
      </c>
      <c r="G294" s="41"/>
      <c r="H294" s="42"/>
      <c r="I294" s="74"/>
      <c r="J294" s="41">
        <v>2.2999999999999998</v>
      </c>
      <c r="K294" s="42">
        <v>3.5</v>
      </c>
      <c r="L294" s="74">
        <v>1.5</v>
      </c>
      <c r="M294" s="42"/>
      <c r="N294" s="42"/>
      <c r="O294" s="42"/>
      <c r="P294" s="35">
        <v>2011</v>
      </c>
      <c r="Q294" s="36" t="s">
        <v>748</v>
      </c>
      <c r="R294" s="73" t="s">
        <v>751</v>
      </c>
    </row>
    <row r="295" spans="1:429">
      <c r="B295" s="105"/>
      <c r="C295" s="71"/>
      <c r="D295" s="71"/>
      <c r="E295" s="72" t="s">
        <v>113</v>
      </c>
      <c r="F295" s="73" t="s">
        <v>853</v>
      </c>
      <c r="G295" s="41"/>
      <c r="H295" s="42"/>
      <c r="I295" s="74"/>
      <c r="J295" s="41">
        <v>0.5</v>
      </c>
      <c r="K295" s="42"/>
      <c r="L295" s="74"/>
      <c r="M295" s="42"/>
      <c r="N295" s="42"/>
      <c r="O295" s="42"/>
      <c r="P295" s="35">
        <v>2015</v>
      </c>
      <c r="Q295" s="36" t="s">
        <v>748</v>
      </c>
      <c r="R295" s="73" t="s">
        <v>755</v>
      </c>
    </row>
    <row r="296" spans="1:429">
      <c r="B296" s="105"/>
      <c r="C296" s="71" t="s">
        <v>139</v>
      </c>
      <c r="D296" s="71" t="s">
        <v>152</v>
      </c>
      <c r="E296" s="72" t="s">
        <v>187</v>
      </c>
      <c r="F296" s="73" t="s">
        <v>855</v>
      </c>
      <c r="G296" s="41">
        <v>31.01</v>
      </c>
      <c r="H296" s="42">
        <v>53.16</v>
      </c>
      <c r="I296" s="74">
        <v>11.3</v>
      </c>
      <c r="J296" s="41">
        <v>9.76</v>
      </c>
      <c r="K296" s="42">
        <v>16.14</v>
      </c>
      <c r="L296" s="74">
        <v>3.56</v>
      </c>
      <c r="M296" s="42">
        <v>6.07</v>
      </c>
      <c r="N296" s="42">
        <v>10.27</v>
      </c>
      <c r="O296" s="42">
        <v>2</v>
      </c>
      <c r="P296" s="35">
        <v>2019</v>
      </c>
      <c r="Q296" s="36" t="s">
        <v>27</v>
      </c>
      <c r="R296" s="73" t="s">
        <v>24</v>
      </c>
    </row>
    <row r="297" spans="1:429">
      <c r="B297" s="105"/>
      <c r="C297" s="71"/>
      <c r="D297" s="71"/>
      <c r="E297" s="72" t="s">
        <v>187</v>
      </c>
      <c r="F297" s="73" t="s">
        <v>855</v>
      </c>
      <c r="G297" s="41">
        <v>3.19</v>
      </c>
      <c r="H297" s="42"/>
      <c r="I297" s="74"/>
      <c r="J297" s="41">
        <v>0.98</v>
      </c>
      <c r="K297" s="42"/>
      <c r="L297" s="74"/>
      <c r="M297" s="42">
        <v>0.61</v>
      </c>
      <c r="N297" s="42"/>
      <c r="O297" s="42"/>
      <c r="P297" s="35">
        <v>2019</v>
      </c>
      <c r="Q297" s="36" t="s">
        <v>79</v>
      </c>
      <c r="R297" s="73" t="s">
        <v>785</v>
      </c>
    </row>
    <row r="298" spans="1:429">
      <c r="B298" s="105"/>
      <c r="C298" s="71"/>
      <c r="D298" s="71"/>
      <c r="E298" s="72" t="s">
        <v>187</v>
      </c>
      <c r="F298" s="73" t="s">
        <v>856</v>
      </c>
      <c r="G298" s="41">
        <v>10.19</v>
      </c>
      <c r="H298" s="42">
        <v>16.989999999999998</v>
      </c>
      <c r="I298" s="74">
        <v>3.59</v>
      </c>
      <c r="J298" s="41">
        <v>4.4000000000000004</v>
      </c>
      <c r="K298" s="42">
        <v>7.75</v>
      </c>
      <c r="L298" s="74">
        <v>7.15</v>
      </c>
      <c r="M298" s="42">
        <v>3.32</v>
      </c>
      <c r="N298" s="42">
        <v>5.74</v>
      </c>
      <c r="O298" s="42">
        <v>0.96</v>
      </c>
      <c r="P298" s="35">
        <v>2019</v>
      </c>
      <c r="Q298" s="36" t="s">
        <v>27</v>
      </c>
      <c r="R298" s="73" t="s">
        <v>24</v>
      </c>
    </row>
    <row r="299" spans="1:429">
      <c r="B299" s="105"/>
      <c r="C299" s="71"/>
      <c r="D299" s="71"/>
      <c r="E299" s="72" t="s">
        <v>187</v>
      </c>
      <c r="F299" s="73" t="s">
        <v>856</v>
      </c>
      <c r="G299" s="41">
        <v>1.02</v>
      </c>
      <c r="H299" s="42"/>
      <c r="I299" s="74"/>
      <c r="J299" s="41">
        <v>0.44</v>
      </c>
      <c r="K299" s="42"/>
      <c r="L299" s="74"/>
      <c r="M299" s="42">
        <v>0.33</v>
      </c>
      <c r="N299" s="42"/>
      <c r="O299" s="42"/>
      <c r="P299" s="35">
        <v>2019</v>
      </c>
      <c r="Q299" s="36" t="s">
        <v>79</v>
      </c>
      <c r="R299" s="73" t="s">
        <v>785</v>
      </c>
    </row>
    <row r="300" spans="1:429">
      <c r="B300" s="105"/>
      <c r="C300" s="71"/>
      <c r="D300" s="71" t="s">
        <v>188</v>
      </c>
      <c r="E300" s="72" t="s">
        <v>200</v>
      </c>
      <c r="F300" s="73" t="s">
        <v>853</v>
      </c>
      <c r="G300" s="41"/>
      <c r="H300" s="42"/>
      <c r="I300" s="74"/>
      <c r="J300" s="41"/>
      <c r="K300" s="42"/>
      <c r="L300" s="74"/>
      <c r="M300" s="42">
        <v>1.84</v>
      </c>
      <c r="N300" s="42"/>
      <c r="O300" s="42"/>
      <c r="P300" s="35">
        <v>2008</v>
      </c>
      <c r="Q300" s="36" t="s">
        <v>203</v>
      </c>
      <c r="R300" s="73" t="s">
        <v>857</v>
      </c>
    </row>
    <row r="301" spans="1:429">
      <c r="B301" s="105"/>
      <c r="C301" s="71"/>
      <c r="D301" s="71"/>
      <c r="E301" s="72" t="s">
        <v>205</v>
      </c>
      <c r="F301" s="73" t="s">
        <v>854</v>
      </c>
      <c r="G301" s="41"/>
      <c r="H301" s="42"/>
      <c r="I301" s="74"/>
      <c r="J301" s="41">
        <v>2.4</v>
      </c>
      <c r="K301" s="42"/>
      <c r="L301" s="74"/>
      <c r="M301" s="42"/>
      <c r="N301" s="42"/>
      <c r="O301" s="42"/>
      <c r="P301" s="35">
        <v>2017</v>
      </c>
      <c r="Q301" s="36" t="s">
        <v>27</v>
      </c>
      <c r="R301" s="73" t="s">
        <v>24</v>
      </c>
    </row>
    <row r="302" spans="1:429">
      <c r="B302" s="105"/>
      <c r="C302" s="71"/>
      <c r="D302" s="71"/>
      <c r="E302" s="72" t="s">
        <v>858</v>
      </c>
      <c r="F302" s="73" t="s">
        <v>853</v>
      </c>
      <c r="G302" s="41"/>
      <c r="H302" s="42"/>
      <c r="I302" s="74"/>
      <c r="J302" s="41">
        <v>52.3</v>
      </c>
      <c r="K302" s="42">
        <v>72</v>
      </c>
      <c r="L302" s="74">
        <v>32.6</v>
      </c>
      <c r="M302" s="42"/>
      <c r="N302" s="42"/>
      <c r="O302" s="42"/>
      <c r="P302" s="35">
        <v>2006</v>
      </c>
      <c r="Q302" s="36" t="s">
        <v>41</v>
      </c>
      <c r="R302" s="73" t="s">
        <v>859</v>
      </c>
    </row>
    <row r="303" spans="1:429" s="48" customFormat="1">
      <c r="A303" s="113"/>
      <c r="B303" s="105"/>
      <c r="C303" s="71" t="s">
        <v>231</v>
      </c>
      <c r="D303" s="71" t="s">
        <v>257</v>
      </c>
      <c r="E303" s="72" t="s">
        <v>269</v>
      </c>
      <c r="F303" s="73" t="s">
        <v>860</v>
      </c>
      <c r="G303" s="41">
        <v>8</v>
      </c>
      <c r="H303" s="42">
        <v>11.7</v>
      </c>
      <c r="I303" s="74">
        <v>4.5</v>
      </c>
      <c r="J303" s="41">
        <v>0.9</v>
      </c>
      <c r="K303" s="42">
        <v>1.4</v>
      </c>
      <c r="L303" s="74">
        <v>0.5</v>
      </c>
      <c r="M303" s="42"/>
      <c r="N303" s="42"/>
      <c r="O303" s="42"/>
      <c r="P303" s="35">
        <v>2023</v>
      </c>
      <c r="Q303" s="36" t="s">
        <v>144</v>
      </c>
      <c r="R303" s="73" t="s">
        <v>24</v>
      </c>
      <c r="S303" s="113"/>
      <c r="T303" s="113"/>
      <c r="U303" s="113"/>
      <c r="V303" s="113"/>
      <c r="W303" s="113"/>
      <c r="X303" s="113"/>
      <c r="Y303" s="113"/>
      <c r="Z303" s="113"/>
      <c r="AA303" s="113"/>
      <c r="AB303" s="113"/>
      <c r="AC303" s="113"/>
      <c r="AD303" s="113"/>
      <c r="AE303" s="113"/>
      <c r="AF303" s="113"/>
      <c r="AG303" s="113"/>
      <c r="AH303" s="113"/>
      <c r="AI303" s="113"/>
      <c r="AJ303" s="113"/>
      <c r="AK303" s="113"/>
      <c r="AL303" s="113"/>
      <c r="AM303" s="113"/>
      <c r="AN303" s="113"/>
      <c r="AO303" s="113"/>
      <c r="AP303" s="113"/>
      <c r="AQ303" s="113"/>
      <c r="AR303" s="113"/>
      <c r="AS303" s="113"/>
      <c r="AT303" s="113"/>
      <c r="AU303" s="113"/>
      <c r="AV303" s="113"/>
      <c r="AW303" s="113"/>
      <c r="AX303" s="113"/>
      <c r="AY303" s="113"/>
      <c r="AZ303" s="113"/>
      <c r="BA303" s="113"/>
      <c r="BB303" s="113"/>
      <c r="BC303" s="113"/>
      <c r="BD303" s="113"/>
      <c r="BE303" s="113"/>
      <c r="BF303" s="113"/>
      <c r="BG303" s="113"/>
      <c r="BH303" s="113"/>
      <c r="BI303" s="113"/>
      <c r="BJ303" s="113"/>
      <c r="BK303" s="113"/>
      <c r="BL303" s="113"/>
      <c r="BM303" s="113"/>
      <c r="BN303" s="113"/>
      <c r="BO303" s="113"/>
      <c r="BP303" s="113"/>
      <c r="BQ303" s="113"/>
      <c r="BR303" s="113"/>
      <c r="BS303" s="113"/>
      <c r="BT303" s="113"/>
      <c r="BU303" s="113"/>
      <c r="BV303" s="113"/>
      <c r="BW303" s="113"/>
      <c r="BX303" s="113"/>
      <c r="BY303" s="113"/>
      <c r="BZ303" s="113"/>
      <c r="CA303" s="113"/>
      <c r="CB303" s="113"/>
      <c r="CC303" s="113"/>
      <c r="CD303" s="113"/>
      <c r="CE303" s="113"/>
      <c r="CF303" s="113"/>
      <c r="CG303" s="113"/>
      <c r="CH303" s="113"/>
      <c r="CI303" s="113"/>
      <c r="CJ303" s="113"/>
      <c r="CK303" s="113"/>
      <c r="CL303" s="113"/>
      <c r="CM303" s="113"/>
      <c r="CN303" s="113"/>
      <c r="CO303" s="113"/>
      <c r="CP303" s="113"/>
      <c r="CQ303" s="113"/>
      <c r="CR303" s="113"/>
      <c r="CS303" s="113"/>
      <c r="CT303" s="113"/>
      <c r="CU303" s="113"/>
      <c r="CV303" s="113"/>
      <c r="CW303" s="113"/>
      <c r="CX303" s="113"/>
      <c r="CY303" s="113"/>
      <c r="CZ303" s="113"/>
      <c r="DA303" s="113"/>
      <c r="DB303" s="113"/>
      <c r="DC303" s="113"/>
      <c r="DD303" s="113"/>
      <c r="DE303" s="113"/>
      <c r="DF303" s="113"/>
      <c r="DG303" s="113"/>
      <c r="DH303" s="113"/>
      <c r="DI303" s="113"/>
      <c r="DJ303" s="113"/>
      <c r="DK303" s="113"/>
      <c r="DL303" s="113"/>
      <c r="DM303" s="113"/>
      <c r="DN303" s="113"/>
      <c r="DO303" s="113"/>
      <c r="DP303" s="113"/>
      <c r="DQ303" s="113"/>
      <c r="DR303" s="113"/>
      <c r="DS303" s="113"/>
      <c r="DT303" s="113"/>
      <c r="DU303" s="113"/>
      <c r="DV303" s="113"/>
      <c r="DW303" s="113"/>
      <c r="DX303" s="113"/>
      <c r="DY303" s="113"/>
      <c r="DZ303" s="113"/>
      <c r="EA303" s="113"/>
      <c r="EB303" s="113"/>
      <c r="EC303" s="113"/>
      <c r="ED303" s="113"/>
      <c r="EE303" s="113"/>
      <c r="EF303" s="113"/>
      <c r="EG303" s="113"/>
      <c r="EH303" s="113"/>
      <c r="EI303" s="113"/>
      <c r="EJ303" s="113"/>
      <c r="EK303" s="113"/>
      <c r="EL303" s="113"/>
      <c r="EM303" s="113"/>
      <c r="EN303" s="113"/>
      <c r="EO303" s="113"/>
      <c r="EP303" s="113"/>
      <c r="EQ303" s="113"/>
      <c r="ER303" s="113"/>
      <c r="ES303" s="113"/>
      <c r="ET303" s="113"/>
      <c r="EU303" s="113"/>
      <c r="EV303" s="113"/>
      <c r="EW303" s="113"/>
      <c r="EX303" s="113"/>
      <c r="EY303" s="113"/>
      <c r="EZ303" s="113"/>
      <c r="FA303" s="113"/>
      <c r="FB303" s="113"/>
      <c r="FC303" s="113"/>
      <c r="FD303" s="113"/>
      <c r="FE303" s="113"/>
      <c r="FF303" s="113"/>
      <c r="FG303" s="113"/>
      <c r="FH303" s="113"/>
      <c r="FI303" s="113"/>
      <c r="FJ303" s="113"/>
      <c r="FK303" s="113"/>
      <c r="FL303" s="113"/>
      <c r="FM303" s="113"/>
      <c r="FN303" s="113"/>
      <c r="FO303" s="113"/>
      <c r="FP303" s="113"/>
      <c r="FQ303" s="113"/>
      <c r="FR303" s="113"/>
      <c r="FS303" s="113"/>
      <c r="FT303" s="113"/>
      <c r="FU303" s="113"/>
      <c r="FV303" s="113"/>
      <c r="FW303" s="113"/>
      <c r="FX303" s="113"/>
      <c r="FY303" s="113"/>
      <c r="FZ303" s="113"/>
      <c r="GA303" s="113"/>
      <c r="GB303" s="113"/>
      <c r="GC303" s="113"/>
      <c r="GD303" s="113"/>
      <c r="GE303" s="113"/>
      <c r="GF303" s="113"/>
      <c r="GG303" s="113"/>
      <c r="GH303" s="113"/>
      <c r="GI303" s="113"/>
      <c r="GJ303" s="113"/>
      <c r="GK303" s="113"/>
      <c r="GL303" s="113"/>
      <c r="GM303" s="113"/>
      <c r="GN303" s="113"/>
      <c r="GO303" s="113"/>
      <c r="GP303" s="113"/>
      <c r="GQ303" s="113"/>
      <c r="GR303" s="113"/>
      <c r="GS303" s="113"/>
      <c r="GT303" s="113"/>
      <c r="GU303" s="113"/>
      <c r="GV303" s="113"/>
      <c r="GW303" s="113"/>
      <c r="GX303" s="113"/>
      <c r="GY303" s="113"/>
      <c r="GZ303" s="113"/>
      <c r="HA303" s="113"/>
      <c r="HB303" s="113"/>
      <c r="HC303" s="113"/>
      <c r="HD303" s="113"/>
      <c r="HE303" s="113"/>
      <c r="HF303" s="113"/>
      <c r="HG303" s="113"/>
      <c r="HH303" s="113"/>
      <c r="HI303" s="113"/>
      <c r="HJ303" s="113"/>
      <c r="HK303" s="113"/>
      <c r="HL303" s="113"/>
      <c r="HM303" s="113"/>
      <c r="HN303" s="113"/>
      <c r="HO303" s="113"/>
      <c r="HP303" s="113"/>
      <c r="HQ303" s="113"/>
      <c r="HR303" s="113"/>
      <c r="HS303" s="113"/>
      <c r="HT303" s="113"/>
      <c r="HU303" s="113"/>
      <c r="HV303" s="113"/>
      <c r="HW303" s="113"/>
      <c r="HX303" s="113"/>
      <c r="HY303" s="113"/>
      <c r="HZ303" s="113"/>
      <c r="IA303" s="113"/>
      <c r="IB303" s="113"/>
      <c r="IC303" s="113"/>
      <c r="ID303" s="113"/>
      <c r="IE303" s="113"/>
      <c r="IF303" s="113"/>
      <c r="IG303" s="113"/>
      <c r="IH303" s="113"/>
      <c r="II303" s="113"/>
      <c r="IJ303" s="113"/>
      <c r="IK303" s="113"/>
      <c r="IL303" s="113"/>
      <c r="IM303" s="113"/>
      <c r="IN303" s="113"/>
      <c r="IO303" s="113"/>
      <c r="IP303" s="113"/>
      <c r="IQ303" s="113"/>
      <c r="IR303" s="113"/>
      <c r="IS303" s="113"/>
      <c r="IT303" s="113"/>
      <c r="IU303" s="113"/>
      <c r="IV303" s="113"/>
      <c r="IW303" s="113"/>
      <c r="IX303" s="113"/>
      <c r="IY303" s="113"/>
      <c r="IZ303" s="113"/>
      <c r="JA303" s="113"/>
      <c r="JB303" s="113"/>
      <c r="JC303" s="113"/>
      <c r="JD303" s="113"/>
      <c r="JE303" s="113"/>
      <c r="JF303" s="113"/>
      <c r="JG303" s="113"/>
      <c r="JH303" s="113"/>
      <c r="JI303" s="113"/>
      <c r="JJ303" s="113"/>
      <c r="JK303" s="113"/>
      <c r="JL303" s="113"/>
      <c r="JM303" s="113"/>
      <c r="JN303" s="113"/>
      <c r="JO303" s="113"/>
      <c r="JP303" s="113"/>
      <c r="JQ303" s="113"/>
      <c r="JR303" s="113"/>
      <c r="JS303" s="113"/>
      <c r="JT303" s="113"/>
      <c r="JU303" s="113"/>
      <c r="JV303" s="113"/>
      <c r="JW303" s="113"/>
      <c r="JX303" s="113"/>
      <c r="JY303" s="113"/>
      <c r="JZ303" s="113"/>
      <c r="KA303" s="113"/>
      <c r="KB303" s="113"/>
      <c r="KC303" s="113"/>
      <c r="KD303" s="113"/>
      <c r="KE303" s="113"/>
      <c r="KF303" s="113"/>
      <c r="KG303" s="113"/>
      <c r="KH303" s="113"/>
      <c r="KI303" s="113"/>
      <c r="KJ303" s="113"/>
      <c r="KK303" s="113"/>
      <c r="KL303" s="113"/>
      <c r="KM303" s="113"/>
      <c r="KN303" s="113"/>
      <c r="KO303" s="113"/>
      <c r="KP303" s="113"/>
      <c r="KQ303" s="113"/>
      <c r="KR303" s="113"/>
      <c r="KS303" s="113"/>
      <c r="KT303" s="113"/>
      <c r="KU303" s="113"/>
      <c r="KV303" s="113"/>
      <c r="KW303" s="113"/>
      <c r="KX303" s="113"/>
      <c r="KY303" s="113"/>
      <c r="KZ303" s="113"/>
      <c r="LA303" s="113"/>
      <c r="LB303" s="113"/>
      <c r="LC303" s="113"/>
      <c r="LD303" s="113"/>
      <c r="LE303" s="113"/>
      <c r="LF303" s="113"/>
      <c r="LG303" s="113"/>
      <c r="LH303" s="113"/>
      <c r="LI303" s="113"/>
      <c r="LJ303" s="113"/>
      <c r="LK303" s="113"/>
      <c r="LL303" s="113"/>
      <c r="LM303" s="113"/>
      <c r="LN303" s="113"/>
      <c r="LO303" s="113"/>
      <c r="LP303" s="113"/>
      <c r="LQ303" s="113"/>
      <c r="LR303" s="113"/>
      <c r="LS303" s="113"/>
      <c r="LT303" s="113"/>
      <c r="LU303" s="113"/>
      <c r="LV303" s="113"/>
      <c r="LW303" s="113"/>
      <c r="LX303" s="113"/>
      <c r="LY303" s="113"/>
      <c r="LZ303" s="113"/>
      <c r="MA303" s="113"/>
      <c r="MB303" s="113"/>
      <c r="MC303" s="113"/>
      <c r="MD303" s="113"/>
      <c r="ME303" s="113"/>
      <c r="MF303" s="113"/>
      <c r="MG303" s="113"/>
      <c r="MH303" s="113"/>
      <c r="MI303" s="113"/>
      <c r="MJ303" s="113"/>
      <c r="MK303" s="113"/>
      <c r="ML303" s="113"/>
      <c r="MM303" s="113"/>
      <c r="MN303" s="113"/>
      <c r="MO303" s="113"/>
      <c r="MP303" s="113"/>
      <c r="MQ303" s="113"/>
      <c r="MR303" s="113"/>
      <c r="MS303" s="113"/>
      <c r="MT303" s="113"/>
      <c r="MU303" s="113"/>
      <c r="MV303" s="113"/>
      <c r="MW303" s="113"/>
      <c r="MX303" s="113"/>
      <c r="MY303" s="113"/>
      <c r="MZ303" s="113"/>
      <c r="NA303" s="113"/>
      <c r="NB303" s="113"/>
      <c r="NC303" s="113"/>
      <c r="ND303" s="113"/>
      <c r="NE303" s="113"/>
      <c r="NF303" s="113"/>
      <c r="NG303" s="113"/>
      <c r="NH303" s="113"/>
      <c r="NI303" s="113"/>
      <c r="NJ303" s="113"/>
      <c r="NK303" s="113"/>
      <c r="NL303" s="113"/>
      <c r="NM303" s="113"/>
      <c r="NN303" s="113"/>
      <c r="NO303" s="113"/>
      <c r="NP303" s="113"/>
      <c r="NQ303" s="113"/>
      <c r="NR303" s="113"/>
      <c r="NS303" s="113"/>
      <c r="NT303" s="113"/>
      <c r="NU303" s="113"/>
      <c r="NV303" s="113"/>
      <c r="NW303" s="113"/>
      <c r="NX303" s="113"/>
      <c r="NY303" s="113"/>
      <c r="NZ303" s="113"/>
      <c r="OA303" s="113"/>
      <c r="OB303" s="113"/>
      <c r="OC303" s="113"/>
      <c r="OD303" s="113"/>
      <c r="OE303" s="113"/>
      <c r="OF303" s="113"/>
      <c r="OG303" s="113"/>
      <c r="OH303" s="113"/>
      <c r="OI303" s="113"/>
      <c r="OJ303" s="113"/>
      <c r="OK303" s="113"/>
      <c r="OL303" s="113"/>
      <c r="OM303" s="113"/>
      <c r="ON303" s="113"/>
      <c r="OO303" s="113"/>
      <c r="OP303" s="113"/>
      <c r="OQ303" s="113"/>
      <c r="OR303" s="113"/>
      <c r="OS303" s="113"/>
      <c r="OT303" s="113"/>
      <c r="OU303" s="113"/>
      <c r="OV303" s="113"/>
      <c r="OW303" s="113"/>
      <c r="OX303" s="113"/>
      <c r="OY303" s="113"/>
      <c r="OZ303" s="113"/>
      <c r="PA303" s="113"/>
      <c r="PB303" s="113"/>
      <c r="PC303" s="113"/>
      <c r="PD303" s="113"/>
      <c r="PE303" s="113"/>
      <c r="PF303" s="113"/>
      <c r="PG303" s="113"/>
      <c r="PH303" s="113"/>
      <c r="PI303" s="113"/>
      <c r="PJ303" s="113"/>
      <c r="PK303" s="113"/>
      <c r="PL303" s="113"/>
      <c r="PM303" s="113"/>
    </row>
    <row r="304" spans="1:429" s="48" customFormat="1">
      <c r="A304" s="113"/>
      <c r="B304" s="105"/>
      <c r="C304" s="71"/>
      <c r="D304" s="71"/>
      <c r="E304" s="72" t="s">
        <v>286</v>
      </c>
      <c r="F304" s="73" t="s">
        <v>860</v>
      </c>
      <c r="G304" s="41">
        <v>6.8</v>
      </c>
      <c r="H304" s="42">
        <v>9.4</v>
      </c>
      <c r="I304" s="74">
        <v>4.3</v>
      </c>
      <c r="J304" s="41">
        <v>1.3</v>
      </c>
      <c r="K304" s="42">
        <v>1.7</v>
      </c>
      <c r="L304" s="74">
        <v>0.8</v>
      </c>
      <c r="M304" s="42">
        <v>0.3</v>
      </c>
      <c r="N304" s="42">
        <v>0.4</v>
      </c>
      <c r="O304" s="42">
        <v>0.2</v>
      </c>
      <c r="P304" s="35">
        <v>2023</v>
      </c>
      <c r="Q304" s="36" t="s">
        <v>27</v>
      </c>
      <c r="R304" s="73" t="s">
        <v>24</v>
      </c>
      <c r="S304" s="113"/>
      <c r="T304" s="113"/>
      <c r="U304" s="113"/>
      <c r="V304" s="113"/>
      <c r="W304" s="113"/>
      <c r="X304" s="113"/>
      <c r="Y304" s="113"/>
      <c r="Z304" s="113"/>
      <c r="AA304" s="113"/>
      <c r="AB304" s="113"/>
      <c r="AC304" s="113"/>
      <c r="AD304" s="113"/>
      <c r="AE304" s="113"/>
      <c r="AF304" s="113"/>
      <c r="AG304" s="113"/>
      <c r="AH304" s="113"/>
      <c r="AI304" s="113"/>
      <c r="AJ304" s="113"/>
      <c r="AK304" s="113"/>
      <c r="AL304" s="113"/>
      <c r="AM304" s="113"/>
      <c r="AN304" s="113"/>
      <c r="AO304" s="113"/>
      <c r="AP304" s="113"/>
      <c r="AQ304" s="113"/>
      <c r="AR304" s="113"/>
      <c r="AS304" s="113"/>
      <c r="AT304" s="113"/>
      <c r="AU304" s="113"/>
      <c r="AV304" s="113"/>
      <c r="AW304" s="113"/>
      <c r="AX304" s="113"/>
      <c r="AY304" s="113"/>
      <c r="AZ304" s="113"/>
      <c r="BA304" s="113"/>
      <c r="BB304" s="113"/>
      <c r="BC304" s="113"/>
      <c r="BD304" s="113"/>
      <c r="BE304" s="113"/>
      <c r="BF304" s="113"/>
      <c r="BG304" s="113"/>
      <c r="BH304" s="113"/>
      <c r="BI304" s="113"/>
      <c r="BJ304" s="113"/>
      <c r="BK304" s="113"/>
      <c r="BL304" s="113"/>
      <c r="BM304" s="113"/>
      <c r="BN304" s="113"/>
      <c r="BO304" s="113"/>
      <c r="BP304" s="113"/>
      <c r="BQ304" s="113"/>
      <c r="BR304" s="113"/>
      <c r="BS304" s="113"/>
      <c r="BT304" s="113"/>
      <c r="BU304" s="113"/>
      <c r="BV304" s="113"/>
      <c r="BW304" s="113"/>
      <c r="BX304" s="113"/>
      <c r="BY304" s="113"/>
      <c r="BZ304" s="113"/>
      <c r="CA304" s="113"/>
      <c r="CB304" s="113"/>
      <c r="CC304" s="113"/>
      <c r="CD304" s="113"/>
      <c r="CE304" s="113"/>
      <c r="CF304" s="113"/>
      <c r="CG304" s="113"/>
      <c r="CH304" s="113"/>
      <c r="CI304" s="113"/>
      <c r="CJ304" s="113"/>
      <c r="CK304" s="113"/>
      <c r="CL304" s="113"/>
      <c r="CM304" s="113"/>
      <c r="CN304" s="113"/>
      <c r="CO304" s="113"/>
      <c r="CP304" s="113"/>
      <c r="CQ304" s="113"/>
      <c r="CR304" s="113"/>
      <c r="CS304" s="113"/>
      <c r="CT304" s="113"/>
      <c r="CU304" s="113"/>
      <c r="CV304" s="113"/>
      <c r="CW304" s="113"/>
      <c r="CX304" s="113"/>
      <c r="CY304" s="113"/>
      <c r="CZ304" s="113"/>
      <c r="DA304" s="113"/>
      <c r="DB304" s="113"/>
      <c r="DC304" s="113"/>
      <c r="DD304" s="113"/>
      <c r="DE304" s="113"/>
      <c r="DF304" s="113"/>
      <c r="DG304" s="113"/>
      <c r="DH304" s="113"/>
      <c r="DI304" s="113"/>
      <c r="DJ304" s="113"/>
      <c r="DK304" s="113"/>
      <c r="DL304" s="113"/>
      <c r="DM304" s="113"/>
      <c r="DN304" s="113"/>
      <c r="DO304" s="113"/>
      <c r="DP304" s="113"/>
      <c r="DQ304" s="113"/>
      <c r="DR304" s="113"/>
      <c r="DS304" s="113"/>
      <c r="DT304" s="113"/>
      <c r="DU304" s="113"/>
      <c r="DV304" s="113"/>
      <c r="DW304" s="113"/>
      <c r="DX304" s="113"/>
      <c r="DY304" s="113"/>
      <c r="DZ304" s="113"/>
      <c r="EA304" s="113"/>
      <c r="EB304" s="113"/>
      <c r="EC304" s="113"/>
      <c r="ED304" s="113"/>
      <c r="EE304" s="113"/>
      <c r="EF304" s="113"/>
      <c r="EG304" s="113"/>
      <c r="EH304" s="113"/>
      <c r="EI304" s="113"/>
      <c r="EJ304" s="113"/>
      <c r="EK304" s="113"/>
      <c r="EL304" s="113"/>
      <c r="EM304" s="113"/>
      <c r="EN304" s="113"/>
      <c r="EO304" s="113"/>
      <c r="EP304" s="113"/>
      <c r="EQ304" s="113"/>
      <c r="ER304" s="113"/>
      <c r="ES304" s="113"/>
      <c r="ET304" s="113"/>
      <c r="EU304" s="113"/>
      <c r="EV304" s="113"/>
      <c r="EW304" s="113"/>
      <c r="EX304" s="113"/>
      <c r="EY304" s="113"/>
      <c r="EZ304" s="113"/>
      <c r="FA304" s="113"/>
      <c r="FB304" s="113"/>
      <c r="FC304" s="113"/>
      <c r="FD304" s="113"/>
      <c r="FE304" s="113"/>
      <c r="FF304" s="113"/>
      <c r="FG304" s="113"/>
      <c r="FH304" s="113"/>
      <c r="FI304" s="113"/>
      <c r="FJ304" s="113"/>
      <c r="FK304" s="113"/>
      <c r="FL304" s="113"/>
      <c r="FM304" s="113"/>
      <c r="FN304" s="113"/>
      <c r="FO304" s="113"/>
      <c r="FP304" s="113"/>
      <c r="FQ304" s="113"/>
      <c r="FR304" s="113"/>
      <c r="FS304" s="113"/>
      <c r="FT304" s="113"/>
      <c r="FU304" s="113"/>
      <c r="FV304" s="113"/>
      <c r="FW304" s="113"/>
      <c r="FX304" s="113"/>
      <c r="FY304" s="113"/>
      <c r="FZ304" s="113"/>
      <c r="GA304" s="113"/>
      <c r="GB304" s="113"/>
      <c r="GC304" s="113"/>
      <c r="GD304" s="113"/>
      <c r="GE304" s="113"/>
      <c r="GF304" s="113"/>
      <c r="GG304" s="113"/>
      <c r="GH304" s="113"/>
      <c r="GI304" s="113"/>
      <c r="GJ304" s="113"/>
      <c r="GK304" s="113"/>
      <c r="GL304" s="113"/>
      <c r="GM304" s="113"/>
      <c r="GN304" s="113"/>
      <c r="GO304" s="113"/>
      <c r="GP304" s="113"/>
      <c r="GQ304" s="113"/>
      <c r="GR304" s="113"/>
      <c r="GS304" s="113"/>
      <c r="GT304" s="113"/>
      <c r="GU304" s="113"/>
      <c r="GV304" s="113"/>
      <c r="GW304" s="113"/>
      <c r="GX304" s="113"/>
      <c r="GY304" s="113"/>
      <c r="GZ304" s="113"/>
      <c r="HA304" s="113"/>
      <c r="HB304" s="113"/>
      <c r="HC304" s="113"/>
      <c r="HD304" s="113"/>
      <c r="HE304" s="113"/>
      <c r="HF304" s="113"/>
      <c r="HG304" s="113"/>
      <c r="HH304" s="113"/>
      <c r="HI304" s="113"/>
      <c r="HJ304" s="113"/>
      <c r="HK304" s="113"/>
      <c r="HL304" s="113"/>
      <c r="HM304" s="113"/>
      <c r="HN304" s="113"/>
      <c r="HO304" s="113"/>
      <c r="HP304" s="113"/>
      <c r="HQ304" s="113"/>
      <c r="HR304" s="113"/>
      <c r="HS304" s="113"/>
      <c r="HT304" s="113"/>
      <c r="HU304" s="113"/>
      <c r="HV304" s="113"/>
      <c r="HW304" s="113"/>
      <c r="HX304" s="113"/>
      <c r="HY304" s="113"/>
      <c r="HZ304" s="113"/>
      <c r="IA304" s="113"/>
      <c r="IB304" s="113"/>
      <c r="IC304" s="113"/>
      <c r="ID304" s="113"/>
      <c r="IE304" s="113"/>
      <c r="IF304" s="113"/>
      <c r="IG304" s="113"/>
      <c r="IH304" s="113"/>
      <c r="II304" s="113"/>
      <c r="IJ304" s="113"/>
      <c r="IK304" s="113"/>
      <c r="IL304" s="113"/>
      <c r="IM304" s="113"/>
      <c r="IN304" s="113"/>
      <c r="IO304" s="113"/>
      <c r="IP304" s="113"/>
      <c r="IQ304" s="113"/>
      <c r="IR304" s="113"/>
      <c r="IS304" s="113"/>
      <c r="IT304" s="113"/>
      <c r="IU304" s="113"/>
      <c r="IV304" s="113"/>
      <c r="IW304" s="113"/>
      <c r="IX304" s="113"/>
      <c r="IY304" s="113"/>
      <c r="IZ304" s="113"/>
      <c r="JA304" s="113"/>
      <c r="JB304" s="113"/>
      <c r="JC304" s="113"/>
      <c r="JD304" s="113"/>
      <c r="JE304" s="113"/>
      <c r="JF304" s="113"/>
      <c r="JG304" s="113"/>
      <c r="JH304" s="113"/>
      <c r="JI304" s="113"/>
      <c r="JJ304" s="113"/>
      <c r="JK304" s="113"/>
      <c r="JL304" s="113"/>
      <c r="JM304" s="113"/>
      <c r="JN304" s="113"/>
      <c r="JO304" s="113"/>
      <c r="JP304" s="113"/>
      <c r="JQ304" s="113"/>
      <c r="JR304" s="113"/>
      <c r="JS304" s="113"/>
      <c r="JT304" s="113"/>
      <c r="JU304" s="113"/>
      <c r="JV304" s="113"/>
      <c r="JW304" s="113"/>
      <c r="JX304" s="113"/>
      <c r="JY304" s="113"/>
      <c r="JZ304" s="113"/>
      <c r="KA304" s="113"/>
      <c r="KB304" s="113"/>
      <c r="KC304" s="113"/>
      <c r="KD304" s="113"/>
      <c r="KE304" s="113"/>
      <c r="KF304" s="113"/>
      <c r="KG304" s="113"/>
      <c r="KH304" s="113"/>
      <c r="KI304" s="113"/>
      <c r="KJ304" s="113"/>
      <c r="KK304" s="113"/>
      <c r="KL304" s="113"/>
      <c r="KM304" s="113"/>
      <c r="KN304" s="113"/>
      <c r="KO304" s="113"/>
      <c r="KP304" s="113"/>
      <c r="KQ304" s="113"/>
      <c r="KR304" s="113"/>
      <c r="KS304" s="113"/>
      <c r="KT304" s="113"/>
      <c r="KU304" s="113"/>
      <c r="KV304" s="113"/>
      <c r="KW304" s="113"/>
      <c r="KX304" s="113"/>
      <c r="KY304" s="113"/>
      <c r="KZ304" s="113"/>
      <c r="LA304" s="113"/>
      <c r="LB304" s="113"/>
      <c r="LC304" s="113"/>
      <c r="LD304" s="113"/>
      <c r="LE304" s="113"/>
      <c r="LF304" s="113"/>
      <c r="LG304" s="113"/>
      <c r="LH304" s="113"/>
      <c r="LI304" s="113"/>
      <c r="LJ304" s="113"/>
      <c r="LK304" s="113"/>
      <c r="LL304" s="113"/>
      <c r="LM304" s="113"/>
      <c r="LN304" s="113"/>
      <c r="LO304" s="113"/>
      <c r="LP304" s="113"/>
      <c r="LQ304" s="113"/>
      <c r="LR304" s="113"/>
      <c r="LS304" s="113"/>
      <c r="LT304" s="113"/>
      <c r="LU304" s="113"/>
      <c r="LV304" s="113"/>
      <c r="LW304" s="113"/>
      <c r="LX304" s="113"/>
      <c r="LY304" s="113"/>
      <c r="LZ304" s="113"/>
      <c r="MA304" s="113"/>
      <c r="MB304" s="113"/>
      <c r="MC304" s="113"/>
      <c r="MD304" s="113"/>
      <c r="ME304" s="113"/>
      <c r="MF304" s="113"/>
      <c r="MG304" s="113"/>
      <c r="MH304" s="113"/>
      <c r="MI304" s="113"/>
      <c r="MJ304" s="113"/>
      <c r="MK304" s="113"/>
      <c r="ML304" s="113"/>
      <c r="MM304" s="113"/>
      <c r="MN304" s="113"/>
      <c r="MO304" s="113"/>
      <c r="MP304" s="113"/>
      <c r="MQ304" s="113"/>
      <c r="MR304" s="113"/>
      <c r="MS304" s="113"/>
      <c r="MT304" s="113"/>
      <c r="MU304" s="113"/>
      <c r="MV304" s="113"/>
      <c r="MW304" s="113"/>
      <c r="MX304" s="113"/>
      <c r="MY304" s="113"/>
      <c r="MZ304" s="113"/>
      <c r="NA304" s="113"/>
      <c r="NB304" s="113"/>
      <c r="NC304" s="113"/>
      <c r="ND304" s="113"/>
      <c r="NE304" s="113"/>
      <c r="NF304" s="113"/>
      <c r="NG304" s="113"/>
      <c r="NH304" s="113"/>
      <c r="NI304" s="113"/>
      <c r="NJ304" s="113"/>
      <c r="NK304" s="113"/>
      <c r="NL304" s="113"/>
      <c r="NM304" s="113"/>
      <c r="NN304" s="113"/>
      <c r="NO304" s="113"/>
      <c r="NP304" s="113"/>
      <c r="NQ304" s="113"/>
      <c r="NR304" s="113"/>
      <c r="NS304" s="113"/>
      <c r="NT304" s="113"/>
      <c r="NU304" s="113"/>
      <c r="NV304" s="113"/>
      <c r="NW304" s="113"/>
      <c r="NX304" s="113"/>
      <c r="NY304" s="113"/>
      <c r="NZ304" s="113"/>
      <c r="OA304" s="113"/>
      <c r="OB304" s="113"/>
      <c r="OC304" s="113"/>
      <c r="OD304" s="113"/>
      <c r="OE304" s="113"/>
      <c r="OF304" s="113"/>
      <c r="OG304" s="113"/>
      <c r="OH304" s="113"/>
      <c r="OI304" s="113"/>
      <c r="OJ304" s="113"/>
      <c r="OK304" s="113"/>
      <c r="OL304" s="113"/>
      <c r="OM304" s="113"/>
      <c r="ON304" s="113"/>
      <c r="OO304" s="113"/>
      <c r="OP304" s="113"/>
      <c r="OQ304" s="113"/>
      <c r="OR304" s="113"/>
      <c r="OS304" s="113"/>
      <c r="OT304" s="113"/>
      <c r="OU304" s="113"/>
      <c r="OV304" s="113"/>
      <c r="OW304" s="113"/>
      <c r="OX304" s="113"/>
      <c r="OY304" s="113"/>
      <c r="OZ304" s="113"/>
      <c r="PA304" s="113"/>
      <c r="PB304" s="113"/>
      <c r="PC304" s="113"/>
      <c r="PD304" s="113"/>
      <c r="PE304" s="113"/>
      <c r="PF304" s="113"/>
      <c r="PG304" s="113"/>
      <c r="PH304" s="113"/>
      <c r="PI304" s="113"/>
      <c r="PJ304" s="113"/>
      <c r="PK304" s="113"/>
      <c r="PL304" s="113"/>
      <c r="PM304" s="113"/>
    </row>
    <row r="305" spans="2:18">
      <c r="B305" s="105"/>
      <c r="C305" s="71"/>
      <c r="D305" s="71"/>
      <c r="E305" s="72" t="s">
        <v>299</v>
      </c>
      <c r="F305" s="73" t="s">
        <v>854</v>
      </c>
      <c r="G305" s="41">
        <v>0.2</v>
      </c>
      <c r="H305" s="42">
        <v>0.3</v>
      </c>
      <c r="I305" s="74">
        <v>0.1</v>
      </c>
      <c r="J305" s="41">
        <v>0</v>
      </c>
      <c r="K305" s="42">
        <v>0.1</v>
      </c>
      <c r="L305" s="74">
        <v>0</v>
      </c>
      <c r="M305" s="42">
        <v>0</v>
      </c>
      <c r="N305" s="42">
        <v>0</v>
      </c>
      <c r="O305" s="42">
        <v>0</v>
      </c>
      <c r="P305" s="35">
        <v>2017</v>
      </c>
      <c r="Q305" s="36" t="s">
        <v>27</v>
      </c>
      <c r="R305" s="73" t="s">
        <v>842</v>
      </c>
    </row>
    <row r="306" spans="2:18">
      <c r="B306" s="105"/>
      <c r="C306" s="71"/>
      <c r="D306" s="71"/>
      <c r="E306" s="72" t="s">
        <v>299</v>
      </c>
      <c r="F306" s="73" t="s">
        <v>854</v>
      </c>
      <c r="G306" s="41">
        <v>0.5</v>
      </c>
      <c r="H306" s="42">
        <v>0.8</v>
      </c>
      <c r="I306" s="74">
        <v>0.1</v>
      </c>
      <c r="J306" s="41">
        <v>0.1</v>
      </c>
      <c r="K306" s="42">
        <v>0.2</v>
      </c>
      <c r="L306" s="74">
        <v>0</v>
      </c>
      <c r="M306" s="42">
        <v>0.1</v>
      </c>
      <c r="N306" s="42">
        <v>0.1</v>
      </c>
      <c r="O306" s="42">
        <v>0</v>
      </c>
      <c r="P306" s="35">
        <v>2015</v>
      </c>
      <c r="Q306" s="36" t="s">
        <v>27</v>
      </c>
      <c r="R306" s="73" t="s">
        <v>843</v>
      </c>
    </row>
    <row r="307" spans="2:18">
      <c r="B307" s="105"/>
      <c r="C307" s="71"/>
      <c r="D307" s="71"/>
      <c r="E307" s="72" t="s">
        <v>299</v>
      </c>
      <c r="F307" s="73" t="s">
        <v>854</v>
      </c>
      <c r="G307" s="41">
        <v>0.9</v>
      </c>
      <c r="H307" s="42">
        <v>1.3</v>
      </c>
      <c r="I307" s="74">
        <v>0.4</v>
      </c>
      <c r="J307" s="41">
        <v>0.2</v>
      </c>
      <c r="K307" s="42">
        <v>0.3</v>
      </c>
      <c r="L307" s="74">
        <v>0.1</v>
      </c>
      <c r="M307" s="42">
        <v>0.1</v>
      </c>
      <c r="N307" s="42">
        <v>0.2</v>
      </c>
      <c r="O307" s="42">
        <v>0.1</v>
      </c>
      <c r="P307" s="35">
        <v>2011</v>
      </c>
      <c r="Q307" s="36" t="s">
        <v>27</v>
      </c>
      <c r="R307" s="73" t="s">
        <v>427</v>
      </c>
    </row>
    <row r="308" spans="2:18">
      <c r="B308" s="105"/>
      <c r="C308" s="71"/>
      <c r="D308" s="71"/>
      <c r="E308" s="72" t="s">
        <v>299</v>
      </c>
      <c r="F308" s="73" t="s">
        <v>854</v>
      </c>
      <c r="G308" s="41">
        <v>0.5</v>
      </c>
      <c r="H308" s="42">
        <v>0.8</v>
      </c>
      <c r="I308" s="74">
        <v>0.2</v>
      </c>
      <c r="J308" s="41">
        <v>0.1</v>
      </c>
      <c r="K308" s="42">
        <v>0.2</v>
      </c>
      <c r="L308" s="74">
        <v>0</v>
      </c>
      <c r="M308" s="42">
        <v>0</v>
      </c>
      <c r="N308" s="42">
        <v>0.1</v>
      </c>
      <c r="O308" s="42">
        <v>0</v>
      </c>
      <c r="P308" s="35">
        <v>2013</v>
      </c>
      <c r="Q308" s="36" t="s">
        <v>27</v>
      </c>
      <c r="R308" s="73" t="s">
        <v>427</v>
      </c>
    </row>
    <row r="309" spans="2:18">
      <c r="B309" s="105"/>
      <c r="C309" s="71"/>
      <c r="D309" s="71"/>
      <c r="E309" s="72" t="s">
        <v>305</v>
      </c>
      <c r="F309" s="73" t="s">
        <v>853</v>
      </c>
      <c r="G309" s="41"/>
      <c r="H309" s="42"/>
      <c r="I309" s="74"/>
      <c r="J309" s="41">
        <v>0.06</v>
      </c>
      <c r="K309" s="42"/>
      <c r="L309" s="74"/>
      <c r="M309" s="42"/>
      <c r="N309" s="42"/>
      <c r="O309" s="42"/>
      <c r="P309" s="35" t="s">
        <v>797</v>
      </c>
      <c r="Q309" s="36" t="s">
        <v>306</v>
      </c>
      <c r="R309" s="73" t="s">
        <v>861</v>
      </c>
    </row>
    <row r="310" spans="2:18">
      <c r="B310" s="105"/>
      <c r="C310" s="71"/>
      <c r="D310" s="71"/>
      <c r="E310" s="72" t="s">
        <v>305</v>
      </c>
      <c r="F310" s="73" t="s">
        <v>853</v>
      </c>
      <c r="G310" s="41"/>
      <c r="H310" s="42"/>
      <c r="I310" s="74"/>
      <c r="J310" s="41">
        <v>0.04</v>
      </c>
      <c r="K310" s="42"/>
      <c r="L310" s="74"/>
      <c r="M310" s="42"/>
      <c r="N310" s="42"/>
      <c r="O310" s="42"/>
      <c r="P310" s="35" t="s">
        <v>790</v>
      </c>
      <c r="Q310" s="36" t="s">
        <v>306</v>
      </c>
      <c r="R310" s="73" t="s">
        <v>24</v>
      </c>
    </row>
    <row r="311" spans="2:18">
      <c r="B311" s="105"/>
      <c r="C311" s="71"/>
      <c r="D311" s="71"/>
      <c r="E311" s="72" t="s">
        <v>305</v>
      </c>
      <c r="F311" s="73" t="s">
        <v>853</v>
      </c>
      <c r="G311" s="41"/>
      <c r="H311" s="42"/>
      <c r="I311" s="74"/>
      <c r="J311" s="41">
        <v>0.2</v>
      </c>
      <c r="K311" s="42"/>
      <c r="L311" s="74"/>
      <c r="M311" s="42"/>
      <c r="N311" s="42"/>
      <c r="O311" s="42"/>
      <c r="P311" s="35" t="s">
        <v>762</v>
      </c>
      <c r="Q311" s="36" t="s">
        <v>306</v>
      </c>
      <c r="R311" s="73" t="s">
        <v>769</v>
      </c>
    </row>
    <row r="312" spans="2:18">
      <c r="B312" s="105"/>
      <c r="C312" s="71"/>
      <c r="D312" s="71"/>
      <c r="E312" s="72" t="s">
        <v>305</v>
      </c>
      <c r="F312" s="73" t="s">
        <v>854</v>
      </c>
      <c r="G312" s="41"/>
      <c r="H312" s="42"/>
      <c r="I312" s="74"/>
      <c r="J312" s="41">
        <v>0.49</v>
      </c>
      <c r="K312" s="42"/>
      <c r="L312" s="74"/>
      <c r="M312" s="42"/>
      <c r="N312" s="42"/>
      <c r="O312" s="42"/>
      <c r="P312" s="35" t="s">
        <v>800</v>
      </c>
      <c r="Q312" s="36" t="s">
        <v>306</v>
      </c>
      <c r="R312" s="73" t="s">
        <v>862</v>
      </c>
    </row>
    <row r="313" spans="2:18">
      <c r="B313" s="105"/>
      <c r="C313" s="71"/>
      <c r="D313" s="71"/>
      <c r="E313" s="72" t="s">
        <v>305</v>
      </c>
      <c r="F313" s="73" t="s">
        <v>854</v>
      </c>
      <c r="G313" s="41"/>
      <c r="H313" s="42"/>
      <c r="I313" s="74"/>
      <c r="J313" s="41">
        <v>0.3</v>
      </c>
      <c r="K313" s="42"/>
      <c r="L313" s="74"/>
      <c r="M313" s="42"/>
      <c r="N313" s="42"/>
      <c r="O313" s="42"/>
      <c r="P313" s="35" t="s">
        <v>802</v>
      </c>
      <c r="Q313" s="36" t="s">
        <v>306</v>
      </c>
      <c r="R313" s="73" t="s">
        <v>863</v>
      </c>
    </row>
  </sheetData>
  <mergeCells count="6">
    <mergeCell ref="B1:R1"/>
    <mergeCell ref="B2:R2"/>
    <mergeCell ref="B283:B313"/>
    <mergeCell ref="B5:B56"/>
    <mergeCell ref="B57:B164"/>
    <mergeCell ref="B165:B28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C2ACFA87F550418D225E071F542ADA" ma:contentTypeVersion="24" ma:contentTypeDescription="Create a new document." ma:contentTypeScope="" ma:versionID="4acc3459a9e5a8b946124cbee06b9a52">
  <xsd:schema xmlns:xsd="http://www.w3.org/2001/XMLSchema" xmlns:xs="http://www.w3.org/2001/XMLSchema" xmlns:p="http://schemas.microsoft.com/office/2006/metadata/properties" xmlns:ns2="8bde3967-4b29-49c8-add0-1b77de203898" xmlns:ns3="0f1cb922-524b-4a63-a729-f715e5c73bc5" xmlns:ns4="985ec44e-1bab-4c0b-9df0-6ba128686fc9" targetNamespace="http://schemas.microsoft.com/office/2006/metadata/properties" ma:root="true" ma:fieldsID="d55f6a0251caa7867116031c0bdd979f" ns2:_="" ns3:_="" ns4:_="">
    <xsd:import namespace="8bde3967-4b29-49c8-add0-1b77de203898"/>
    <xsd:import namespace="0f1cb922-524b-4a63-a729-f715e5c73bc5"/>
    <xsd:import namespace="985ec44e-1bab-4c0b-9df0-6ba128686fc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4:TaxCatchAll"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1cb922-524b-4a63-a729-f715e5c73bc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6068b4f6-077d-4e9b-8d51-ea092799dd60}"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8bde3967-4b29-49c8-add0-1b77de203898">
      <UserInfo>
        <DisplayName>Danica Thanki</DisplayName>
        <AccountId>355</AccountId>
        <AccountType/>
      </UserInfo>
    </SharedWithUsers>
    <lcf76f155ced4ddcb4097134ff3c332f xmlns="0f1cb922-524b-4a63-a729-f715e5c73bc5">
      <Terms xmlns="http://schemas.microsoft.com/office/infopath/2007/PartnerControls"/>
    </lcf76f155ced4ddcb4097134ff3c332f>
    <TaxCatchAll xmlns="985ec44e-1bab-4c0b-9df0-6ba128686fc9" xsi:nil="true"/>
  </documentManagement>
</p:properties>
</file>

<file path=customXml/itemProps1.xml><?xml version="1.0" encoding="utf-8"?>
<ds:datastoreItem xmlns:ds="http://schemas.openxmlformats.org/officeDocument/2006/customXml" ds:itemID="{214FC3FD-A75B-45F9-9778-80F90A06EA6D}">
  <ds:schemaRefs>
    <ds:schemaRef ds:uri="http://schemas.microsoft.com/sharepoint/v3/contenttype/forms"/>
  </ds:schemaRefs>
</ds:datastoreItem>
</file>

<file path=customXml/itemProps2.xml><?xml version="1.0" encoding="utf-8"?>
<ds:datastoreItem xmlns:ds="http://schemas.openxmlformats.org/officeDocument/2006/customXml" ds:itemID="{9A3AA17A-CBA4-46A6-9102-4E59019BE9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de3967-4b29-49c8-add0-1b77de203898"/>
    <ds:schemaRef ds:uri="0f1cb922-524b-4a63-a729-f715e5c73bc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48F727-EBE2-4A91-B9E1-33689BD4671F}">
  <ds:schemaRefs>
    <ds:schemaRef ds:uri="http://schemas.microsoft.com/office/2006/metadata/properties"/>
    <ds:schemaRef ds:uri="http://schemas.microsoft.com/office/infopath/2007/PartnerControls"/>
    <ds:schemaRef ds:uri="8bde3967-4b29-49c8-add0-1b77de203898"/>
    <ds:schemaRef ds:uri="0f1cb922-524b-4a63-a729-f715e5c73bc5"/>
    <ds:schemaRef ds:uri="985ec44e-1bab-4c0b-9df0-6ba128686f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Cannabis</vt:lpstr>
      <vt:lpstr>Cocaine</vt:lpstr>
      <vt:lpstr>Amphetamines</vt:lpstr>
      <vt:lpstr>Ecstasy</vt:lpstr>
      <vt:lpstr>Prescription Stimulants</vt:lpstr>
      <vt:lpstr>Opioids</vt:lpstr>
      <vt:lpstr>Opiates</vt:lpstr>
      <vt:lpstr>Prescription opioids</vt:lpstr>
      <vt:lpstr>Tranquillizers and sedatives</vt:lpstr>
      <vt:lpstr>NPS</vt:lpstr>
      <vt:lpstr>Amphetamines!Print_Area</vt:lpstr>
      <vt:lpstr>Cannabis!Print_Area</vt:lpstr>
      <vt:lpstr>Cocaine!Print_Area</vt:lpstr>
      <vt:lpstr>Ecstasy!Print_Area</vt:lpstr>
      <vt:lpstr>Opiates!Print_Area</vt:lpstr>
      <vt:lpstr>'Prescription opioids'!Print_Area</vt:lpstr>
      <vt:lpstr>'Prescription Stimulants'!Print_Area</vt:lpstr>
      <vt:lpstr>'Tranquillizers and sedatives'!Print_Area</vt:lpstr>
    </vt:vector>
  </TitlesOfParts>
  <Manager/>
  <Company>UNOV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Philip Davis;diana.camerini@un.org</dc:creator>
  <cp:keywords/>
  <dc:description/>
  <cp:lastModifiedBy>Danica Thanki</cp:lastModifiedBy>
  <cp:revision/>
  <dcterms:created xsi:type="dcterms:W3CDTF">2015-01-15T12:22:59Z</dcterms:created>
  <dcterms:modified xsi:type="dcterms:W3CDTF">2025-06-23T07:21:44Z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0x010100ACC2ACFA87F550418D225E071F542ADA</vt:lpwstr>
  </property>
  <property fmtid="{D5CDD505-2E9C-101B-9397-08002B2CF9AE}" pid="3" name="MediaServiceImageTags">
    <vt:lpwstr/>
  </property>
</Properties>
</file>