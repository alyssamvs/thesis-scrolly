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UNOV_UNODC-DPA-RAB/Shared Documents/docs/World Drug Report/WDR_2025/Annex online/"/>
    </mc:Choice>
  </mc:AlternateContent>
  <xr:revisionPtr revIDLastSave="109" documentId="8_{09FCA5E4-CB65-40BD-9C7A-93166D1CD6A9}" xr6:coauthVersionLast="47" xr6:coauthVersionMax="47" xr10:uidLastSave="{0966F5F3-7C7A-4A64-93D1-70C584EB415A}"/>
  <bookViews>
    <workbookView xWindow="38280" yWindow="-120" windowWidth="29040" windowHeight="15720" xr2:uid="{DED068F3-3C63-468D-B383-3EEBD2F8E70F}"/>
  </bookViews>
  <sheets>
    <sheet name="Heroin_WesternEurope" sheetId="1" r:id="rId1"/>
    <sheet name="Cocaine_WesternEurope" sheetId="2" r:id="rId2"/>
    <sheet name="Heroin_US" sheetId="8" r:id="rId3"/>
    <sheet name="Cocaine_US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_" localSheetId="1">#REF!</definedName>
    <definedName name="_10_0TEXT" localSheetId="1">#REF!</definedName>
    <definedName name="_10_0TEXT" localSheetId="0">#REF!</definedName>
    <definedName name="_10_0TEXT">#REF!</definedName>
    <definedName name="_11DEA_ST" localSheetId="1">#REF!</definedName>
    <definedName name="_12DEA_ST" localSheetId="1">'[1]SEIZURE % INCREASE'!#REF!</definedName>
    <definedName name="_12DEA_ST" localSheetId="0">'[1]SEIZURE % INCREASE'!#REF!</definedName>
    <definedName name="_12DEA_ST">'[1]SEIZURE % INCREASE'!#REF!</definedName>
    <definedName name="_13INCB_STAN" localSheetId="1">#REF!</definedName>
    <definedName name="_14INCB_STAN" localSheetId="1">'[1]SEIZURE % INCREASE'!#REF!</definedName>
    <definedName name="_14INCB_STAN" localSheetId="0">'[1]SEIZURE % INCREASE'!#REF!</definedName>
    <definedName name="_14INCB_STAN">'[1]SEIZURE % INCREASE'!#REF!</definedName>
    <definedName name="_15OLDC" localSheetId="1">#REF!</definedName>
    <definedName name="_16OLDC" localSheetId="1">'[1]SEIZURE % INCREASE'!#REF!</definedName>
    <definedName name="_16OLDC" localSheetId="0">'[1]SEIZURE % INCREASE'!#REF!</definedName>
    <definedName name="_16OLDC">'[1]SEIZURE % INCREASE'!#REF!</definedName>
    <definedName name="_17TEXT" localSheetId="1">#REF!</definedName>
    <definedName name="_18TEXT" localSheetId="1">'[1]SEIZURE % INCREASE'!#REF!</definedName>
    <definedName name="_18TEXT" localSheetId="0">'[1]SEIZURE % INCREASE'!#REF!</definedName>
    <definedName name="_18TEXT">'[1]SEIZURE % INCREASE'!#REF!</definedName>
    <definedName name="_2_" localSheetId="1">'[1]SEIZURE % INCREASE'!#REF!</definedName>
    <definedName name="_2_" localSheetId="0">'[1]SEIZURE % INCREASE'!#REF!</definedName>
    <definedName name="_2_">'[1]SEIZURE % INCREASE'!#REF!</definedName>
    <definedName name="_3_" localSheetId="1">#REF!</definedName>
    <definedName name="_4_" localSheetId="1">'[1]SEIZURE % INCREASE'!#REF!</definedName>
    <definedName name="_4_" localSheetId="0">'[1]SEIZURE % INCREASE'!#REF!</definedName>
    <definedName name="_4_">'[1]SEIZURE % INCREASE'!#REF!</definedName>
    <definedName name="_5_0" localSheetId="1">#REF!</definedName>
    <definedName name="_5_0" localSheetId="0">#REF!</definedName>
    <definedName name="_5_0">#REF!</definedName>
    <definedName name="_6_0" localSheetId="1">#REF!</definedName>
    <definedName name="_6_0" localSheetId="0">#REF!</definedName>
    <definedName name="_6_0">#REF!</definedName>
    <definedName name="_7_0DEA_ST" localSheetId="1">#REF!</definedName>
    <definedName name="_7_0DEA_ST" localSheetId="0">#REF!</definedName>
    <definedName name="_7_0DEA_ST">#REF!</definedName>
    <definedName name="_8_0INCB_STAN" localSheetId="1">#REF!</definedName>
    <definedName name="_8_0INCB_STAN" localSheetId="0">#REF!</definedName>
    <definedName name="_8_0INCB_STAN">#REF!</definedName>
    <definedName name="_9_0OLDC" localSheetId="1">#REF!</definedName>
    <definedName name="_9_0OLDC" localSheetId="0">#REF!</definedName>
    <definedName name="_9_0OLDC">#REF!</definedName>
    <definedName name="_xlnm._FilterDatabase" localSheetId="1" hidden="1">Cocaine_WesternEurope!$A$5:$AE$27</definedName>
    <definedName name="_xlnm._FilterDatabase" localSheetId="0" hidden="1">#REF!</definedName>
    <definedName name="BiggestAmount" localSheetId="1">'[2]Graph Price Country and Huallag'!#REF!</definedName>
    <definedName name="BiggestAmount" localSheetId="0">[3]Remarks!#REF!</definedName>
    <definedName name="BiggestAmount">[3]Remarks!#REF!</definedName>
    <definedName name="CAH" localSheetId="1">[4]Sheet1!#REF!</definedName>
    <definedName name="CAH" localSheetId="0">'[4]Seizure % increase'!#REF!</definedName>
    <definedName name="CAH">'[5]Seizure % increase'!#REF!</definedName>
    <definedName name="CAL" localSheetId="1">[4]Sheet1!#REF!</definedName>
    <definedName name="CAL" localSheetId="0">'[4]Seizure % increase'!#REF!</definedName>
    <definedName name="CAL">'[5]Seizure % increase'!#REF!</definedName>
    <definedName name="CAR" localSheetId="1">[4]Sheet1!#REF!</definedName>
    <definedName name="CAR" localSheetId="0">'[4]Seizure % increase'!#REF!</definedName>
    <definedName name="CAR">'[5]Seizure % increase'!#REF!</definedName>
    <definedName name="CAS" localSheetId="1">[4]Sheet1!#REF!</definedName>
    <definedName name="CAS" localSheetId="0">'[4]Seizure % increase'!#REF!</definedName>
    <definedName name="CAS">'[5]Seizure % increase'!#REF!</definedName>
    <definedName name="CAT" localSheetId="1">[4]Sheet1!#REF!</definedName>
    <definedName name="CAT" localSheetId="0">'[4]Seizure % increase'!#REF!</definedName>
    <definedName name="CAT">'[5]Seizure % increase'!#REF!</definedName>
    <definedName name="CATEGORY" localSheetId="1">[4]Sheet1!#REF!</definedName>
    <definedName name="CATEGORY" localSheetId="0">'[4]Seizure % increase'!#REF!</definedName>
    <definedName name="CATEGORY">'[5]Seizure % increase'!#REF!</definedName>
    <definedName name="COC" localSheetId="1">[4]Sheet1!#REF!</definedName>
    <definedName name="COC" localSheetId="0">'[4]Seizure % increase'!#REF!</definedName>
    <definedName name="COC">'[5]Seizure % increase'!#REF!</definedName>
    <definedName name="COD" localSheetId="1">[4]Sheet1!#REF!</definedName>
    <definedName name="COD" localSheetId="0">'[4]Seizure % increase'!#REF!</definedName>
    <definedName name="COD">'[5]Seizure % increase'!#REF!</definedName>
    <definedName name="COL" localSheetId="1">[4]Sheet1!#REF!</definedName>
    <definedName name="COL" localSheetId="0">'[4]Seizure % increase'!#REF!</definedName>
    <definedName name="COL">'[5]Seizure % increase'!#REF!</definedName>
    <definedName name="CON" localSheetId="1">[4]Sheet1!#REF!</definedName>
    <definedName name="CON" localSheetId="0">'[4]Seizure % increase'!#REF!</definedName>
    <definedName name="CON">'[5]Seizure % increase'!#REF!</definedName>
    <definedName name="COS" localSheetId="1">[4]Sheet1!#REF!</definedName>
    <definedName name="COS" localSheetId="0">'[4]Seizure % increase'!#REF!</definedName>
    <definedName name="COS">'[5]Seizure % increase'!#REF!</definedName>
    <definedName name="DEA_STAND" localSheetId="1">[4]Sheet1!#REF!</definedName>
    <definedName name="DEA_STAND" localSheetId="0">'[4]Seizure % increase'!#REF!</definedName>
    <definedName name="DEA_STAND">'[5]Seizure % increase'!#REF!</definedName>
    <definedName name="DEP" localSheetId="1">[4]Sheet1!#REF!</definedName>
    <definedName name="DEP" localSheetId="0">'[4]Seizure % increase'!#REF!</definedName>
    <definedName name="DEP">'[5]Seizure % increase'!#REF!</definedName>
    <definedName name="DRUGCODE" localSheetId="1">[4]Sheet1!#REF!</definedName>
    <definedName name="DRUGCODE" localSheetId="0">'[4]Seizure % increase'!#REF!</definedName>
    <definedName name="DRUGCODE">'[5]Seizure % increase'!#REF!</definedName>
    <definedName name="FEN" localSheetId="1">[4]Sheet1!#REF!</definedName>
    <definedName name="FEN" localSheetId="0">'[4]Seizure % increase'!#REF!</definedName>
    <definedName name="FEN">'[5]Seizure % increase'!#REF!</definedName>
    <definedName name="GROUP" localSheetId="1">[4]Sheet1!#REF!</definedName>
    <definedName name="GROUP" localSheetId="0">'[4]Seizure % increase'!#REF!</definedName>
    <definedName name="GROUP">'[5]Seizure % increase'!#REF!</definedName>
    <definedName name="GROUPDR" localSheetId="1">[4]Sheet1!#REF!</definedName>
    <definedName name="GROUPDR" localSheetId="0">'[4]Seizure % increase'!#REF!</definedName>
    <definedName name="GROUPDR">'[5]Seizure % increase'!#REF!</definedName>
    <definedName name="HAL" localSheetId="1">[4]Sheet1!#REF!</definedName>
    <definedName name="HAL" localSheetId="0">'[4]Seizure % increase'!#REF!</definedName>
    <definedName name="HAL">'[5]Seizure % increase'!#REF!</definedName>
    <definedName name="HER" localSheetId="1">[4]Sheet1!#REF!</definedName>
    <definedName name="HER" localSheetId="0">'[4]Seizure % increase'!#REF!</definedName>
    <definedName name="HER">'[5]Seizure % increase'!#REF!</definedName>
    <definedName name="IDX_SR" localSheetId="1">[4]Sheet1!#REF!</definedName>
    <definedName name="IDX_SR" localSheetId="0">'[4]Seizure % increase'!#REF!</definedName>
    <definedName name="IDX_SR">'[5]Seizure % increase'!#REF!</definedName>
    <definedName name="INCB_STAND_F" localSheetId="1">[4]Sheet1!#REF!</definedName>
    <definedName name="INCB_STAND_F" localSheetId="0">'[4]Seizure % increase'!#REF!</definedName>
    <definedName name="INCB_STAND_F">'[5]Seizure % increase'!#REF!</definedName>
    <definedName name="INCB_STAND_T" localSheetId="1">[4]Sheet1!#REF!</definedName>
    <definedName name="INCB_STAND_T" localSheetId="0">'[4]Seizure % increase'!#REF!</definedName>
    <definedName name="INCB_STAND_T">'[5]Seizure % increase'!#REF!</definedName>
    <definedName name="KHA" localSheetId="1">[4]Sheet1!#REF!</definedName>
    <definedName name="KHA" localSheetId="0">'[4]Seizure % increase'!#REF!</definedName>
    <definedName name="KHA">'[5]Seizure % increase'!#REF!</definedName>
    <definedName name="LSD" localSheetId="1">[4]Sheet1!#REF!</definedName>
    <definedName name="LSD" localSheetId="0">'[4]Seizure % increase'!#REF!</definedName>
    <definedName name="LSD">'[5]Seizure % increase'!#REF!</definedName>
    <definedName name="Macro1" localSheetId="1">[6]!Macro1</definedName>
    <definedName name="Macro1" localSheetId="0">[6]!Macro1</definedName>
    <definedName name="Macro1">[7]!Macro1</definedName>
    <definedName name="Macro14" localSheetId="1">[2]!Macro14</definedName>
    <definedName name="Macro14" localSheetId="0">[8]!Macro14</definedName>
    <definedName name="Macro14">[8]!Macro14</definedName>
    <definedName name="Macro16" localSheetId="1">[2]!Macro16</definedName>
    <definedName name="Macro16" localSheetId="0">[8]!Macro16</definedName>
    <definedName name="Macro16">[8]!Macro16</definedName>
    <definedName name="Macro2" localSheetId="1">[6]!Macro2</definedName>
    <definedName name="Macro2" localSheetId="0">[6]!Macro2</definedName>
    <definedName name="Macro2">[7]!Macro2</definedName>
    <definedName name="Macro3" localSheetId="1">[6]!Macro3</definedName>
    <definedName name="Macro3" localSheetId="0">[6]!Macro3</definedName>
    <definedName name="Macro3">[7]!Macro3</definedName>
    <definedName name="Macro7" localSheetId="1">[2]!Macro7</definedName>
    <definedName name="Macro7" localSheetId="0">[8]!Macro7</definedName>
    <definedName name="Macro7">[8]!Macro7</definedName>
    <definedName name="MET" localSheetId="1">[4]Sheet1!#REF!</definedName>
    <definedName name="MET" localSheetId="0">'[4]Seizure % increase'!#REF!</definedName>
    <definedName name="MET">'[5]Seizure % increase'!#REF!</definedName>
    <definedName name="MOR" localSheetId="1">[4]Sheet1!#REF!</definedName>
    <definedName name="MOR" localSheetId="0">'[4]Seizure % increase'!#REF!</definedName>
    <definedName name="MOR">'[5]Seizure % increase'!#REF!</definedName>
    <definedName name="NA" localSheetId="1">[4]Sheet1!#REF!</definedName>
    <definedName name="NA" localSheetId="0">'[4]Seizure % increase'!#REF!</definedName>
    <definedName name="NA">'[5]Seizure % increase'!#REF!</definedName>
    <definedName name="NAR" localSheetId="1">[4]Sheet1!#REF!</definedName>
    <definedName name="NAR" localSheetId="0">'[4]Seizure % increase'!#REF!</definedName>
    <definedName name="NAR">'[5]Seizure % increase'!#REF!</definedName>
    <definedName name="NEW" localSheetId="1">[4]Sheet1!#REF!</definedName>
    <definedName name="NEW" localSheetId="0">'[4]Seizure % increase'!#REF!</definedName>
    <definedName name="NEW">'[5]Seizure % increase'!#REF!</definedName>
    <definedName name="OLDCODE" localSheetId="1">[4]Sheet1!#REF!</definedName>
    <definedName name="OLDCODE" localSheetId="0">'[4]Seizure % increase'!#REF!</definedName>
    <definedName name="OLDCODE">'[5]Seizure % increase'!#REF!</definedName>
    <definedName name="OPI" localSheetId="1">[4]Sheet1!#REF!</definedName>
    <definedName name="OPI" localSheetId="0">'[4]Seizure % increase'!#REF!</definedName>
    <definedName name="OPI">'[5]Seizure % increase'!#REF!</definedName>
    <definedName name="OPL" localSheetId="1">[4]Sheet1!#REF!</definedName>
    <definedName name="OPL" localSheetId="0">'[4]Seizure % increase'!#REF!</definedName>
    <definedName name="OPL">'[5]Seizure % increase'!#REF!</definedName>
    <definedName name="OPO" localSheetId="1">[4]Sheet1!#REF!</definedName>
    <definedName name="OPO" localSheetId="0">'[4]Seizure % increase'!#REF!</definedName>
    <definedName name="OPO">'[5]Seizure % increase'!#REF!</definedName>
    <definedName name="OPP" localSheetId="1">[4]Sheet1!#REF!</definedName>
    <definedName name="OPP" localSheetId="0">'[4]Seizure % increase'!#REF!</definedName>
    <definedName name="OPP">'[5]Seizure % increase'!#REF!</definedName>
    <definedName name="OPS" localSheetId="1">[4]Sheet1!#REF!</definedName>
    <definedName name="OPS" localSheetId="0">'[4]Seizure % increase'!#REF!</definedName>
    <definedName name="OPS">'[5]Seizure % increase'!#REF!</definedName>
    <definedName name="P1_" localSheetId="1">[4]Sheet1!#REF!</definedName>
    <definedName name="P1_" localSheetId="0">'[4]Seizure % increase'!#REF!</definedName>
    <definedName name="P1_">'[5]Seizure % increase'!#REF!</definedName>
    <definedName name="P2_" localSheetId="1">[4]Sheet1!#REF!</definedName>
    <definedName name="P2_" localSheetId="0">'[4]Seizure % increase'!#REF!</definedName>
    <definedName name="P2_">'[5]Seizure % increase'!#REF!</definedName>
    <definedName name="P3_" localSheetId="1">[4]Sheet1!#REF!</definedName>
    <definedName name="P3_" localSheetId="0">'[4]Seizure % increase'!#REF!</definedName>
    <definedName name="P3_">'[5]Seizure % increase'!#REF!</definedName>
    <definedName name="P4_" localSheetId="1">[4]Sheet1!#REF!</definedName>
    <definedName name="P4_" localSheetId="0">'[4]Seizure % increase'!#REF!</definedName>
    <definedName name="P4_">'[5]Seizure % increase'!#REF!</definedName>
    <definedName name="P5_" localSheetId="1">[4]Sheet1!#REF!</definedName>
    <definedName name="P5_" localSheetId="0">'[4]Seizure % increase'!#REF!</definedName>
    <definedName name="P5_">'[5]Seizure % increase'!#REF!</definedName>
    <definedName name="P6_" localSheetId="1">[4]Sheet1!#REF!</definedName>
    <definedName name="P6_" localSheetId="0">'[4]Seizure % increase'!#REF!</definedName>
    <definedName name="P6_">'[5]Seizure % increase'!#REF!</definedName>
    <definedName name="PCP" localSheetId="1">[4]Sheet1!#REF!</definedName>
    <definedName name="PCP" localSheetId="0">'[4]Seizure % increase'!#REF!</definedName>
    <definedName name="PCP">'[5]Seizure % increase'!#REF!</definedName>
    <definedName name="PEM" localSheetId="1">[4]Sheet1!#REF!</definedName>
    <definedName name="PEM" localSheetId="0">'[4]Seizure % increase'!#REF!</definedName>
    <definedName name="PEM">'[5]Seizure % increase'!#REF!</definedName>
    <definedName name="_xlnm.Print_Area" localSheetId="1">Cocaine_WesternEurope!$A$2:$X$29</definedName>
    <definedName name="_xlnm.Print_Area" localSheetId="0">Heroin_WesternEurope!$A$2:$X$26</definedName>
    <definedName name="PROV" localSheetId="1">#REF!</definedName>
    <definedName name="PROV" localSheetId="0">'[4]Seizure % increase'!#REF!</definedName>
    <definedName name="PROV">'[4]Seizure % increase'!#REF!</definedName>
    <definedName name="PSY" localSheetId="1">[4]Sheet1!#REF!</definedName>
    <definedName name="PSY" localSheetId="0">'[4]Seizure % increase'!#REF!</definedName>
    <definedName name="PSY">'[5]Seizure % increase'!#REF!</definedName>
    <definedName name="S1_" localSheetId="1">[4]Sheet1!#REF!</definedName>
    <definedName name="S1_" localSheetId="0">'[4]Seizure % increase'!#REF!</definedName>
    <definedName name="S1_">'[5]Seizure % increase'!#REF!</definedName>
    <definedName name="S2_" localSheetId="1">[4]Sheet1!#REF!</definedName>
    <definedName name="S2_" localSheetId="0">'[4]Seizure % increase'!#REF!</definedName>
    <definedName name="S2_">'[5]Seizure % increase'!#REF!</definedName>
    <definedName name="S3_" localSheetId="1">[4]Sheet1!#REF!</definedName>
    <definedName name="S3_" localSheetId="0">'[4]Seizure % increase'!#REF!</definedName>
    <definedName name="S3_">'[5]Seizure % increase'!#REF!</definedName>
    <definedName name="S4_" localSheetId="1">[4]Sheet1!#REF!</definedName>
    <definedName name="S4_" localSheetId="0">'[4]Seizure % increase'!#REF!</definedName>
    <definedName name="S4_">'[5]Seizure % increase'!#REF!</definedName>
    <definedName name="STI" localSheetId="1">[4]Sheet1!#REF!</definedName>
    <definedName name="STI" localSheetId="0">'[4]Seizure % increase'!#REF!</definedName>
    <definedName name="STI">'[5]Seizure % increase'!#REF!</definedName>
    <definedName name="SYN" localSheetId="1">[4]Sheet1!#REF!</definedName>
    <definedName name="SYN" localSheetId="0">'[4]Seizure % increase'!#REF!</definedName>
    <definedName name="SYN">'[5]Seizure % increase'!#REF!</definedName>
    <definedName name="TEXT_SR" localSheetId="1">[4]Sheet1!#REF!</definedName>
    <definedName name="TEXT_SR" localSheetId="0">'[4]Seizure % increase'!#REF!</definedName>
    <definedName name="TEXT_SR">'[5]Seizure % increase'!#REF!</definedName>
    <definedName name="UDE" localSheetId="1">[4]Sheet1!#REF!</definedName>
    <definedName name="UDE" localSheetId="0">'[4]Seizure % increase'!#REF!</definedName>
    <definedName name="UDE">'[5]Seizure % increase'!#REF!</definedName>
    <definedName name="UHA" localSheetId="1">[4]Sheet1!#REF!</definedName>
    <definedName name="UHA" localSheetId="0">'[4]Seizure % increase'!#REF!</definedName>
    <definedName name="UHA">'[5]Seizure % increase'!#REF!</definedName>
    <definedName name="UOP" localSheetId="1">[4]Sheet1!#REF!</definedName>
    <definedName name="UOP" localSheetId="0">'[4]Seizure % increase'!#REF!</definedName>
    <definedName name="UOP">'[5]Seizure % increase'!#REF!</definedName>
    <definedName name="UST" localSheetId="1">[4]Sheet1!#REF!</definedName>
    <definedName name="UST" localSheetId="0">'[4]Seizure % increase'!#REF!</definedName>
    <definedName name="UST">'[5]Seizure % increase'!#REF!</definedName>
    <definedName name="USY" localSheetId="1">[4]Sheet1!#REF!</definedName>
    <definedName name="USY" localSheetId="0">'[4]Seizure % increase'!#REF!</definedName>
    <definedName name="USY">'[5]Seizure % increase'!#REF!</definedName>
    <definedName name="x">'[5]Seizure % increase'!#REF!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13" i="1" l="1"/>
  <c r="AH40" i="1"/>
  <c r="AH41" i="2"/>
  <c r="AH14" i="2"/>
</calcChain>
</file>

<file path=xl/sharedStrings.xml><?xml version="1.0" encoding="utf-8"?>
<sst xmlns="http://schemas.openxmlformats.org/spreadsheetml/2006/main" count="119" uniqueCount="50">
  <si>
    <t>Heroin retail prices (street prices), US$ per gram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</si>
  <si>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</si>
  <si>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</si>
  <si>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</si>
  <si>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</si>
  <si>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</si>
  <si>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</si>
  <si>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</si>
  <si>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</si>
  <si>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</si>
  <si>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</si>
  <si>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</si>
  <si>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</si>
  <si>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</si>
  <si>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</si>
  <si>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</si>
  <si>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Switzerland</t>
  </si>
  <si>
    <t>United Kingdom</t>
  </si>
  <si>
    <t>Heroin wholesale prices, US$ per kilogram</t>
  </si>
  <si>
    <t>Cocaine retail prices (street prices), US$ per gram</t>
  </si>
  <si>
    <t>Cocaine wholesale prices, US$ per kilogram</t>
  </si>
  <si>
    <t>Average, in US$</t>
  </si>
  <si>
    <t xml:space="preserve">Sources: UNODC calculations based on UNODC ARQ data.  Inflation adjustment based on  Bureau of Labor Statistics, Historical Consumer Price Index. </t>
  </si>
  <si>
    <t>Cocaine retail prices (street prices) in the United States, in US$ per gram</t>
  </si>
  <si>
    <t>Cocaine wholesale prices in the United States, in US$ per kilogram</t>
  </si>
  <si>
    <t xml:space="preserve">Sources: UNODC calculations based on UNODC ARQ data. Inflation adjustment based on  Bureau of Labor Statistics, Historical Consumer Price Index. </t>
  </si>
  <si>
    <t>Average, in US$*</t>
  </si>
  <si>
    <t>Average, adjusted for purity**</t>
  </si>
  <si>
    <t>Cocaine prices in West and Central Europe, 1990-2019</t>
  </si>
  <si>
    <t>Average, inflation adjusted in 2019 US$</t>
  </si>
  <si>
    <t>Country/Territory</t>
  </si>
  <si>
    <t>Average, inflation adjusted in 2021 US$**</t>
  </si>
  <si>
    <t>Average, inflation adjusted in 2018 US$**</t>
  </si>
  <si>
    <t>Average, adjusted for purity and inflation in 2018 US$**</t>
  </si>
  <si>
    <t>Average, inflation adjusted in 2021 US$</t>
  </si>
  <si>
    <t>Average, adjusted for purity and inflation in 2021 US$**</t>
  </si>
  <si>
    <t>*** Data on heroin prices in the United States after 2018 are not available, so no estimates are published</t>
  </si>
  <si>
    <t>Heroin retail prices (street prices) in the United States, in US$ per gram, 1990 - 2021</t>
  </si>
  <si>
    <t>Heroin wholesale prices in the United States, in US$ per kilogram, 1990 - 2021</t>
  </si>
  <si>
    <t>Heroin prices in West and Central Europe, 1990-2023</t>
  </si>
  <si>
    <t>Unweighted average, in US$</t>
  </si>
  <si>
    <t>Weighted* average, US$</t>
  </si>
  <si>
    <t>Weighted* average, Euro</t>
  </si>
  <si>
    <t>Euro-inflation-adjusted weighted* average, in 2022 Euro per gram</t>
  </si>
  <si>
    <t>Weighted* average, Euro per gram</t>
  </si>
  <si>
    <t>Euro-inflation-adjusted weighted* average, in 2022 Euro</t>
  </si>
  <si>
    <t xml:space="preserve">Sources: UNODC calculations based on UNODC, ARQ data,  EMCDDA, Statistical Bulletin 2016 and previous years (UNODC estimates in italics). Population weighted average based on World Population Prospects, 2024 Revision; Inflation adjustment based on Consumer Price Index, Euro area - 19 countries, Eurostat </t>
  </si>
  <si>
    <t>Sources: UNODC ARQ data, EUROPOL and UNODC estimates (in italics). Population weighted average based on World Population Prospects, 2024 Revision; Inflation adjustment based on Consumer Price Index, Euro area - 19 countries, Eurostat.</t>
  </si>
  <si>
    <t xml:space="preserve">Sources: UNODC ARQ data, EUROPOL and UNODC estimates (in italics). Population weighted average based on World Population Prospects, 2024 Revision; Inflation adjustment based on Consumer Price Index, Euro area - 19 countries, Eurostat </t>
  </si>
  <si>
    <t xml:space="preserve">* Office of National Drug Control Policy (ONDCP) data and UNODC estimates (in italics). 
** Sources: UNODC calculations based on ONDCP. Inflation adjustment based on  Bureau of Labor Statistics, Historical Consumer Price Index.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</si>
</sst>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4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Frutiger 45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</font>
    <font>
      <sz val="10"/>
      <name val="Frutiger 45"/>
      <family val="2"/>
    </font>
    <font>
      <b/>
      <sz val="10"/>
      <name val="Frutiger 45"/>
      <family val="2"/>
    </font>
    <font>
      <sz val="8"/>
      <name val="CG Times (WN)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i/>
      <sz val="10"/>
      <name val="Arial"/>
      <family val="2"/>
      <charset val="204"/>
    </font>
    <font>
      <b/>
      <sz val="20"/>
      <color indexed="56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</font>
    <font>
      <sz val="10"/>
      <color indexed="8"/>
      <name val="Frutiger 45"/>
      <family val="2"/>
    </font>
    <font>
      <b/>
      <sz val="10"/>
      <color indexed="8"/>
      <name val="Frutiger 45"/>
    </font>
    <font>
      <b/>
      <sz val="10"/>
      <name val="Frutiger 45"/>
    </font>
    <font>
      <b/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i/>
      <sz val="9"/>
      <color indexed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3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6">
    <xf numFmtId="0" fontId="0" fillId="0" borderId="0">
      <alignment vertical="distributed"/>
    </xf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0" fontId="14" fillId="0" borderId="0"/>
    <xf numFmtId="0" fontId="3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20" fillId="23" borderId="19" applyNumberFormat="0" applyAlignment="0" applyProtection="0"/>
    <xf numFmtId="0" fontId="27" fillId="0" borderId="20" applyNumberFormat="0" applyFill="0" applyAlignment="0" applyProtection="0"/>
    <xf numFmtId="0" fontId="15" fillId="25" borderId="22" applyNumberFormat="0" applyProtection="0">
      <alignment horizontal="left"/>
    </xf>
    <xf numFmtId="0" fontId="26" fillId="14" borderId="19" applyNumberFormat="0" applyAlignment="0" applyProtection="0"/>
    <xf numFmtId="0" fontId="16" fillId="0" borderId="23" applyNumberFormat="0" applyProtection="0">
      <alignment horizontal="left"/>
    </xf>
    <xf numFmtId="0" fontId="19" fillId="10" borderId="0" applyNumberFormat="0" applyBorder="0" applyAlignment="0" applyProtection="0"/>
    <xf numFmtId="0" fontId="13" fillId="26" borderId="0" applyNumberFormat="0">
      <alignment horizontal="left" vertical="top" wrapText="1"/>
    </xf>
    <xf numFmtId="0" fontId="28" fillId="27" borderId="0" applyNumberFormat="0" applyBorder="0" applyAlignment="0" applyProtection="0"/>
    <xf numFmtId="0" fontId="15" fillId="8" borderId="18" applyNumberFormat="0" applyProtection="0">
      <alignment horizontal="left"/>
    </xf>
    <xf numFmtId="0" fontId="23" fillId="11" borderId="0" applyNumberFormat="0" applyBorder="0" applyAlignment="0" applyProtection="0"/>
    <xf numFmtId="0" fontId="29" fillId="23" borderId="26" applyNumberFormat="0" applyAlignment="0" applyProtection="0"/>
    <xf numFmtId="0" fontId="3" fillId="26" borderId="0">
      <alignment vertical="top"/>
    </xf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6" fillId="0" borderId="23" applyNumberFormat="0" applyProtection="0">
      <alignment horizontal="left"/>
    </xf>
    <xf numFmtId="0" fontId="24" fillId="0" borderId="24" applyNumberFormat="0" applyFill="0" applyAlignment="0" applyProtection="0"/>
    <xf numFmtId="0" fontId="25" fillId="0" borderId="25" applyNumberFormat="0" applyFill="0" applyAlignment="0" applyProtection="0"/>
    <xf numFmtId="0" fontId="25" fillId="0" borderId="0" applyNumberFormat="0" applyFill="0" applyBorder="0" applyAlignment="0" applyProtection="0"/>
    <xf numFmtId="0" fontId="3" fillId="0" borderId="5">
      <alignment vertical="top" wrapText="1"/>
      <protection locked="0"/>
    </xf>
    <xf numFmtId="0" fontId="21" fillId="24" borderId="21" applyNumberFormat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</cellStyleXfs>
  <cellXfs count="253">
    <xf numFmtId="0" fontId="0" fillId="0" borderId="0" xfId="0">
      <alignment vertical="distributed"/>
    </xf>
    <xf numFmtId="0" fontId="4" fillId="0" borderId="0" xfId="2" applyFont="1"/>
    <xf numFmtId="0" fontId="5" fillId="0" borderId="0" xfId="3" applyFont="1" applyAlignment="1">
      <alignment vertical="center"/>
    </xf>
    <xf numFmtId="0" fontId="5" fillId="0" borderId="0" xfId="3" applyFont="1"/>
    <xf numFmtId="0" fontId="5" fillId="0" borderId="0" xfId="3" applyFont="1" applyAlignment="1">
      <alignment horizontal="center"/>
    </xf>
    <xf numFmtId="1" fontId="7" fillId="0" borderId="2" xfId="0" applyNumberFormat="1" applyFont="1" applyBorder="1">
      <alignment vertical="distributed"/>
    </xf>
    <xf numFmtId="1" fontId="7" fillId="0" borderId="5" xfId="0" applyNumberFormat="1" applyFont="1" applyBorder="1">
      <alignment vertical="distributed"/>
    </xf>
    <xf numFmtId="1" fontId="8" fillId="0" borderId="5" xfId="0" applyNumberFormat="1" applyFont="1" applyBorder="1">
      <alignment vertical="distributed"/>
    </xf>
    <xf numFmtId="3" fontId="8" fillId="0" borderId="5" xfId="0" applyNumberFormat="1" applyFont="1" applyBorder="1">
      <alignment vertical="distributed"/>
    </xf>
    <xf numFmtId="1" fontId="7" fillId="0" borderId="7" xfId="0" applyNumberFormat="1" applyFont="1" applyBorder="1">
      <alignment vertical="distributed"/>
    </xf>
    <xf numFmtId="0" fontId="9" fillId="0" borderId="0" xfId="2" applyFont="1" applyAlignment="1">
      <alignment vertical="center"/>
    </xf>
    <xf numFmtId="0" fontId="3" fillId="0" borderId="0" xfId="2"/>
    <xf numFmtId="0" fontId="10" fillId="0" borderId="0" xfId="2" applyFont="1"/>
    <xf numFmtId="0" fontId="6" fillId="0" borderId="0" xfId="2" applyFont="1" applyAlignment="1">
      <alignment vertical="center"/>
    </xf>
    <xf numFmtId="1" fontId="7" fillId="7" borderId="5" xfId="0" applyNumberFormat="1" applyFont="1" applyFill="1" applyBorder="1">
      <alignment vertical="distributed"/>
    </xf>
    <xf numFmtId="1" fontId="8" fillId="7" borderId="5" xfId="0" applyNumberFormat="1" applyFont="1" applyFill="1" applyBorder="1">
      <alignment vertical="distributed"/>
    </xf>
    <xf numFmtId="1" fontId="3" fillId="7" borderId="5" xfId="0" applyNumberFormat="1" applyFont="1" applyFill="1" applyBorder="1">
      <alignment vertical="distributed"/>
    </xf>
    <xf numFmtId="3" fontId="7" fillId="0" borderId="5" xfId="0" applyNumberFormat="1" applyFont="1" applyBorder="1" applyAlignment="1"/>
    <xf numFmtId="164" fontId="7" fillId="0" borderId="2" xfId="5" applyNumberFormat="1" applyFont="1" applyFill="1" applyBorder="1" applyAlignment="1">
      <alignment vertical="center"/>
    </xf>
    <xf numFmtId="164" fontId="8" fillId="0" borderId="2" xfId="5" applyNumberFormat="1" applyFont="1" applyFill="1" applyBorder="1" applyAlignment="1">
      <alignment vertical="center"/>
    </xf>
    <xf numFmtId="164" fontId="7" fillId="0" borderId="2" xfId="6" applyNumberFormat="1" applyFont="1" applyFill="1" applyBorder="1" applyAlignment="1">
      <alignment vertical="center"/>
    </xf>
    <xf numFmtId="1" fontId="8" fillId="0" borderId="2" xfId="4" applyNumberFormat="1" applyFont="1" applyBorder="1"/>
    <xf numFmtId="1" fontId="7" fillId="0" borderId="2" xfId="4" applyNumberFormat="1" applyFont="1" applyBorder="1" applyAlignment="1">
      <alignment horizontal="right"/>
    </xf>
    <xf numFmtId="1" fontId="8" fillId="0" borderId="2" xfId="5" applyNumberFormat="1" applyFont="1" applyFill="1" applyBorder="1" applyAlignment="1">
      <alignment vertical="center"/>
    </xf>
    <xf numFmtId="164" fontId="8" fillId="0" borderId="5" xfId="5" applyNumberFormat="1" applyFont="1" applyFill="1" applyBorder="1" applyAlignment="1">
      <alignment vertical="center"/>
    </xf>
    <xf numFmtId="164" fontId="7" fillId="0" borderId="5" xfId="5" applyNumberFormat="1" applyFont="1" applyFill="1" applyBorder="1" applyAlignment="1">
      <alignment vertical="center"/>
    </xf>
    <xf numFmtId="164" fontId="7" fillId="0" borderId="5" xfId="6" applyNumberFormat="1" applyFont="1" applyFill="1" applyBorder="1" applyAlignment="1">
      <alignment vertical="center"/>
    </xf>
    <xf numFmtId="1" fontId="7" fillId="0" borderId="5" xfId="4" applyNumberFormat="1" applyFont="1" applyBorder="1"/>
    <xf numFmtId="1" fontId="7" fillId="0" borderId="5" xfId="4" applyNumberFormat="1" applyFont="1" applyBorder="1" applyAlignment="1">
      <alignment horizontal="right"/>
    </xf>
    <xf numFmtId="1" fontId="8" fillId="0" borderId="5" xfId="4" applyNumberFormat="1" applyFont="1" applyBorder="1"/>
    <xf numFmtId="1" fontId="8" fillId="0" borderId="5" xfId="5" applyNumberFormat="1" applyFont="1" applyFill="1" applyBorder="1" applyAlignment="1">
      <alignment vertical="center"/>
    </xf>
    <xf numFmtId="1" fontId="8" fillId="0" borderId="5" xfId="4" applyNumberFormat="1" applyFont="1" applyBorder="1" applyAlignment="1">
      <alignment horizontal="right"/>
    </xf>
    <xf numFmtId="164" fontId="8" fillId="0" borderId="5" xfId="5" applyNumberFormat="1" applyFont="1" applyFill="1" applyBorder="1" applyAlignment="1">
      <alignment horizontal="left" vertical="center" indent="1"/>
    </xf>
    <xf numFmtId="1" fontId="7" fillId="0" borderId="5" xfId="5" applyNumberFormat="1" applyFont="1" applyFill="1" applyBorder="1" applyAlignment="1">
      <alignment vertical="center"/>
    </xf>
    <xf numFmtId="164" fontId="7" fillId="0" borderId="5" xfId="3" applyNumberFormat="1" applyFont="1" applyBorder="1" applyAlignment="1">
      <alignment horizontal="right"/>
    </xf>
    <xf numFmtId="1" fontId="7" fillId="0" borderId="5" xfId="3" applyNumberFormat="1" applyFont="1" applyBorder="1"/>
    <xf numFmtId="1" fontId="8" fillId="0" borderId="5" xfId="3" applyNumberFormat="1" applyFont="1" applyBorder="1"/>
    <xf numFmtId="164" fontId="8" fillId="0" borderId="5" xfId="6" applyNumberFormat="1" applyFont="1" applyFill="1" applyBorder="1" applyAlignment="1">
      <alignment vertical="center"/>
    </xf>
    <xf numFmtId="164" fontId="7" fillId="0" borderId="7" xfId="5" applyNumberFormat="1" applyFont="1" applyFill="1" applyBorder="1" applyAlignment="1">
      <alignment vertical="center"/>
    </xf>
    <xf numFmtId="164" fontId="8" fillId="0" borderId="7" xfId="5" applyNumberFormat="1" applyFont="1" applyFill="1" applyBorder="1" applyAlignment="1">
      <alignment vertical="center"/>
    </xf>
    <xf numFmtId="164" fontId="7" fillId="0" borderId="7" xfId="6" applyNumberFormat="1" applyFont="1" applyFill="1" applyBorder="1" applyAlignment="1">
      <alignment vertical="center"/>
    </xf>
    <xf numFmtId="1" fontId="7" fillId="0" borderId="7" xfId="4" applyNumberFormat="1" applyFont="1" applyBorder="1"/>
    <xf numFmtId="1" fontId="7" fillId="0" borderId="7" xfId="4" applyNumberFormat="1" applyFont="1" applyBorder="1" applyAlignment="1">
      <alignment horizontal="right"/>
    </xf>
    <xf numFmtId="164" fontId="7" fillId="0" borderId="5" xfId="1" applyNumberFormat="1" applyFont="1" applyFill="1" applyBorder="1" applyAlignment="1"/>
    <xf numFmtId="164" fontId="7" fillId="0" borderId="5" xfId="1" applyNumberFormat="1" applyFont="1" applyFill="1" applyBorder="1" applyAlignment="1">
      <alignment horizontal="right"/>
    </xf>
    <xf numFmtId="164" fontId="8" fillId="0" borderId="5" xfId="1" applyNumberFormat="1" applyFont="1" applyFill="1" applyBorder="1" applyAlignment="1">
      <alignment horizontal="right"/>
    </xf>
    <xf numFmtId="1" fontId="7" fillId="7" borderId="14" xfId="0" applyNumberFormat="1" applyFont="1" applyFill="1" applyBorder="1">
      <alignment vertical="distributed"/>
    </xf>
    <xf numFmtId="1" fontId="3" fillId="7" borderId="14" xfId="0" applyNumberFormat="1" applyFont="1" applyFill="1" applyBorder="1">
      <alignment vertical="distributed"/>
    </xf>
    <xf numFmtId="164" fontId="7" fillId="0" borderId="5" xfId="1" applyNumberFormat="1" applyFont="1" applyFill="1" applyBorder="1"/>
    <xf numFmtId="164" fontId="8" fillId="0" borderId="5" xfId="1" applyNumberFormat="1" applyFont="1" applyFill="1" applyBorder="1"/>
    <xf numFmtId="0" fontId="13" fillId="4" borderId="9" xfId="4" applyFont="1" applyFill="1" applyBorder="1" applyAlignment="1">
      <alignment horizontal="center" vertical="center"/>
    </xf>
    <xf numFmtId="164" fontId="7" fillId="0" borderId="7" xfId="1" applyNumberFormat="1" applyFont="1" applyFill="1" applyBorder="1"/>
    <xf numFmtId="1" fontId="7" fillId="7" borderId="2" xfId="0" applyNumberFormat="1" applyFont="1" applyFill="1" applyBorder="1">
      <alignment vertical="distributed"/>
    </xf>
    <xf numFmtId="1" fontId="7" fillId="7" borderId="13" xfId="0" applyNumberFormat="1" applyFont="1" applyFill="1" applyBorder="1">
      <alignment vertical="distributed"/>
    </xf>
    <xf numFmtId="1" fontId="8" fillId="7" borderId="14" xfId="0" applyNumberFormat="1" applyFont="1" applyFill="1" applyBorder="1">
      <alignment vertical="distributed"/>
    </xf>
    <xf numFmtId="1" fontId="7" fillId="7" borderId="7" xfId="0" applyNumberFormat="1" applyFont="1" applyFill="1" applyBorder="1">
      <alignment vertical="distributed"/>
    </xf>
    <xf numFmtId="1" fontId="7" fillId="7" borderId="15" xfId="0" applyNumberFormat="1" applyFont="1" applyFill="1" applyBorder="1">
      <alignment vertical="distributed"/>
    </xf>
    <xf numFmtId="164" fontId="7" fillId="0" borderId="2" xfId="1" applyNumberFormat="1" applyFont="1" applyFill="1" applyBorder="1" applyAlignment="1">
      <alignment vertical="center"/>
    </xf>
    <xf numFmtId="164" fontId="8" fillId="0" borderId="2" xfId="1" applyNumberFormat="1" applyFont="1" applyFill="1" applyBorder="1" applyAlignment="1">
      <alignment vertical="center"/>
    </xf>
    <xf numFmtId="164" fontId="8" fillId="0" borderId="2" xfId="1" applyNumberFormat="1" applyFont="1" applyFill="1" applyBorder="1"/>
    <xf numFmtId="164" fontId="7" fillId="0" borderId="2" xfId="1" applyNumberFormat="1" applyFont="1" applyFill="1" applyBorder="1" applyAlignment="1">
      <alignment horizontal="right"/>
    </xf>
    <xf numFmtId="164" fontId="7" fillId="0" borderId="2" xfId="1" applyNumberFormat="1" applyFont="1" applyFill="1" applyBorder="1" applyAlignment="1">
      <alignment vertical="distributed"/>
    </xf>
    <xf numFmtId="164" fontId="7" fillId="7" borderId="2" xfId="1" applyNumberFormat="1" applyFont="1" applyFill="1" applyBorder="1" applyAlignment="1">
      <alignment vertical="distributed"/>
    </xf>
    <xf numFmtId="164" fontId="7" fillId="7" borderId="13" xfId="1" applyNumberFormat="1" applyFont="1" applyFill="1" applyBorder="1" applyAlignment="1">
      <alignment vertical="distributed"/>
    </xf>
    <xf numFmtId="164" fontId="7" fillId="7" borderId="5" xfId="1" applyNumberFormat="1" applyFont="1" applyFill="1" applyBorder="1" applyAlignment="1">
      <alignment vertical="distributed"/>
    </xf>
    <xf numFmtId="164" fontId="8" fillId="0" borderId="5" xfId="1" applyNumberFormat="1" applyFont="1" applyFill="1" applyBorder="1" applyAlignment="1">
      <alignment vertical="center"/>
    </xf>
    <xf numFmtId="164" fontId="7" fillId="0" borderId="5" xfId="1" applyNumberFormat="1" applyFont="1" applyFill="1" applyBorder="1" applyAlignment="1">
      <alignment vertical="center"/>
    </xf>
    <xf numFmtId="164" fontId="7" fillId="0" borderId="5" xfId="1" applyNumberFormat="1" applyFont="1" applyFill="1" applyBorder="1" applyAlignment="1">
      <alignment vertical="distributed"/>
    </xf>
    <xf numFmtId="164" fontId="7" fillId="7" borderId="14" xfId="1" applyNumberFormat="1" applyFont="1" applyFill="1" applyBorder="1" applyAlignment="1">
      <alignment vertical="distributed"/>
    </xf>
    <xf numFmtId="164" fontId="8" fillId="0" borderId="5" xfId="1" applyNumberFormat="1" applyFont="1" applyFill="1" applyBorder="1" applyAlignment="1">
      <alignment vertical="distributed"/>
    </xf>
    <xf numFmtId="164" fontId="8" fillId="0" borderId="5" xfId="1" applyNumberFormat="1" applyFont="1" applyFill="1" applyBorder="1" applyAlignment="1">
      <alignment horizontal="left" vertical="center" indent="1"/>
    </xf>
    <xf numFmtId="164" fontId="3" fillId="7" borderId="5" xfId="1" applyNumberFormat="1" applyFont="1" applyFill="1" applyBorder="1" applyAlignment="1">
      <alignment vertical="distributed"/>
    </xf>
    <xf numFmtId="164" fontId="8" fillId="7" borderId="5" xfId="1" applyNumberFormat="1" applyFont="1" applyFill="1" applyBorder="1" applyAlignment="1">
      <alignment vertical="distributed"/>
    </xf>
    <xf numFmtId="164" fontId="3" fillId="7" borderId="14" xfId="1" applyNumberFormat="1" applyFont="1" applyFill="1" applyBorder="1" applyAlignment="1">
      <alignment vertical="distributed"/>
    </xf>
    <xf numFmtId="164" fontId="8" fillId="7" borderId="14" xfId="1" applyNumberFormat="1" applyFont="1" applyFill="1" applyBorder="1" applyAlignment="1">
      <alignment vertical="distributed"/>
    </xf>
    <xf numFmtId="164" fontId="7" fillId="0" borderId="7" xfId="1" applyNumberFormat="1" applyFont="1" applyFill="1" applyBorder="1" applyAlignment="1">
      <alignment vertical="center"/>
    </xf>
    <xf numFmtId="164" fontId="8" fillId="0" borderId="7" xfId="1" applyNumberFormat="1" applyFont="1" applyFill="1" applyBorder="1" applyAlignment="1">
      <alignment vertical="center"/>
    </xf>
    <xf numFmtId="164" fontId="7" fillId="0" borderId="7" xfId="1" applyNumberFormat="1" applyFont="1" applyFill="1" applyBorder="1" applyAlignment="1">
      <alignment horizontal="right"/>
    </xf>
    <xf numFmtId="164" fontId="7" fillId="0" borderId="7" xfId="1" applyNumberFormat="1" applyFont="1" applyFill="1" applyBorder="1" applyAlignment="1">
      <alignment vertical="distributed"/>
    </xf>
    <xf numFmtId="164" fontId="7" fillId="7" borderId="7" xfId="1" applyNumberFormat="1" applyFont="1" applyFill="1" applyBorder="1" applyAlignment="1">
      <alignment vertical="distributed"/>
    </xf>
    <xf numFmtId="164" fontId="7" fillId="7" borderId="15" xfId="1" applyNumberFormat="1" applyFont="1" applyFill="1" applyBorder="1" applyAlignment="1">
      <alignment vertical="distributed"/>
    </xf>
    <xf numFmtId="9" fontId="32" fillId="0" borderId="0" xfId="0" applyNumberFormat="1" applyFont="1" applyAlignment="1"/>
    <xf numFmtId="166" fontId="32" fillId="0" borderId="0" xfId="0" applyNumberFormat="1" applyFont="1" applyAlignment="1"/>
    <xf numFmtId="166" fontId="0" fillId="0" borderId="0" xfId="0" applyNumberFormat="1" applyAlignment="1"/>
    <xf numFmtId="0" fontId="0" fillId="0" borderId="0" xfId="2" applyFont="1"/>
    <xf numFmtId="1" fontId="3" fillId="0" borderId="5" xfId="0" applyNumberFormat="1" applyFont="1" applyBorder="1" applyAlignment="1"/>
    <xf numFmtId="0" fontId="13" fillId="4" borderId="11" xfId="4" applyFont="1" applyFill="1" applyBorder="1" applyAlignment="1">
      <alignment horizontal="center"/>
    </xf>
    <xf numFmtId="0" fontId="13" fillId="4" borderId="8" xfId="4" applyFont="1" applyFill="1" applyBorder="1" applyAlignment="1">
      <alignment horizontal="center" vertical="center"/>
    </xf>
    <xf numFmtId="0" fontId="13" fillId="4" borderId="12" xfId="4" applyFont="1" applyFill="1" applyBorder="1" applyAlignment="1">
      <alignment horizontal="center" vertical="center"/>
    </xf>
    <xf numFmtId="3" fontId="3" fillId="0" borderId="5" xfId="0" applyNumberFormat="1" applyFont="1" applyBorder="1" applyAlignment="1"/>
    <xf numFmtId="1" fontId="8" fillId="7" borderId="7" xfId="0" applyNumberFormat="1" applyFont="1" applyFill="1" applyBorder="1">
      <alignment vertical="distributed"/>
    </xf>
    <xf numFmtId="164" fontId="8" fillId="7" borderId="5" xfId="1" applyNumberFormat="1" applyFont="1" applyFill="1" applyBorder="1" applyAlignment="1">
      <alignment horizontal="right" vertical="distributed"/>
    </xf>
    <xf numFmtId="164" fontId="7" fillId="7" borderId="5" xfId="1" applyNumberFormat="1" applyFont="1" applyFill="1" applyBorder="1" applyAlignment="1">
      <alignment horizontal="right" vertical="distributed"/>
    </xf>
    <xf numFmtId="164" fontId="3" fillId="7" borderId="5" xfId="1" applyNumberFormat="1" applyFont="1" applyFill="1" applyBorder="1" applyAlignment="1">
      <alignment horizontal="right" vertical="distributed"/>
    </xf>
    <xf numFmtId="3" fontId="3" fillId="0" borderId="5" xfId="0" applyNumberFormat="1" applyFont="1" applyBorder="1" applyAlignment="1">
      <alignment horizontal="right"/>
    </xf>
    <xf numFmtId="164" fontId="7" fillId="7" borderId="7" xfId="1" applyNumberFormat="1" applyFont="1" applyFill="1" applyBorder="1" applyAlignment="1">
      <alignment horizontal="right" vertical="distributed"/>
    </xf>
    <xf numFmtId="164" fontId="8" fillId="7" borderId="7" xfId="1" applyNumberFormat="1" applyFont="1" applyFill="1" applyBorder="1" applyAlignment="1">
      <alignment horizontal="right" vertical="distributed"/>
    </xf>
    <xf numFmtId="164" fontId="7" fillId="0" borderId="0" xfId="1" applyNumberFormat="1" applyFont="1" applyFill="1" applyBorder="1" applyAlignment="1">
      <alignment vertical="center"/>
    </xf>
    <xf numFmtId="164" fontId="8" fillId="0" borderId="0" xfId="1" applyNumberFormat="1" applyFont="1" applyFill="1" applyBorder="1" applyAlignment="1">
      <alignment vertical="center"/>
    </xf>
    <xf numFmtId="164" fontId="7" fillId="0" borderId="0" xfId="1" applyNumberFormat="1" applyFont="1" applyFill="1" applyBorder="1"/>
    <xf numFmtId="164" fontId="7" fillId="0" borderId="0" xfId="1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>
      <alignment vertical="distributed"/>
    </xf>
    <xf numFmtId="164" fontId="7" fillId="7" borderId="0" xfId="1" applyNumberFormat="1" applyFont="1" applyFill="1" applyBorder="1" applyAlignment="1">
      <alignment vertical="distributed"/>
    </xf>
    <xf numFmtId="164" fontId="7" fillId="7" borderId="0" xfId="1" applyNumberFormat="1" applyFont="1" applyFill="1" applyBorder="1" applyAlignment="1">
      <alignment horizontal="right" vertical="distributed"/>
    </xf>
    <xf numFmtId="164" fontId="8" fillId="7" borderId="0" xfId="1" applyNumberFormat="1" applyFont="1" applyFill="1" applyBorder="1" applyAlignment="1">
      <alignment horizontal="right" vertical="distributed"/>
    </xf>
    <xf numFmtId="0" fontId="11" fillId="2" borderId="0" xfId="2" applyFont="1" applyFill="1"/>
    <xf numFmtId="0" fontId="3" fillId="0" borderId="0" xfId="3" applyFont="1"/>
    <xf numFmtId="0" fontId="11" fillId="3" borderId="0" xfId="4" applyFont="1" applyFill="1" applyAlignment="1">
      <alignment horizontal="center"/>
    </xf>
    <xf numFmtId="0" fontId="11" fillId="3" borderId="0" xfId="4" applyFont="1" applyFill="1" applyAlignment="1">
      <alignment horizontal="center" vertical="center"/>
    </xf>
    <xf numFmtId="164" fontId="10" fillId="0" borderId="0" xfId="5" applyNumberFormat="1" applyFont="1" applyFill="1" applyBorder="1" applyAlignment="1">
      <alignment vertical="center"/>
    </xf>
    <xf numFmtId="0" fontId="3" fillId="0" borderId="1" xfId="4" applyFont="1" applyBorder="1"/>
    <xf numFmtId="0" fontId="3" fillId="0" borderId="4" xfId="4" applyFont="1" applyBorder="1"/>
    <xf numFmtId="164" fontId="3" fillId="0" borderId="0" xfId="7" applyFont="1"/>
    <xf numFmtId="0" fontId="3" fillId="0" borderId="0" xfId="0" applyFont="1">
      <alignment vertical="distributed"/>
    </xf>
    <xf numFmtId="0" fontId="3" fillId="5" borderId="0" xfId="3" applyFont="1" applyFill="1"/>
    <xf numFmtId="0" fontId="3" fillId="0" borderId="6" xfId="4" applyFont="1" applyBorder="1"/>
    <xf numFmtId="0" fontId="33" fillId="6" borderId="29" xfId="4" applyFont="1" applyFill="1" applyBorder="1"/>
    <xf numFmtId="2" fontId="33" fillId="6" borderId="29" xfId="4" applyNumberFormat="1" applyFont="1" applyFill="1" applyBorder="1"/>
    <xf numFmtId="0" fontId="34" fillId="6" borderId="5" xfId="4" applyFont="1" applyFill="1" applyBorder="1" applyAlignment="1">
      <alignment wrapText="1"/>
    </xf>
    <xf numFmtId="0" fontId="35" fillId="6" borderId="4" xfId="4" applyFont="1" applyFill="1" applyBorder="1"/>
    <xf numFmtId="0" fontId="33" fillId="0" borderId="0" xfId="4" applyFont="1"/>
    <xf numFmtId="0" fontId="3" fillId="0" borderId="0" xfId="3" applyFont="1" applyAlignment="1">
      <alignment vertical="center"/>
    </xf>
    <xf numFmtId="0" fontId="3" fillId="0" borderId="0" xfId="3" applyFont="1" applyAlignment="1">
      <alignment horizontal="center"/>
    </xf>
    <xf numFmtId="43" fontId="33" fillId="6" borderId="29" xfId="1" applyFont="1" applyFill="1" applyBorder="1"/>
    <xf numFmtId="43" fontId="34" fillId="6" borderId="5" xfId="1" applyFont="1" applyFill="1" applyBorder="1" applyAlignment="1">
      <alignment wrapText="1"/>
    </xf>
    <xf numFmtId="43" fontId="34" fillId="6" borderId="29" xfId="1" applyFont="1" applyFill="1" applyBorder="1"/>
    <xf numFmtId="43" fontId="35" fillId="6" borderId="4" xfId="1" applyFont="1" applyFill="1" applyBorder="1"/>
    <xf numFmtId="0" fontId="3" fillId="0" borderId="0" xfId="4" applyFont="1"/>
    <xf numFmtId="0" fontId="36" fillId="2" borderId="0" xfId="2" applyFont="1" applyFill="1"/>
    <xf numFmtId="0" fontId="5" fillId="0" borderId="0" xfId="2" applyFont="1"/>
    <xf numFmtId="0" fontId="36" fillId="0" borderId="0" xfId="2" applyFont="1" applyAlignment="1">
      <alignment horizontal="center"/>
    </xf>
    <xf numFmtId="0" fontId="36" fillId="0" borderId="0" xfId="2" applyFont="1" applyAlignment="1">
      <alignment horizontal="center" vertical="center"/>
    </xf>
    <xf numFmtId="43" fontId="36" fillId="0" borderId="0" xfId="2" applyNumberFormat="1" applyFont="1" applyAlignment="1">
      <alignment horizontal="center" vertical="center"/>
    </xf>
    <xf numFmtId="0" fontId="36" fillId="4" borderId="8" xfId="4" applyFont="1" applyFill="1" applyBorder="1" applyAlignment="1">
      <alignment horizontal="center"/>
    </xf>
    <xf numFmtId="0" fontId="36" fillId="4" borderId="9" xfId="4" applyFont="1" applyFill="1" applyBorder="1" applyAlignment="1">
      <alignment horizontal="center" vertical="center"/>
    </xf>
    <xf numFmtId="0" fontId="5" fillId="0" borderId="0" xfId="4" applyFont="1"/>
    <xf numFmtId="0" fontId="37" fillId="0" borderId="1" xfId="4" applyFont="1" applyBorder="1"/>
    <xf numFmtId="164" fontId="38" fillId="0" borderId="2" xfId="6" applyNumberFormat="1" applyFont="1" applyFill="1" applyBorder="1" applyAlignment="1">
      <alignment vertical="center"/>
    </xf>
    <xf numFmtId="164" fontId="39" fillId="0" borderId="2" xfId="6" applyNumberFormat="1" applyFont="1" applyFill="1" applyBorder="1" applyAlignment="1">
      <alignment vertical="center"/>
    </xf>
    <xf numFmtId="1" fontId="38" fillId="0" borderId="2" xfId="0" applyNumberFormat="1" applyFont="1" applyBorder="1">
      <alignment vertical="distributed"/>
    </xf>
    <xf numFmtId="1" fontId="38" fillId="0" borderId="2" xfId="4" applyNumberFormat="1" applyFont="1" applyBorder="1"/>
    <xf numFmtId="1" fontId="38" fillId="7" borderId="2" xfId="4" applyNumberFormat="1" applyFont="1" applyFill="1" applyBorder="1"/>
    <xf numFmtId="1" fontId="39" fillId="7" borderId="2" xfId="4" applyNumberFormat="1" applyFont="1" applyFill="1" applyBorder="1"/>
    <xf numFmtId="1" fontId="39" fillId="7" borderId="5" xfId="4" applyNumberFormat="1" applyFont="1" applyFill="1" applyBorder="1"/>
    <xf numFmtId="1" fontId="37" fillId="0" borderId="5" xfId="4" applyNumberFormat="1" applyFont="1" applyBorder="1"/>
    <xf numFmtId="0" fontId="37" fillId="0" borderId="0" xfId="4" applyFont="1"/>
    <xf numFmtId="0" fontId="37" fillId="0" borderId="4" xfId="4" applyFont="1" applyBorder="1"/>
    <xf numFmtId="164" fontId="39" fillId="0" borderId="5" xfId="6" applyNumberFormat="1" applyFont="1" applyFill="1" applyBorder="1" applyAlignment="1">
      <alignment vertical="center"/>
    </xf>
    <xf numFmtId="164" fontId="38" fillId="0" borderId="5" xfId="6" applyNumberFormat="1" applyFont="1" applyFill="1" applyBorder="1" applyAlignment="1">
      <alignment vertical="center"/>
    </xf>
    <xf numFmtId="1" fontId="38" fillId="0" borderId="5" xfId="0" applyNumberFormat="1" applyFont="1" applyBorder="1">
      <alignment vertical="distributed"/>
    </xf>
    <xf numFmtId="1" fontId="38" fillId="0" borderId="5" xfId="4" applyNumberFormat="1" applyFont="1" applyBorder="1"/>
    <xf numFmtId="1" fontId="39" fillId="0" borderId="5" xfId="4" applyNumberFormat="1" applyFont="1" applyBorder="1"/>
    <xf numFmtId="0" fontId="37" fillId="7" borderId="5" xfId="4" applyFont="1" applyFill="1" applyBorder="1"/>
    <xf numFmtId="1" fontId="38" fillId="7" borderId="5" xfId="4" applyNumberFormat="1" applyFont="1" applyFill="1" applyBorder="1"/>
    <xf numFmtId="1" fontId="40" fillId="0" borderId="5" xfId="4" applyNumberFormat="1" applyFont="1" applyBorder="1"/>
    <xf numFmtId="1" fontId="39" fillId="0" borderId="5" xfId="0" applyNumberFormat="1" applyFont="1" applyBorder="1">
      <alignment vertical="distributed"/>
    </xf>
    <xf numFmtId="1" fontId="38" fillId="0" borderId="5" xfId="2" applyNumberFormat="1" applyFont="1" applyBorder="1"/>
    <xf numFmtId="1" fontId="5" fillId="0" borderId="0" xfId="0" applyNumberFormat="1" applyFont="1" applyAlignment="1"/>
    <xf numFmtId="1" fontId="5" fillId="0" borderId="5" xfId="0" applyNumberFormat="1" applyFont="1" applyBorder="1" applyAlignment="1"/>
    <xf numFmtId="164" fontId="38" fillId="0" borderId="5" xfId="8" applyNumberFormat="1" applyFont="1" applyFill="1" applyBorder="1"/>
    <xf numFmtId="164" fontId="38" fillId="0" borderId="5" xfId="8" applyNumberFormat="1" applyFont="1" applyFill="1" applyBorder="1" applyAlignment="1">
      <alignment vertical="center"/>
    </xf>
    <xf numFmtId="0" fontId="40" fillId="7" borderId="5" xfId="4" applyFont="1" applyFill="1" applyBorder="1"/>
    <xf numFmtId="1" fontId="39" fillId="0" borderId="5" xfId="2" applyNumberFormat="1" applyFont="1" applyBorder="1" applyAlignment="1">
      <alignment vertical="center"/>
    </xf>
    <xf numFmtId="1" fontId="38" fillId="0" borderId="5" xfId="2" applyNumberFormat="1" applyFont="1" applyBorder="1" applyAlignment="1">
      <alignment vertical="center"/>
    </xf>
    <xf numFmtId="1" fontId="39" fillId="7" borderId="5" xfId="2" applyNumberFormat="1" applyFont="1" applyFill="1" applyBorder="1" applyAlignment="1">
      <alignment vertical="center"/>
    </xf>
    <xf numFmtId="1" fontId="38" fillId="0" borderId="5" xfId="0" applyNumberFormat="1" applyFont="1" applyBorder="1" applyAlignment="1"/>
    <xf numFmtId="1" fontId="39" fillId="0" borderId="5" xfId="0" applyNumberFormat="1" applyFont="1" applyBorder="1" applyAlignment="1"/>
    <xf numFmtId="1" fontId="38" fillId="7" borderId="5" xfId="0" applyNumberFormat="1" applyFont="1" applyFill="1" applyBorder="1" applyAlignment="1"/>
    <xf numFmtId="0" fontId="37" fillId="0" borderId="6" xfId="4" applyFont="1" applyBorder="1"/>
    <xf numFmtId="164" fontId="38" fillId="0" borderId="7" xfId="6" applyNumberFormat="1" applyFont="1" applyFill="1" applyBorder="1" applyAlignment="1">
      <alignment vertical="center"/>
    </xf>
    <xf numFmtId="164" fontId="39" fillId="0" borderId="7" xfId="6" applyNumberFormat="1" applyFont="1" applyFill="1" applyBorder="1" applyAlignment="1">
      <alignment vertical="center"/>
    </xf>
    <xf numFmtId="1" fontId="38" fillId="0" borderId="7" xfId="0" applyNumberFormat="1" applyFont="1" applyBorder="1">
      <alignment vertical="distributed"/>
    </xf>
    <xf numFmtId="1" fontId="38" fillId="0" borderId="7" xfId="4" applyNumberFormat="1" applyFont="1" applyBorder="1"/>
    <xf numFmtId="1" fontId="38" fillId="7" borderId="7" xfId="4" applyNumberFormat="1" applyFont="1" applyFill="1" applyBorder="1"/>
    <xf numFmtId="1" fontId="39" fillId="7" borderId="7" xfId="4" applyNumberFormat="1" applyFont="1" applyFill="1" applyBorder="1"/>
    <xf numFmtId="2" fontId="37" fillId="6" borderId="29" xfId="4" applyNumberFormat="1" applyFont="1" applyFill="1" applyBorder="1"/>
    <xf numFmtId="2" fontId="41" fillId="6" borderId="29" xfId="4" applyNumberFormat="1" applyFont="1" applyFill="1" applyBorder="1"/>
    <xf numFmtId="164" fontId="36" fillId="0" borderId="0" xfId="6" applyNumberFormat="1" applyFont="1" applyFill="1" applyBorder="1" applyAlignment="1">
      <alignment vertical="center"/>
    </xf>
    <xf numFmtId="3" fontId="37" fillId="0" borderId="0" xfId="6" applyNumberFormat="1" applyFont="1" applyFill="1" applyBorder="1" applyAlignment="1">
      <alignment vertical="center"/>
    </xf>
    <xf numFmtId="165" fontId="36" fillId="0" borderId="0" xfId="4" applyNumberFormat="1" applyFont="1" applyAlignment="1">
      <alignment vertical="center"/>
    </xf>
    <xf numFmtId="164" fontId="5" fillId="0" borderId="0" xfId="9" applyNumberFormat="1" applyFont="1" applyAlignment="1">
      <alignment vertical="center"/>
    </xf>
    <xf numFmtId="0" fontId="5" fillId="0" borderId="0" xfId="0" applyFont="1">
      <alignment vertical="distributed"/>
    </xf>
    <xf numFmtId="0" fontId="36" fillId="0" borderId="0" xfId="4" applyFont="1" applyAlignment="1">
      <alignment horizontal="center"/>
    </xf>
    <xf numFmtId="0" fontId="36" fillId="0" borderId="0" xfId="4" applyFont="1" applyAlignment="1">
      <alignment horizontal="center" vertical="center"/>
    </xf>
    <xf numFmtId="0" fontId="36" fillId="4" borderId="1" xfId="4" applyFont="1" applyFill="1" applyBorder="1" applyAlignment="1">
      <alignment horizontal="center"/>
    </xf>
    <xf numFmtId="0" fontId="36" fillId="4" borderId="2" xfId="4" applyFont="1" applyFill="1" applyBorder="1" applyAlignment="1">
      <alignment horizontal="center" vertical="center"/>
    </xf>
    <xf numFmtId="0" fontId="36" fillId="4" borderId="3" xfId="4" applyFont="1" applyFill="1" applyBorder="1" applyAlignment="1">
      <alignment horizontal="center" vertical="center"/>
    </xf>
    <xf numFmtId="0" fontId="36" fillId="4" borderId="28" xfId="4" applyFont="1" applyFill="1" applyBorder="1" applyAlignment="1">
      <alignment horizontal="center" vertical="center"/>
    </xf>
    <xf numFmtId="164" fontId="37" fillId="0" borderId="4" xfId="9" applyNumberFormat="1" applyFont="1" applyFill="1" applyBorder="1"/>
    <xf numFmtId="3" fontId="39" fillId="0" borderId="5" xfId="9" applyNumberFormat="1" applyFont="1" applyFill="1" applyBorder="1" applyAlignment="1">
      <alignment vertical="center"/>
    </xf>
    <xf numFmtId="3" fontId="38" fillId="0" borderId="5" xfId="9" applyNumberFormat="1" applyFont="1" applyFill="1" applyBorder="1" applyAlignment="1">
      <alignment vertical="center"/>
    </xf>
    <xf numFmtId="164" fontId="39" fillId="0" borderId="5" xfId="8" applyNumberFormat="1" applyFont="1" applyFill="1" applyBorder="1"/>
    <xf numFmtId="3" fontId="38" fillId="0" borderId="5" xfId="0" applyNumberFormat="1" applyFont="1" applyBorder="1">
      <alignment vertical="distributed"/>
    </xf>
    <xf numFmtId="164" fontId="38" fillId="0" borderId="5" xfId="1" applyNumberFormat="1" applyFont="1" applyFill="1" applyBorder="1"/>
    <xf numFmtId="3" fontId="38" fillId="0" borderId="5" xfId="10" applyNumberFormat="1" applyFont="1" applyBorder="1"/>
    <xf numFmtId="3" fontId="38" fillId="7" borderId="5" xfId="10" applyNumberFormat="1" applyFont="1" applyFill="1" applyBorder="1"/>
    <xf numFmtId="3" fontId="39" fillId="7" borderId="5" xfId="10" applyNumberFormat="1" applyFont="1" applyFill="1" applyBorder="1"/>
    <xf numFmtId="164" fontId="5" fillId="0" borderId="5" xfId="2" applyNumberFormat="1" applyFont="1" applyBorder="1"/>
    <xf numFmtId="3" fontId="5" fillId="0" borderId="5" xfId="0" applyNumberFormat="1" applyFont="1" applyBorder="1" applyAlignment="1"/>
    <xf numFmtId="164" fontId="38" fillId="7" borderId="5" xfId="1" applyNumberFormat="1" applyFont="1" applyFill="1" applyBorder="1" applyAlignment="1">
      <alignment horizontal="right" indent="1"/>
    </xf>
    <xf numFmtId="164" fontId="38" fillId="7" borderId="5" xfId="1" applyNumberFormat="1" applyFont="1" applyFill="1" applyBorder="1" applyAlignment="1"/>
    <xf numFmtId="164" fontId="42" fillId="0" borderId="5" xfId="2" applyNumberFormat="1" applyFont="1" applyBorder="1"/>
    <xf numFmtId="3" fontId="39" fillId="0" borderId="5" xfId="0" applyNumberFormat="1" applyFont="1" applyBorder="1">
      <alignment vertical="distributed"/>
    </xf>
    <xf numFmtId="164" fontId="39" fillId="0" borderId="5" xfId="1" applyNumberFormat="1" applyFont="1" applyFill="1" applyBorder="1"/>
    <xf numFmtId="164" fontId="38" fillId="7" borderId="5" xfId="1" applyNumberFormat="1" applyFont="1" applyFill="1" applyBorder="1"/>
    <xf numFmtId="0" fontId="38" fillId="0" borderId="5" xfId="4" applyFont="1" applyBorder="1"/>
    <xf numFmtId="3" fontId="38" fillId="0" borderId="5" xfId="4" applyNumberFormat="1" applyFont="1" applyBorder="1"/>
    <xf numFmtId="3" fontId="39" fillId="7" borderId="5" xfId="9" applyNumberFormat="1" applyFont="1" applyFill="1" applyBorder="1" applyAlignment="1">
      <alignment vertical="center"/>
    </xf>
    <xf numFmtId="164" fontId="39" fillId="7" borderId="5" xfId="1" applyNumberFormat="1" applyFont="1" applyFill="1" applyBorder="1"/>
    <xf numFmtId="164" fontId="39" fillId="7" borderId="5" xfId="1" applyNumberFormat="1" applyFont="1" applyFill="1" applyBorder="1" applyAlignment="1"/>
    <xf numFmtId="3" fontId="39" fillId="7" borderId="5" xfId="1" applyNumberFormat="1" applyFont="1" applyFill="1" applyBorder="1" applyAlignment="1"/>
    <xf numFmtId="3" fontId="38" fillId="0" borderId="5" xfId="0" applyNumberFormat="1" applyFont="1" applyBorder="1" applyAlignment="1"/>
    <xf numFmtId="3" fontId="39" fillId="0" borderId="5" xfId="6" applyNumberFormat="1" applyFont="1" applyFill="1" applyBorder="1" applyAlignment="1">
      <alignment vertical="center"/>
    </xf>
    <xf numFmtId="3" fontId="39" fillId="7" borderId="5" xfId="6" applyNumberFormat="1" applyFont="1" applyFill="1" applyBorder="1" applyAlignment="1">
      <alignment vertical="center"/>
    </xf>
    <xf numFmtId="3" fontId="37" fillId="0" borderId="5" xfId="4" applyNumberFormat="1" applyFont="1" applyBorder="1"/>
    <xf numFmtId="3" fontId="39" fillId="7" borderId="10" xfId="1" applyNumberFormat="1" applyFont="1" applyFill="1" applyBorder="1" applyAlignment="1"/>
    <xf numFmtId="164" fontId="37" fillId="0" borderId="6" xfId="9" applyNumberFormat="1" applyFont="1" applyFill="1" applyBorder="1"/>
    <xf numFmtId="3" fontId="38" fillId="0" borderId="7" xfId="9" applyNumberFormat="1" applyFont="1" applyFill="1" applyBorder="1" applyAlignment="1">
      <alignment vertical="center"/>
    </xf>
    <xf numFmtId="3" fontId="39" fillId="0" borderId="7" xfId="9" applyNumberFormat="1" applyFont="1" applyFill="1" applyBorder="1" applyAlignment="1">
      <alignment vertical="center"/>
    </xf>
    <xf numFmtId="3" fontId="38" fillId="0" borderId="7" xfId="0" applyNumberFormat="1" applyFont="1" applyBorder="1">
      <alignment vertical="distributed"/>
    </xf>
    <xf numFmtId="164" fontId="38" fillId="0" borderId="7" xfId="1" applyNumberFormat="1" applyFont="1" applyFill="1" applyBorder="1"/>
    <xf numFmtId="164" fontId="38" fillId="7" borderId="7" xfId="1" applyNumberFormat="1" applyFont="1" applyFill="1" applyBorder="1"/>
    <xf numFmtId="164" fontId="38" fillId="7" borderId="15" xfId="1" applyNumberFormat="1" applyFont="1" applyFill="1" applyBorder="1" applyAlignment="1"/>
    <xf numFmtId="164" fontId="38" fillId="7" borderId="7" xfId="1" applyNumberFormat="1" applyFont="1" applyFill="1" applyBorder="1" applyAlignment="1"/>
    <xf numFmtId="3" fontId="38" fillId="7" borderId="16" xfId="1" applyNumberFormat="1" applyFont="1" applyFill="1" applyBorder="1" applyAlignment="1"/>
    <xf numFmtId="164" fontId="38" fillId="7" borderId="16" xfId="1" applyNumberFormat="1" applyFont="1" applyFill="1" applyBorder="1" applyAlignment="1"/>
    <xf numFmtId="164" fontId="39" fillId="7" borderId="16" xfId="1" applyNumberFormat="1" applyFont="1" applyFill="1" applyBorder="1" applyAlignment="1"/>
    <xf numFmtId="43" fontId="37" fillId="6" borderId="29" xfId="1" applyFont="1" applyFill="1" applyBorder="1"/>
    <xf numFmtId="43" fontId="37" fillId="0" borderId="0" xfId="1" applyFont="1"/>
    <xf numFmtId="43" fontId="37" fillId="6" borderId="5" xfId="1" applyFont="1" applyFill="1" applyBorder="1" applyAlignment="1">
      <alignment wrapText="1"/>
    </xf>
    <xf numFmtId="0" fontId="5" fillId="6" borderId="4" xfId="4" applyFont="1" applyFill="1" applyBorder="1"/>
    <xf numFmtId="0" fontId="5" fillId="0" borderId="0" xfId="2" applyFont="1" applyAlignment="1">
      <alignment vertical="center"/>
    </xf>
    <xf numFmtId="0" fontId="36" fillId="2" borderId="0" xfId="2" applyFont="1" applyFill="1" applyAlignment="1">
      <alignment wrapText="1"/>
    </xf>
    <xf numFmtId="0" fontId="36" fillId="7" borderId="0" xfId="2" applyFont="1" applyFill="1" applyAlignment="1">
      <alignment wrapText="1"/>
    </xf>
    <xf numFmtId="0" fontId="36" fillId="7" borderId="0" xfId="2" applyFont="1" applyFill="1"/>
    <xf numFmtId="0" fontId="36" fillId="4" borderId="5" xfId="4" applyFont="1" applyFill="1" applyBorder="1" applyAlignment="1">
      <alignment horizontal="center" wrapText="1"/>
    </xf>
    <xf numFmtId="0" fontId="36" fillId="4" borderId="5" xfId="4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distributed" wrapText="1"/>
    </xf>
    <xf numFmtId="164" fontId="43" fillId="6" borderId="5" xfId="6" applyNumberFormat="1" applyFont="1" applyFill="1" applyBorder="1" applyAlignment="1">
      <alignment vertical="center"/>
    </xf>
    <xf numFmtId="164" fontId="36" fillId="6" borderId="5" xfId="6" applyNumberFormat="1" applyFont="1" applyFill="1" applyBorder="1" applyAlignment="1">
      <alignment vertical="center"/>
    </xf>
    <xf numFmtId="3" fontId="41" fillId="6" borderId="5" xfId="4" applyNumberFormat="1" applyFont="1" applyFill="1" applyBorder="1" applyAlignment="1">
      <alignment vertical="center"/>
    </xf>
    <xf numFmtId="0" fontId="5" fillId="0" borderId="0" xfId="4" applyFont="1" applyAlignment="1">
      <alignment wrapText="1"/>
    </xf>
    <xf numFmtId="0" fontId="5" fillId="0" borderId="0" xfId="0" applyFont="1" applyAlignment="1">
      <alignment vertical="distributed" wrapText="1"/>
    </xf>
    <xf numFmtId="0" fontId="5" fillId="6" borderId="5" xfId="4" applyFont="1" applyFill="1" applyBorder="1" applyAlignment="1">
      <alignment wrapText="1"/>
    </xf>
    <xf numFmtId="3" fontId="44" fillId="6" borderId="5" xfId="4" applyNumberFormat="1" applyFont="1" applyFill="1" applyBorder="1" applyAlignment="1">
      <alignment vertical="center"/>
    </xf>
    <xf numFmtId="0" fontId="5" fillId="0" borderId="0" xfId="2" applyFont="1" applyAlignment="1">
      <alignment wrapText="1"/>
    </xf>
    <xf numFmtId="0" fontId="36" fillId="4" borderId="5" xfId="4" applyFont="1" applyFill="1" applyBorder="1" applyAlignment="1">
      <alignment horizontal="center"/>
    </xf>
    <xf numFmtId="164" fontId="36" fillId="6" borderId="17" xfId="6" applyNumberFormat="1" applyFont="1" applyFill="1" applyBorder="1" applyAlignment="1">
      <alignment vertical="center"/>
    </xf>
    <xf numFmtId="164" fontId="43" fillId="6" borderId="17" xfId="6" applyNumberFormat="1" applyFont="1" applyFill="1" applyBorder="1" applyAlignment="1">
      <alignment vertical="center"/>
    </xf>
    <xf numFmtId="164" fontId="5" fillId="0" borderId="0" xfId="0" applyNumberFormat="1" applyFont="1">
      <alignment vertical="distributed"/>
    </xf>
    <xf numFmtId="0" fontId="5" fillId="6" borderId="5" xfId="4" applyFont="1" applyFill="1" applyBorder="1"/>
    <xf numFmtId="0" fontId="5" fillId="6" borderId="5" xfId="2" applyFont="1" applyFill="1" applyBorder="1" applyAlignment="1">
      <alignment wrapText="1"/>
    </xf>
    <xf numFmtId="3" fontId="44" fillId="6" borderId="27" xfId="4" applyNumberFormat="1" applyFont="1" applyFill="1" applyBorder="1" applyAlignment="1">
      <alignment vertical="center"/>
    </xf>
  </cellXfs>
  <cellStyles count="56">
    <cellStyle name="20 % - Accent1" xfId="13" xr:uid="{3FC3D5F3-2CEB-430F-9E28-D52F51E14293}"/>
    <cellStyle name="20 % - Accent2" xfId="14" xr:uid="{F0553814-DE37-4124-B23A-12CDBFB012DD}"/>
    <cellStyle name="20 % - Accent3" xfId="15" xr:uid="{CC9B5BDA-F560-42B8-8E78-096CC0D5B525}"/>
    <cellStyle name="20 % - Accent4" xfId="16" xr:uid="{3073ED61-2506-4EE9-9418-C5E230E0FBDE}"/>
    <cellStyle name="20 % - Accent5" xfId="17" xr:uid="{98683CF9-4787-44CA-8926-B32CEFE7824F}"/>
    <cellStyle name="20 % - Accent6" xfId="18" xr:uid="{8B3D3485-28BC-42A8-9F9C-E270E01EC551}"/>
    <cellStyle name="40 % - Accent1" xfId="19" xr:uid="{AC37B44B-BA2B-45E9-A8D2-9E1FAD40E0E6}"/>
    <cellStyle name="40 % - Accent2" xfId="20" xr:uid="{6928259B-17A3-46DA-8698-E83C4946C3B8}"/>
    <cellStyle name="40 % - Accent3" xfId="21" xr:uid="{2B807FC7-521A-4D24-ABA5-9E8CA502084B}"/>
    <cellStyle name="40 % - Accent4" xfId="22" xr:uid="{DCC2F50B-A7BC-4C7D-8016-23DDFBD9478E}"/>
    <cellStyle name="40 % - Accent5" xfId="23" xr:uid="{F7D2AE9F-7795-487A-BABA-17BC78D7BCB6}"/>
    <cellStyle name="40 % - Accent6" xfId="24" xr:uid="{59D26A5F-5F1E-4166-8989-87B37A2DE7EA}"/>
    <cellStyle name="60 % - Accent1" xfId="25" xr:uid="{9F4F2858-A887-4C5E-97A9-5C21C2CD2912}"/>
    <cellStyle name="60 % - Accent2" xfId="26" xr:uid="{85774D42-0B23-44B3-9D54-1BD58FC0FFF3}"/>
    <cellStyle name="60 % - Accent3" xfId="27" xr:uid="{78B0975D-5F6A-49E0-8589-BF48E9D5BF42}"/>
    <cellStyle name="60 % - Accent4" xfId="28" xr:uid="{90D8E832-ABE3-4CDB-916A-20C6298B328E}"/>
    <cellStyle name="60 % - Accent5" xfId="29" xr:uid="{0B996579-26AC-4BB6-B91C-0D2B383162AE}"/>
    <cellStyle name="60 % - Accent6" xfId="30" xr:uid="{5B63200E-F2EB-499E-9020-0DDF83E235B1}"/>
    <cellStyle name="Avertissement" xfId="31" xr:uid="{64379135-4CDB-4A39-A55F-F93AD3C91B04}"/>
    <cellStyle name="Calcul" xfId="32" xr:uid="{C51E5292-8D1C-45CA-B2B7-EE708D15FA34}"/>
    <cellStyle name="Cellule liée" xfId="33" xr:uid="{55C96CD4-8562-42B8-832B-441EC2A1B534}"/>
    <cellStyle name="Comma" xfId="1" builtinId="3"/>
    <cellStyle name="Comma 3" xfId="7" xr:uid="{FF46CC21-68A1-4F1D-9D4F-D78B4DFCE248}"/>
    <cellStyle name="Comma_11CocainePriceTablesForChapter 2012 update_YL" xfId="8" xr:uid="{56026ED3-28E8-4A76-AAC3-E7A4E704F93A}"/>
    <cellStyle name="Comma_STREWHOR" xfId="9" xr:uid="{9A513598-B26D-4DF9-B469-D32DC9534115}"/>
    <cellStyle name="Comma_WDR06_coca&amp;cocaine" xfId="6" xr:uid="{7E868A87-5649-41E4-A200-31BFD725AAC2}"/>
    <cellStyle name="Comma_WDR06_opium&amp;heroin_Prices" xfId="5" xr:uid="{E7D15B61-F58E-4ED2-8CF0-FD16EB79EB56}"/>
    <cellStyle name="Commentaire" xfId="34" xr:uid="{E818A2A8-A6DF-4DA0-9C90-A67F76F432E6}"/>
    <cellStyle name="Entrée" xfId="35" xr:uid="{1E79B9F9-7163-42E3-818A-75B92FA3D55E}"/>
    <cellStyle name="Heading 1 2" xfId="36" xr:uid="{6572131A-EA92-4E32-BE5C-75321E6D507C}"/>
    <cellStyle name="Insatisfaisant" xfId="37" xr:uid="{C9CBFE8C-8AA8-4768-A1A7-D0EB12298684}"/>
    <cellStyle name="metadata" xfId="38" xr:uid="{75D03856-C138-4316-BE88-4F2EBE2022E6}"/>
    <cellStyle name="Neutre" xfId="39" xr:uid="{0C6AEE83-1153-49F0-9D34-A11AA28F3103}"/>
    <cellStyle name="Normal" xfId="0" builtinId="0"/>
    <cellStyle name="Normal 16" xfId="11" xr:uid="{A6180FB3-50C8-44CF-811A-7AB9BCF5144E}"/>
    <cellStyle name="Normal 2" xfId="12" xr:uid="{C15138CE-014B-4D29-8D47-11CF4186CC8C}"/>
    <cellStyle name="Normal 2 2 2" xfId="10" xr:uid="{3B54488A-8389-463B-9AF1-9FD3C8124A5C}"/>
    <cellStyle name="Normal 3" xfId="52" xr:uid="{1B6CAA24-3840-4D9F-AF89-8779B00F042D}"/>
    <cellStyle name="Normal 4" xfId="54" xr:uid="{FCEBCA41-F968-4C97-B4BE-E45B3797870D}"/>
    <cellStyle name="Normal 5" xfId="3" xr:uid="{D943F4D1-B12E-4607-BAAD-036210900548}"/>
    <cellStyle name="Normal 6" xfId="53" xr:uid="{A63963D6-A8AF-4A09-B9FD-63AEA4373FCB}"/>
    <cellStyle name="Normal 7" xfId="2" xr:uid="{3898D2AE-9AD3-4813-8C6D-7C4546046D1A}"/>
    <cellStyle name="Normal 8" xfId="55" xr:uid="{2BA36E07-0C7A-4114-A10F-BA13CE9F13B6}"/>
    <cellStyle name="Normal_Sheet1" xfId="4" xr:uid="{D94EB882-39D2-461E-9BC1-09314F082F47}"/>
    <cellStyle name="Note 2" xfId="40" xr:uid="{BCA0A88D-BF42-497F-AB95-BDBD455DBCF0}"/>
    <cellStyle name="Satisfaisant" xfId="41" xr:uid="{6EE8608A-358E-47C5-954C-CCDF89F7B4CB}"/>
    <cellStyle name="Sortie" xfId="42" xr:uid="{4A0BEF6C-642C-4788-941D-545B5C731960}"/>
    <cellStyle name="table_cell" xfId="43" xr:uid="{EAF3DF37-439C-4C93-B5CC-97A206847DCC}"/>
    <cellStyle name="Texte explicatif" xfId="44" xr:uid="{C603C5C3-6F6E-4888-B256-BE3EC1EA6868}"/>
    <cellStyle name="Titre" xfId="45" xr:uid="{8B2164C4-7049-4176-B4E8-924C46A03E44}"/>
    <cellStyle name="Titre 1" xfId="46" xr:uid="{FDC3F074-CDCB-4699-8745-CA89B1E5AB04}"/>
    <cellStyle name="Titre 2" xfId="47" xr:uid="{9485C2D8-06E4-47EB-B9B5-083DF4344230}"/>
    <cellStyle name="Titre 3" xfId="48" xr:uid="{3B753026-3801-4EF4-B477-78EF76B1E1BE}"/>
    <cellStyle name="Titre 4" xfId="49" xr:uid="{1A535EAC-4665-45B8-A39E-325E43323FB5}"/>
    <cellStyle name="value_cell" xfId="50" xr:uid="{9D475EF0-6B39-498F-892A-B84E2F4B3667}"/>
    <cellStyle name="Vérification" xfId="51" xr:uid="{8D016717-7432-4D66-8B52-86EA76DD886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847E54D-B8CC-480A-AF2E-9F2403E0F68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IZURE%20%25%20INCREAS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s\World%20Drug%20Report\WDR_2006\PRE%20PUBLICATION\EXCEL%20SOURCE%20FILES\1%20PRODUCTION\RB04_Per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lta\DEL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ivot\UNDCPD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PLYINFO\DATA\UNDCP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ivot\PRIC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PLYINFO\DATA\PRI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C3\DETA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IZURE % INCRE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t Prod leaf and cocaine"/>
      <sheetName val="Cult regions"/>
      <sheetName val="Price leaf Country 91-03"/>
      <sheetName val="Price leaf Huallaga 91-03"/>
      <sheetName val="Graph Price Country and Huallag"/>
      <sheetName val="Data Prices leaf"/>
      <sheetName val="Eradication"/>
      <sheetName val="RB04_Peru"/>
    </sheetNames>
    <definedNames>
      <definedName name="Macro14" refersTo="#REF!"/>
      <definedName name="Macro16" refersTo="#REF!"/>
      <definedName name="Macro7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CalculationSheet"/>
      <sheetName val="Update"/>
      <sheetName val="Production 1920_1940"/>
      <sheetName val="Manufacture 1920_1940"/>
      <sheetName val="RateOfExchange"/>
      <sheetName val="ReportPerformance "/>
      <sheetName val="Chart2"/>
      <sheetName val="Chart3"/>
      <sheetName val="Seizures"/>
      <sheetName val="Checking Seizures "/>
      <sheetName val="Manufacture"/>
      <sheetName val="Diversion"/>
      <sheetName val="ConvictedByNationality"/>
      <sheetName val="Cultivation"/>
      <sheetName val="Chart1"/>
      <sheetName val="ConvictedByOccup."/>
      <sheetName val="ConvictedBySex"/>
      <sheetName val="ConvictedByDrug"/>
      <sheetName val="ConvictedByAge"/>
      <sheetName val="Trafficking (old ARQ)"/>
      <sheetName val="Trafficking (New ARQ)"/>
      <sheetName val="Contact Person"/>
      <sheetName val="PriceByArea"/>
      <sheetName val="Price"/>
      <sheetName val="Price (NewPivotForPrice)"/>
      <sheetName val="Price (NewPivotForPrice) (2)"/>
      <sheetName val="PriceList"/>
      <sheetName val="Price as reported"/>
      <sheetName val="Sheet1"/>
      <sheetName val="Sheet2"/>
      <sheetName val="Trafficking"/>
      <sheetName val="AbuseByAGE"/>
      <sheetName val="DemandGeneral"/>
      <sheetName val="DrugRelatedDeath"/>
      <sheetName val="trdabuse2"/>
      <sheetName val="Trdabuse"/>
      <sheetName val="Prevalence by Frequency"/>
      <sheetName val="Disease Incidence"/>
      <sheetName val="Prevalence2001"/>
      <sheetName val="Abuse Data"/>
      <sheetName val="Treatment"/>
      <sheetName val="Registred Abusers"/>
      <sheetName val="Drug Combination"/>
      <sheetName val="Sheet3"/>
      <sheetName val="Prevalencenew"/>
      <sheetName val="Sheet7"/>
      <sheetName val="SeizuresForThom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ELP"/>
      <sheetName val="SEIZURES ====&gt;"/>
      <sheetName val="OVERALL"/>
      <sheetName val="Sheet1"/>
      <sheetName val="by drug"/>
      <sheetName val="by country"/>
      <sheetName val="by SUBREGION"/>
      <sheetName val="graph by country and drug "/>
      <sheetName val="Seizure % increase"/>
      <sheetName val="by  country with graph "/>
      <sheetName val="by individual country"/>
      <sheetName val="by indiv. country with source"/>
      <sheetName val="CULTIVATION====&gt;"/>
      <sheetName val="Cultivation by country"/>
      <sheetName val="Cultivation "/>
      <sheetName val="DIVERSION FROM LICIT CHANNELS=&gt;"/>
      <sheetName val="diversion for all country"/>
      <sheetName val="ILLICIT MANUFACTURE====&gt;"/>
      <sheetName val="Manufacture"/>
      <sheetName val="Module2"/>
      <sheetName val="REPORTING"/>
      <sheetName val="Sheet2"/>
      <sheetName val="Sheet3"/>
      <sheetName val="SEIZURES_====&gt;"/>
      <sheetName val="by_drug"/>
      <sheetName val="by_country"/>
      <sheetName val="by_SUBREGION"/>
      <sheetName val="graph_by_country_and_drug_"/>
      <sheetName val="Seizure_%_increase"/>
      <sheetName val="by__country_with_graph_"/>
      <sheetName val="by_individual_country"/>
      <sheetName val="by_indiv__country_with_source"/>
      <sheetName val="Cultivation_by_country"/>
      <sheetName val="Cultivation_"/>
      <sheetName val="DIVERSION_FROM_LICIT_CHANNELS=&gt;"/>
      <sheetName val="diversion_for_all_country"/>
      <sheetName val="ILLICIT_MANUFACTURE====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ELP"/>
      <sheetName val="SEIZURES ====&gt;"/>
      <sheetName val="OVERALL"/>
      <sheetName val="Sheet1"/>
      <sheetName val="by drug"/>
      <sheetName val="by country"/>
      <sheetName val="by SUBREGION"/>
      <sheetName val="graph by country and drug "/>
      <sheetName val="Seizure % increase"/>
      <sheetName val="by  country with graph "/>
      <sheetName val="by individual country"/>
      <sheetName val="by indiv. country with source"/>
      <sheetName val="CULTIVATION====&gt;"/>
      <sheetName val="Cultivation by country"/>
      <sheetName val="Cultivation "/>
      <sheetName val="DIVERSION FROM LICIT CHANNELS=&gt;"/>
      <sheetName val="diversion for all country"/>
      <sheetName val="ILLICIT MANUFACTURE====&gt;"/>
      <sheetName val="Manufacture"/>
      <sheetName val="Module2"/>
      <sheetName val="REPORTING"/>
      <sheetName val="PRICE AND PURITY====&gt;"/>
      <sheetName val="by selected country &amp; drug"/>
      <sheetName val="by drug for all countries"/>
      <sheetName val="Purity by drug for all coun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Sheet19"/>
      <sheetName val="Sheet20"/>
      <sheetName val="Sheet2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RICE"/>
    </sheetNames>
    <definedNames>
      <definedName name="Macro1"/>
      <definedName name="Macro2"/>
      <definedName name="Macro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Sheet19"/>
      <sheetName val="Sheet20"/>
      <sheetName val="Sheet2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RICE"/>
    </sheetNames>
    <definedNames>
      <definedName name="Macro1"/>
      <definedName name="Macro2"/>
      <definedName name="Macro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</sheetNames>
    <definedNames>
      <definedName name="Macro14"/>
      <definedName name="Macro16"/>
      <definedName name="Macro7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6913-00B3-42C3-8A78-E1F4F15C6D54}">
  <sheetPr>
    <tabColor rgb="FF00B050"/>
    <pageSetUpPr fitToPage="1"/>
  </sheetPr>
  <dimension ref="A1:CE59"/>
  <sheetViews>
    <sheetView showGridLines="0" tabSelected="1" zoomScaleNormal="100" zoomScaleSheetLayoutView="100" workbookViewId="0">
      <pane xSplit="1" topLeftCell="B1" activePane="topRight" state="frozen"/>
      <selection pane="topRight"/>
    </sheetView>
  </sheetViews>
  <sheetFormatPr defaultColWidth="11.88671875" defaultRowHeight="11.4"/>
  <cols>
    <col min="1" max="1" width="60.5546875" style="3" customWidth="1"/>
    <col min="2" max="15" width="11.33203125" style="2" customWidth="1"/>
    <col min="16" max="20" width="11.33203125" style="3" customWidth="1"/>
    <col min="21" max="22" width="11.33203125" style="4" customWidth="1"/>
    <col min="23" max="35" width="11.33203125" style="3" customWidth="1"/>
    <col min="36" max="16384" width="11.88671875" style="3"/>
  </cols>
  <sheetData>
    <row r="1" spans="1:83" ht="24.6">
      <c r="A1" s="1" t="s">
        <v>39</v>
      </c>
    </row>
    <row r="2" spans="1:83" s="106" customFormat="1" ht="13.2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</row>
    <row r="3" spans="1:83" s="106" customFormat="1" ht="15.75" customHeight="1" thickBot="1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9"/>
      <c r="X3" s="109"/>
    </row>
    <row r="4" spans="1:83" s="106" customFormat="1" ht="13.5" customHeight="1" thickBot="1">
      <c r="A4" s="86" t="s">
        <v>30</v>
      </c>
      <c r="B4" s="87">
        <v>1990</v>
      </c>
      <c r="C4" s="50">
        <v>1991</v>
      </c>
      <c r="D4" s="50">
        <v>1992</v>
      </c>
      <c r="E4" s="50">
        <v>1993</v>
      </c>
      <c r="F4" s="50">
        <v>1994</v>
      </c>
      <c r="G4" s="50">
        <v>1995</v>
      </c>
      <c r="H4" s="50">
        <v>1996</v>
      </c>
      <c r="I4" s="50">
        <v>1997</v>
      </c>
      <c r="J4" s="50">
        <v>1998</v>
      </c>
      <c r="K4" s="50">
        <v>1999</v>
      </c>
      <c r="L4" s="50">
        <v>2000</v>
      </c>
      <c r="M4" s="50">
        <v>2001</v>
      </c>
      <c r="N4" s="50">
        <v>2002</v>
      </c>
      <c r="O4" s="50">
        <v>2003</v>
      </c>
      <c r="P4" s="50">
        <v>2004</v>
      </c>
      <c r="Q4" s="50">
        <v>2005</v>
      </c>
      <c r="R4" s="50">
        <v>2006</v>
      </c>
      <c r="S4" s="50">
        <v>2007</v>
      </c>
      <c r="T4" s="50">
        <v>2008</v>
      </c>
      <c r="U4" s="50">
        <v>2009</v>
      </c>
      <c r="V4" s="50">
        <v>2010</v>
      </c>
      <c r="W4" s="50">
        <v>2011</v>
      </c>
      <c r="X4" s="50">
        <v>2012</v>
      </c>
      <c r="Y4" s="50">
        <v>2013</v>
      </c>
      <c r="Z4" s="50">
        <v>2014</v>
      </c>
      <c r="AA4" s="50">
        <v>2015</v>
      </c>
      <c r="AB4" s="50">
        <v>2016</v>
      </c>
      <c r="AC4" s="50">
        <v>2017</v>
      </c>
      <c r="AD4" s="50">
        <v>2018</v>
      </c>
      <c r="AE4" s="50">
        <v>2019</v>
      </c>
      <c r="AF4" s="50">
        <v>2020</v>
      </c>
      <c r="AG4" s="50">
        <v>2021</v>
      </c>
      <c r="AH4" s="50">
        <v>2022</v>
      </c>
      <c r="AI4" s="88">
        <v>2023</v>
      </c>
    </row>
    <row r="5" spans="1:83" s="106" customFormat="1" ht="13.5" customHeight="1">
      <c r="A5" s="110" t="s">
        <v>1</v>
      </c>
      <c r="B5" s="18">
        <v>270</v>
      </c>
      <c r="C5" s="19">
        <v>250</v>
      </c>
      <c r="D5" s="18">
        <v>203</v>
      </c>
      <c r="E5" s="18">
        <v>132</v>
      </c>
      <c r="F5" s="18">
        <v>138</v>
      </c>
      <c r="G5" s="18">
        <v>103</v>
      </c>
      <c r="H5" s="18">
        <v>87</v>
      </c>
      <c r="I5" s="18">
        <v>70</v>
      </c>
      <c r="J5" s="18">
        <v>94</v>
      </c>
      <c r="K5" s="18">
        <v>57</v>
      </c>
      <c r="L5" s="18">
        <v>75</v>
      </c>
      <c r="M5" s="18">
        <v>44</v>
      </c>
      <c r="N5" s="18">
        <v>92</v>
      </c>
      <c r="O5" s="18">
        <v>68</v>
      </c>
      <c r="P5" s="18">
        <v>75</v>
      </c>
      <c r="Q5" s="18">
        <v>74</v>
      </c>
      <c r="R5" s="18">
        <v>69</v>
      </c>
      <c r="S5" s="20">
        <v>99</v>
      </c>
      <c r="T5" s="21">
        <v>110</v>
      </c>
      <c r="U5" s="22">
        <v>97</v>
      </c>
      <c r="V5" s="21">
        <v>93</v>
      </c>
      <c r="W5" s="23">
        <v>98</v>
      </c>
      <c r="X5" s="5">
        <v>64</v>
      </c>
      <c r="Y5" s="5">
        <v>80</v>
      </c>
      <c r="Z5" s="5">
        <v>53</v>
      </c>
      <c r="AA5" s="5">
        <v>44</v>
      </c>
      <c r="AB5" s="52">
        <v>66</v>
      </c>
      <c r="AC5" s="52">
        <v>65</v>
      </c>
      <c r="AD5" s="53">
        <v>71</v>
      </c>
      <c r="AE5" s="53">
        <v>71</v>
      </c>
      <c r="AF5" s="53">
        <v>68.650000000000006</v>
      </c>
      <c r="AG5" s="14">
        <v>66.430000000000007</v>
      </c>
      <c r="AH5" s="14">
        <v>59.01</v>
      </c>
      <c r="AI5" s="85">
        <v>49.729729729729698</v>
      </c>
    </row>
    <row r="6" spans="1:83" s="106" customFormat="1" ht="13.5" customHeight="1">
      <c r="A6" s="111" t="s">
        <v>2</v>
      </c>
      <c r="B6" s="24">
        <v>90</v>
      </c>
      <c r="C6" s="25">
        <v>105</v>
      </c>
      <c r="D6" s="25">
        <v>105</v>
      </c>
      <c r="E6" s="25">
        <v>77</v>
      </c>
      <c r="F6" s="25">
        <v>75</v>
      </c>
      <c r="G6" s="25">
        <v>75</v>
      </c>
      <c r="H6" s="25">
        <v>56</v>
      </c>
      <c r="I6" s="25">
        <v>37</v>
      </c>
      <c r="J6" s="25">
        <v>41</v>
      </c>
      <c r="K6" s="25">
        <v>41</v>
      </c>
      <c r="L6" s="25">
        <v>37</v>
      </c>
      <c r="M6" s="25">
        <v>27</v>
      </c>
      <c r="N6" s="25">
        <v>29</v>
      </c>
      <c r="O6" s="25">
        <v>31</v>
      </c>
      <c r="P6" s="25">
        <v>32</v>
      </c>
      <c r="Q6" s="24">
        <v>31</v>
      </c>
      <c r="R6" s="25">
        <v>32</v>
      </c>
      <c r="S6" s="26">
        <v>33</v>
      </c>
      <c r="T6" s="27">
        <v>36</v>
      </c>
      <c r="U6" s="28">
        <v>33</v>
      </c>
      <c r="V6" s="27">
        <v>32</v>
      </c>
      <c r="W6" s="6">
        <v>42</v>
      </c>
      <c r="X6" s="6">
        <v>36</v>
      </c>
      <c r="Y6" s="6">
        <v>37</v>
      </c>
      <c r="Z6" s="6">
        <v>33</v>
      </c>
      <c r="AA6" s="6">
        <v>24</v>
      </c>
      <c r="AB6" s="6">
        <v>26</v>
      </c>
      <c r="AC6" s="14">
        <v>29</v>
      </c>
      <c r="AD6" s="46">
        <v>23</v>
      </c>
      <c r="AE6" s="46">
        <v>23</v>
      </c>
      <c r="AF6" s="46">
        <v>21.17</v>
      </c>
      <c r="AG6" s="14">
        <v>27.28</v>
      </c>
      <c r="AH6" s="14">
        <v>20.02</v>
      </c>
      <c r="AI6" s="85">
        <v>20</v>
      </c>
      <c r="AJ6" s="112"/>
    </row>
    <row r="7" spans="1:83" s="114" customFormat="1" ht="13.5" customHeight="1">
      <c r="A7" s="111" t="s">
        <v>3</v>
      </c>
      <c r="B7" s="25">
        <v>287</v>
      </c>
      <c r="C7" s="25">
        <v>265</v>
      </c>
      <c r="D7" s="25">
        <v>151</v>
      </c>
      <c r="E7" s="25">
        <v>139</v>
      </c>
      <c r="F7" s="25">
        <v>228</v>
      </c>
      <c r="G7" s="25">
        <v>191</v>
      </c>
      <c r="H7" s="25">
        <v>157</v>
      </c>
      <c r="I7" s="25">
        <v>188</v>
      </c>
      <c r="J7" s="25">
        <v>147</v>
      </c>
      <c r="K7" s="25">
        <v>175</v>
      </c>
      <c r="L7" s="25">
        <v>116</v>
      </c>
      <c r="M7" s="25">
        <v>111</v>
      </c>
      <c r="N7" s="25">
        <v>126</v>
      </c>
      <c r="O7" s="25">
        <v>122</v>
      </c>
      <c r="P7" s="25">
        <v>94</v>
      </c>
      <c r="Q7" s="25">
        <v>123</v>
      </c>
      <c r="R7" s="25">
        <v>100</v>
      </c>
      <c r="S7" s="26">
        <v>92</v>
      </c>
      <c r="T7" s="29">
        <v>158</v>
      </c>
      <c r="U7" s="28">
        <v>148</v>
      </c>
      <c r="V7" s="29">
        <v>151</v>
      </c>
      <c r="W7" s="30">
        <v>160</v>
      </c>
      <c r="X7" s="7">
        <v>147</v>
      </c>
      <c r="Y7" s="7">
        <v>148</v>
      </c>
      <c r="Z7" s="6">
        <v>139</v>
      </c>
      <c r="AA7" s="6">
        <v>103</v>
      </c>
      <c r="AB7" s="14">
        <v>104</v>
      </c>
      <c r="AC7" s="14">
        <v>106</v>
      </c>
      <c r="AD7" s="46">
        <v>135</v>
      </c>
      <c r="AE7" s="46">
        <v>90</v>
      </c>
      <c r="AF7" s="46">
        <v>90</v>
      </c>
      <c r="AG7" s="14">
        <v>142.35</v>
      </c>
      <c r="AH7" s="15">
        <v>142.35</v>
      </c>
      <c r="AI7" s="85">
        <v>116.14401858304301</v>
      </c>
      <c r="AJ7" s="112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</row>
    <row r="8" spans="1:83" s="106" customFormat="1" ht="13.5" customHeight="1">
      <c r="A8" s="111" t="s">
        <v>4</v>
      </c>
      <c r="B8" s="24">
        <v>800</v>
      </c>
      <c r="C8" s="25">
        <v>696</v>
      </c>
      <c r="D8" s="25">
        <v>770</v>
      </c>
      <c r="E8" s="25">
        <v>724</v>
      </c>
      <c r="F8" s="25">
        <v>606</v>
      </c>
      <c r="G8" s="25">
        <v>455</v>
      </c>
      <c r="H8" s="25">
        <v>414</v>
      </c>
      <c r="I8" s="25">
        <v>257</v>
      </c>
      <c r="J8" s="25">
        <v>254</v>
      </c>
      <c r="K8" s="25">
        <v>250</v>
      </c>
      <c r="L8" s="25">
        <v>207</v>
      </c>
      <c r="M8" s="25">
        <v>121</v>
      </c>
      <c r="N8" s="25">
        <v>188</v>
      </c>
      <c r="O8" s="24">
        <v>195</v>
      </c>
      <c r="P8" s="24">
        <v>195</v>
      </c>
      <c r="Q8" s="25">
        <v>182</v>
      </c>
      <c r="R8" s="25">
        <v>125</v>
      </c>
      <c r="S8" s="26">
        <v>151</v>
      </c>
      <c r="T8" s="27">
        <v>235</v>
      </c>
      <c r="U8" s="31">
        <v>223</v>
      </c>
      <c r="V8" s="27">
        <v>159</v>
      </c>
      <c r="W8" s="6">
        <v>168</v>
      </c>
      <c r="X8" s="6">
        <v>155</v>
      </c>
      <c r="Y8" s="6">
        <v>160</v>
      </c>
      <c r="Z8" s="6">
        <v>185</v>
      </c>
      <c r="AA8" s="14">
        <v>164</v>
      </c>
      <c r="AB8" s="14">
        <v>166</v>
      </c>
      <c r="AC8" s="14">
        <v>168</v>
      </c>
      <c r="AD8" s="46">
        <v>177</v>
      </c>
      <c r="AE8" s="46">
        <v>177</v>
      </c>
      <c r="AF8" s="46">
        <v>217</v>
      </c>
      <c r="AG8" s="14">
        <v>296.56</v>
      </c>
      <c r="AH8" s="15">
        <v>296.56</v>
      </c>
      <c r="AI8" s="15">
        <v>296.56</v>
      </c>
      <c r="AJ8" s="112"/>
    </row>
    <row r="9" spans="1:83" s="106" customFormat="1" ht="13.5" customHeight="1">
      <c r="A9" s="111" t="s">
        <v>5</v>
      </c>
      <c r="B9" s="24">
        <v>145</v>
      </c>
      <c r="C9" s="25">
        <v>153</v>
      </c>
      <c r="D9" s="25">
        <v>150</v>
      </c>
      <c r="E9" s="25">
        <v>135</v>
      </c>
      <c r="F9" s="25">
        <v>144</v>
      </c>
      <c r="G9" s="25">
        <v>170</v>
      </c>
      <c r="H9" s="25">
        <v>156</v>
      </c>
      <c r="I9" s="25">
        <v>113</v>
      </c>
      <c r="J9" s="25">
        <v>119</v>
      </c>
      <c r="K9" s="25">
        <v>111</v>
      </c>
      <c r="L9" s="32">
        <v>32</v>
      </c>
      <c r="M9" s="25">
        <v>34</v>
      </c>
      <c r="N9" s="25">
        <v>47</v>
      </c>
      <c r="O9" s="25">
        <v>57</v>
      </c>
      <c r="P9" s="25">
        <v>68</v>
      </c>
      <c r="Q9" s="25">
        <v>69</v>
      </c>
      <c r="R9" s="25">
        <v>67</v>
      </c>
      <c r="S9" s="26">
        <v>55</v>
      </c>
      <c r="T9" s="29">
        <v>66</v>
      </c>
      <c r="U9" s="28">
        <v>56</v>
      </c>
      <c r="V9" s="27">
        <v>53</v>
      </c>
      <c r="W9" s="6">
        <v>49</v>
      </c>
      <c r="X9" s="6">
        <v>45</v>
      </c>
      <c r="Y9" s="6">
        <v>47</v>
      </c>
      <c r="Z9" s="6">
        <v>46</v>
      </c>
      <c r="AA9" s="16">
        <v>38</v>
      </c>
      <c r="AB9" s="15">
        <v>39</v>
      </c>
      <c r="AC9" s="15">
        <v>40</v>
      </c>
      <c r="AD9" s="47">
        <v>41</v>
      </c>
      <c r="AE9" s="47">
        <v>39</v>
      </c>
      <c r="AF9" s="47">
        <v>37.76</v>
      </c>
      <c r="AG9" s="16">
        <v>35.590000000000003</v>
      </c>
      <c r="AH9" s="14">
        <v>31.61</v>
      </c>
      <c r="AI9" s="85">
        <v>30.270270270270299</v>
      </c>
    </row>
    <row r="10" spans="1:83" s="106" customFormat="1" ht="13.5" customHeight="1">
      <c r="A10" s="111" t="s">
        <v>6</v>
      </c>
      <c r="B10" s="25">
        <v>105</v>
      </c>
      <c r="C10" s="25">
        <v>75</v>
      </c>
      <c r="D10" s="25">
        <v>96</v>
      </c>
      <c r="E10" s="25">
        <v>74</v>
      </c>
      <c r="F10" s="25">
        <v>91</v>
      </c>
      <c r="G10" s="25">
        <v>90</v>
      </c>
      <c r="H10" s="25">
        <v>74</v>
      </c>
      <c r="I10" s="25">
        <v>51</v>
      </c>
      <c r="J10" s="25">
        <v>43</v>
      </c>
      <c r="K10" s="25">
        <v>45</v>
      </c>
      <c r="L10" s="25">
        <v>39</v>
      </c>
      <c r="M10" s="25">
        <v>38</v>
      </c>
      <c r="N10" s="25">
        <v>38</v>
      </c>
      <c r="O10" s="25">
        <v>46</v>
      </c>
      <c r="P10" s="25">
        <v>49</v>
      </c>
      <c r="Q10" s="25">
        <v>48</v>
      </c>
      <c r="R10" s="25">
        <v>46</v>
      </c>
      <c r="S10" s="26">
        <v>48</v>
      </c>
      <c r="T10" s="27">
        <v>53</v>
      </c>
      <c r="U10" s="28">
        <v>51</v>
      </c>
      <c r="V10" s="27">
        <v>48</v>
      </c>
      <c r="W10" s="33">
        <v>59</v>
      </c>
      <c r="X10" s="6">
        <v>55</v>
      </c>
      <c r="Y10" s="6">
        <v>65</v>
      </c>
      <c r="Z10" s="6">
        <v>57</v>
      </c>
      <c r="AA10" s="6">
        <v>55</v>
      </c>
      <c r="AB10" s="14">
        <v>53</v>
      </c>
      <c r="AC10" s="14">
        <v>48</v>
      </c>
      <c r="AD10" s="46">
        <v>52</v>
      </c>
      <c r="AE10" s="46">
        <v>57</v>
      </c>
      <c r="AF10" s="46">
        <v>52.86</v>
      </c>
      <c r="AG10" s="14">
        <v>54.8</v>
      </c>
      <c r="AH10" s="14">
        <v>48.37</v>
      </c>
      <c r="AI10" s="85">
        <v>45.297297297297298</v>
      </c>
    </row>
    <row r="11" spans="1:83" s="106" customFormat="1" ht="13.5" customHeight="1">
      <c r="A11" s="111" t="s">
        <v>7</v>
      </c>
      <c r="B11" s="25">
        <v>120</v>
      </c>
      <c r="C11" s="25">
        <v>175</v>
      </c>
      <c r="D11" s="25">
        <v>63</v>
      </c>
      <c r="E11" s="25">
        <v>44</v>
      </c>
      <c r="F11" s="25">
        <v>105</v>
      </c>
      <c r="G11" s="25">
        <v>88</v>
      </c>
      <c r="H11" s="25">
        <v>77</v>
      </c>
      <c r="I11" s="25">
        <v>80</v>
      </c>
      <c r="J11" s="25">
        <v>55</v>
      </c>
      <c r="K11" s="25">
        <v>55</v>
      </c>
      <c r="L11" s="25">
        <v>55</v>
      </c>
      <c r="M11" s="25">
        <v>53</v>
      </c>
      <c r="N11" s="25">
        <v>45</v>
      </c>
      <c r="O11" s="25">
        <v>65</v>
      </c>
      <c r="P11" s="25">
        <v>51</v>
      </c>
      <c r="Q11" s="25">
        <v>31</v>
      </c>
      <c r="R11" s="25">
        <v>75</v>
      </c>
      <c r="S11" s="26">
        <v>75</v>
      </c>
      <c r="T11" s="29">
        <v>59</v>
      </c>
      <c r="U11" s="31">
        <v>54</v>
      </c>
      <c r="V11" s="29">
        <v>40</v>
      </c>
      <c r="W11" s="30">
        <v>24</v>
      </c>
      <c r="X11" s="6">
        <v>18</v>
      </c>
      <c r="Y11" s="6">
        <v>28</v>
      </c>
      <c r="Z11" s="6">
        <v>28</v>
      </c>
      <c r="AA11" s="6">
        <v>26</v>
      </c>
      <c r="AB11" s="14">
        <v>26</v>
      </c>
      <c r="AC11" s="14">
        <v>24</v>
      </c>
      <c r="AD11" s="46">
        <v>25</v>
      </c>
      <c r="AE11" s="46">
        <v>24</v>
      </c>
      <c r="AF11" s="46">
        <v>21.17</v>
      </c>
      <c r="AG11" s="14">
        <v>21.95</v>
      </c>
      <c r="AH11" s="14">
        <v>19.489999999999998</v>
      </c>
      <c r="AI11" s="85">
        <v>20</v>
      </c>
    </row>
    <row r="12" spans="1:83" s="106" customFormat="1" ht="13.5" customHeight="1">
      <c r="A12" s="111" t="s">
        <v>8</v>
      </c>
      <c r="B12" s="24">
        <v>196</v>
      </c>
      <c r="C12" s="24">
        <v>180</v>
      </c>
      <c r="D12" s="24">
        <v>180</v>
      </c>
      <c r="E12" s="24">
        <v>168</v>
      </c>
      <c r="F12" s="24">
        <v>161</v>
      </c>
      <c r="G12" s="25">
        <v>179</v>
      </c>
      <c r="H12" s="25">
        <v>275</v>
      </c>
      <c r="I12" s="25">
        <v>228</v>
      </c>
      <c r="J12" s="25">
        <v>213</v>
      </c>
      <c r="K12" s="25">
        <v>204</v>
      </c>
      <c r="L12" s="25">
        <v>176</v>
      </c>
      <c r="M12" s="25">
        <v>170</v>
      </c>
      <c r="N12" s="25">
        <v>179</v>
      </c>
      <c r="O12" s="25">
        <v>179</v>
      </c>
      <c r="P12" s="25">
        <v>248</v>
      </c>
      <c r="Q12" s="25">
        <v>252</v>
      </c>
      <c r="R12" s="25">
        <v>251</v>
      </c>
      <c r="S12" s="26">
        <v>274</v>
      </c>
      <c r="T12" s="27">
        <v>294</v>
      </c>
      <c r="U12" s="28">
        <v>209</v>
      </c>
      <c r="V12" s="27">
        <v>207</v>
      </c>
      <c r="W12" s="33">
        <v>209</v>
      </c>
      <c r="X12" s="6">
        <v>193</v>
      </c>
      <c r="Y12" s="6">
        <v>200</v>
      </c>
      <c r="Z12" s="6">
        <v>197</v>
      </c>
      <c r="AA12" s="6">
        <v>153</v>
      </c>
      <c r="AB12" s="14">
        <v>155</v>
      </c>
      <c r="AC12" s="15">
        <v>155</v>
      </c>
      <c r="AD12" s="54">
        <v>155</v>
      </c>
      <c r="AE12" s="54">
        <v>157</v>
      </c>
      <c r="AF12" s="54">
        <v>228.83</v>
      </c>
      <c r="AG12" s="14">
        <v>237.25</v>
      </c>
      <c r="AH12" s="14">
        <v>147.52000000000001</v>
      </c>
      <c r="AI12" s="85">
        <v>151.35135135135101</v>
      </c>
    </row>
    <row r="13" spans="1:83" s="106" customFormat="1" ht="13.5" customHeight="1">
      <c r="A13" s="111" t="s">
        <v>9</v>
      </c>
      <c r="B13" s="25">
        <v>167</v>
      </c>
      <c r="C13" s="25">
        <v>148</v>
      </c>
      <c r="D13" s="25">
        <v>140</v>
      </c>
      <c r="E13" s="25">
        <v>29</v>
      </c>
      <c r="F13" s="25">
        <v>55</v>
      </c>
      <c r="G13" s="25">
        <v>41</v>
      </c>
      <c r="H13" s="25">
        <v>115</v>
      </c>
      <c r="I13" s="25">
        <v>98</v>
      </c>
      <c r="J13" s="25">
        <v>120</v>
      </c>
      <c r="K13" s="25">
        <v>95</v>
      </c>
      <c r="L13" s="25">
        <v>71</v>
      </c>
      <c r="M13" s="25">
        <v>68</v>
      </c>
      <c r="N13" s="25">
        <v>59</v>
      </c>
      <c r="O13" s="25">
        <v>63</v>
      </c>
      <c r="P13" s="25">
        <v>69</v>
      </c>
      <c r="Q13" s="25">
        <v>68</v>
      </c>
      <c r="R13" s="25">
        <v>66</v>
      </c>
      <c r="S13" s="26">
        <v>66</v>
      </c>
      <c r="T13" s="29">
        <v>78</v>
      </c>
      <c r="U13" s="31">
        <v>72</v>
      </c>
      <c r="V13" s="29">
        <v>68</v>
      </c>
      <c r="W13" s="30">
        <v>73</v>
      </c>
      <c r="X13" s="7">
        <v>67</v>
      </c>
      <c r="Y13" s="7">
        <v>68</v>
      </c>
      <c r="Z13" s="6">
        <v>65</v>
      </c>
      <c r="AA13" s="6">
        <v>53</v>
      </c>
      <c r="AB13" s="14">
        <v>53</v>
      </c>
      <c r="AC13" s="14">
        <v>48</v>
      </c>
      <c r="AD13" s="46">
        <v>53</v>
      </c>
      <c r="AE13" s="46">
        <v>54</v>
      </c>
      <c r="AF13" s="46">
        <v>61.78</v>
      </c>
      <c r="AG13" s="14">
        <v>48.91</v>
      </c>
      <c r="AH13" s="14">
        <f>+AVERAGE(38.29,47.89)</f>
        <v>43.09</v>
      </c>
      <c r="AI13" s="85">
        <v>58.140540540540542</v>
      </c>
    </row>
    <row r="14" spans="1:83" s="106" customFormat="1" ht="13.5" customHeight="1">
      <c r="A14" s="111" t="s">
        <v>10</v>
      </c>
      <c r="B14" s="24">
        <v>172</v>
      </c>
      <c r="C14" s="24">
        <v>150</v>
      </c>
      <c r="D14" s="24">
        <v>150</v>
      </c>
      <c r="E14" s="24">
        <v>150</v>
      </c>
      <c r="F14" s="25">
        <v>172</v>
      </c>
      <c r="G14" s="25">
        <v>202</v>
      </c>
      <c r="H14" s="25">
        <v>138</v>
      </c>
      <c r="I14" s="25">
        <v>141</v>
      </c>
      <c r="J14" s="25">
        <v>133</v>
      </c>
      <c r="K14" s="25">
        <v>126</v>
      </c>
      <c r="L14" s="25">
        <v>69</v>
      </c>
      <c r="M14" s="25">
        <v>67</v>
      </c>
      <c r="N14" s="24">
        <v>67</v>
      </c>
      <c r="O14" s="25">
        <v>45</v>
      </c>
      <c r="P14" s="25">
        <v>101</v>
      </c>
      <c r="Q14" s="25">
        <v>102</v>
      </c>
      <c r="R14" s="24">
        <v>102</v>
      </c>
      <c r="S14" s="26">
        <v>96</v>
      </c>
      <c r="T14" s="29">
        <v>96</v>
      </c>
      <c r="U14" s="31">
        <v>96</v>
      </c>
      <c r="V14" s="29">
        <v>88</v>
      </c>
      <c r="W14" s="6">
        <v>78</v>
      </c>
      <c r="X14" s="6">
        <v>72</v>
      </c>
      <c r="Y14" s="6">
        <v>74</v>
      </c>
      <c r="Z14" s="6">
        <v>74</v>
      </c>
      <c r="AA14" s="6">
        <v>61</v>
      </c>
      <c r="AB14" s="15">
        <v>61</v>
      </c>
      <c r="AC14" s="14">
        <v>61</v>
      </c>
      <c r="AD14" s="46">
        <v>61</v>
      </c>
      <c r="AE14" s="46">
        <v>53</v>
      </c>
      <c r="AF14" s="46">
        <v>51.49</v>
      </c>
      <c r="AG14" s="14">
        <v>60.05</v>
      </c>
      <c r="AH14" s="14">
        <v>25.76</v>
      </c>
      <c r="AI14" s="85">
        <v>16.2162162162162</v>
      </c>
    </row>
    <row r="15" spans="1:83" s="106" customFormat="1" ht="13.5" customHeight="1">
      <c r="A15" s="111" t="s">
        <v>11</v>
      </c>
      <c r="B15" s="25">
        <v>49</v>
      </c>
      <c r="C15" s="24">
        <v>50</v>
      </c>
      <c r="D15" s="25">
        <v>55</v>
      </c>
      <c r="E15" s="25">
        <v>49</v>
      </c>
      <c r="F15" s="24">
        <v>55</v>
      </c>
      <c r="G15" s="25">
        <v>61</v>
      </c>
      <c r="H15" s="25">
        <v>48</v>
      </c>
      <c r="I15" s="25">
        <v>55</v>
      </c>
      <c r="J15" s="25">
        <v>34</v>
      </c>
      <c r="K15" s="25">
        <v>30</v>
      </c>
      <c r="L15" s="25">
        <v>25</v>
      </c>
      <c r="M15" s="25">
        <v>43</v>
      </c>
      <c r="N15" s="25">
        <v>35</v>
      </c>
      <c r="O15" s="25">
        <v>40</v>
      </c>
      <c r="P15" s="25">
        <v>57</v>
      </c>
      <c r="Q15" s="25">
        <v>38</v>
      </c>
      <c r="R15" s="25">
        <v>38</v>
      </c>
      <c r="S15" s="26">
        <v>33</v>
      </c>
      <c r="T15" s="27">
        <v>53</v>
      </c>
      <c r="U15" s="31">
        <v>53</v>
      </c>
      <c r="V15" s="27">
        <v>51</v>
      </c>
      <c r="W15" s="17">
        <v>60</v>
      </c>
      <c r="X15" s="7">
        <v>55</v>
      </c>
      <c r="Y15" s="7">
        <v>47</v>
      </c>
      <c r="Z15" s="6">
        <v>45</v>
      </c>
      <c r="AA15" s="7">
        <v>45</v>
      </c>
      <c r="AB15" s="14">
        <v>39</v>
      </c>
      <c r="AC15" s="14">
        <v>43</v>
      </c>
      <c r="AD15" s="46">
        <v>41</v>
      </c>
      <c r="AE15" s="46">
        <v>40.719101123595507</v>
      </c>
      <c r="AF15" s="46">
        <v>32.517241379310342</v>
      </c>
      <c r="AG15" s="14">
        <v>30.952380952380953</v>
      </c>
      <c r="AH15" s="15">
        <v>30.952380952380953</v>
      </c>
      <c r="AI15" s="15">
        <v>30.952380952380953</v>
      </c>
    </row>
    <row r="16" spans="1:83" s="106" customFormat="1" ht="13.5" customHeight="1">
      <c r="A16" s="111" t="s">
        <v>12</v>
      </c>
      <c r="B16" s="25">
        <v>1680</v>
      </c>
      <c r="C16" s="25">
        <v>525</v>
      </c>
      <c r="D16" s="25">
        <v>510</v>
      </c>
      <c r="E16" s="25">
        <v>275</v>
      </c>
      <c r="F16" s="25">
        <v>349</v>
      </c>
      <c r="G16" s="25">
        <v>300</v>
      </c>
      <c r="H16" s="25">
        <v>282</v>
      </c>
      <c r="I16" s="25">
        <v>198</v>
      </c>
      <c r="J16" s="25">
        <v>186</v>
      </c>
      <c r="K16" s="25">
        <v>166</v>
      </c>
      <c r="L16" s="25">
        <v>128</v>
      </c>
      <c r="M16" s="25">
        <v>157</v>
      </c>
      <c r="N16" s="25">
        <v>165</v>
      </c>
      <c r="O16" s="25">
        <v>198</v>
      </c>
      <c r="P16" s="25">
        <v>148</v>
      </c>
      <c r="Q16" s="25">
        <v>220</v>
      </c>
      <c r="R16" s="24">
        <v>220</v>
      </c>
      <c r="S16" s="26">
        <v>240</v>
      </c>
      <c r="T16" s="29">
        <v>170</v>
      </c>
      <c r="U16" s="31">
        <v>160</v>
      </c>
      <c r="V16" s="29">
        <v>152</v>
      </c>
      <c r="W16" s="30">
        <v>161</v>
      </c>
      <c r="X16" s="7">
        <v>143</v>
      </c>
      <c r="Y16" s="7">
        <v>126</v>
      </c>
      <c r="Z16" s="7">
        <v>109</v>
      </c>
      <c r="AA16" s="14">
        <v>92</v>
      </c>
      <c r="AB16" s="15">
        <v>97</v>
      </c>
      <c r="AC16" s="14">
        <v>102</v>
      </c>
      <c r="AD16" s="54">
        <v>102</v>
      </c>
      <c r="AE16" s="54">
        <v>102</v>
      </c>
      <c r="AF16" s="54">
        <v>102</v>
      </c>
      <c r="AG16" s="15">
        <v>102</v>
      </c>
      <c r="AH16" s="15">
        <v>102</v>
      </c>
      <c r="AI16" s="85">
        <v>165.97116843702599</v>
      </c>
    </row>
    <row r="17" spans="1:36" s="106" customFormat="1" ht="13.5" customHeight="1">
      <c r="A17" s="111" t="s">
        <v>13</v>
      </c>
      <c r="B17" s="25">
        <v>83</v>
      </c>
      <c r="C17" s="25">
        <v>82</v>
      </c>
      <c r="D17" s="25">
        <v>72</v>
      </c>
      <c r="E17" s="25">
        <v>63</v>
      </c>
      <c r="F17" s="25">
        <v>65</v>
      </c>
      <c r="G17" s="25">
        <v>79</v>
      </c>
      <c r="H17" s="25">
        <v>68</v>
      </c>
      <c r="I17" s="25">
        <v>55</v>
      </c>
      <c r="J17" s="25">
        <v>74</v>
      </c>
      <c r="K17" s="25">
        <v>37</v>
      </c>
      <c r="L17" s="25">
        <v>45</v>
      </c>
      <c r="M17" s="25">
        <v>45</v>
      </c>
      <c r="N17" s="25">
        <v>41</v>
      </c>
      <c r="O17" s="25">
        <v>54</v>
      </c>
      <c r="P17" s="25">
        <v>52</v>
      </c>
      <c r="Q17" s="25">
        <v>52</v>
      </c>
      <c r="R17" s="25">
        <v>52</v>
      </c>
      <c r="S17" s="26">
        <v>52</v>
      </c>
      <c r="T17" s="27">
        <v>49</v>
      </c>
      <c r="U17" s="28">
        <v>51</v>
      </c>
      <c r="V17" s="27">
        <v>47</v>
      </c>
      <c r="W17" s="6">
        <v>50</v>
      </c>
      <c r="X17" s="7">
        <v>46</v>
      </c>
      <c r="Y17" s="7">
        <v>48</v>
      </c>
      <c r="Z17" s="6">
        <v>34</v>
      </c>
      <c r="AA17" s="7">
        <v>32</v>
      </c>
      <c r="AB17" s="14">
        <v>29</v>
      </c>
      <c r="AC17" s="14">
        <v>30</v>
      </c>
      <c r="AD17" s="46">
        <v>34</v>
      </c>
      <c r="AE17" s="46">
        <v>27</v>
      </c>
      <c r="AF17" s="46">
        <v>19.600000000000001</v>
      </c>
      <c r="AG17" s="14">
        <v>24.8</v>
      </c>
      <c r="AH17" s="14">
        <v>17.5</v>
      </c>
      <c r="AI17" s="85">
        <v>19.740540540540501</v>
      </c>
    </row>
    <row r="18" spans="1:36" s="106" customFormat="1" ht="13.5" customHeight="1">
      <c r="A18" s="111" t="s">
        <v>14</v>
      </c>
      <c r="B18" s="24">
        <v>175</v>
      </c>
      <c r="C18" s="24">
        <v>185</v>
      </c>
      <c r="D18" s="24">
        <v>180</v>
      </c>
      <c r="E18" s="24">
        <v>126</v>
      </c>
      <c r="F18" s="25">
        <v>132</v>
      </c>
      <c r="G18" s="25">
        <v>120</v>
      </c>
      <c r="H18" s="25">
        <v>112</v>
      </c>
      <c r="I18" s="25">
        <v>88</v>
      </c>
      <c r="J18" s="25">
        <v>82</v>
      </c>
      <c r="K18" s="25">
        <v>75</v>
      </c>
      <c r="L18" s="25">
        <v>59</v>
      </c>
      <c r="M18" s="25">
        <v>57</v>
      </c>
      <c r="N18" s="25">
        <v>61</v>
      </c>
      <c r="O18" s="25">
        <v>75</v>
      </c>
      <c r="P18" s="25">
        <v>81</v>
      </c>
      <c r="Q18" s="25">
        <v>80</v>
      </c>
      <c r="R18" s="25">
        <v>78</v>
      </c>
      <c r="S18" s="26">
        <v>86</v>
      </c>
      <c r="T18" s="27">
        <v>92</v>
      </c>
      <c r="U18" s="28">
        <v>86</v>
      </c>
      <c r="V18" s="27">
        <v>80</v>
      </c>
      <c r="W18" s="6">
        <v>83</v>
      </c>
      <c r="X18" s="17">
        <v>76</v>
      </c>
      <c r="Y18" s="17">
        <v>76</v>
      </c>
      <c r="Z18" s="6">
        <v>75</v>
      </c>
      <c r="AA18" s="6">
        <v>63</v>
      </c>
      <c r="AB18" s="14">
        <v>64</v>
      </c>
      <c r="AC18" s="14">
        <v>64</v>
      </c>
      <c r="AD18" s="46">
        <v>69</v>
      </c>
      <c r="AE18" s="46">
        <v>66</v>
      </c>
      <c r="AF18" s="54">
        <v>66</v>
      </c>
      <c r="AG18" s="15">
        <v>66</v>
      </c>
      <c r="AH18" s="15">
        <v>66</v>
      </c>
      <c r="AI18" s="85">
        <v>64.670270270270294</v>
      </c>
    </row>
    <row r="19" spans="1:36" s="106" customFormat="1" ht="13.5" customHeight="1">
      <c r="A19" s="111" t="s">
        <v>15</v>
      </c>
      <c r="B19" s="24">
        <v>225</v>
      </c>
      <c r="C19" s="24">
        <v>210</v>
      </c>
      <c r="D19" s="24">
        <v>195</v>
      </c>
      <c r="E19" s="24">
        <v>180</v>
      </c>
      <c r="F19" s="24">
        <v>165</v>
      </c>
      <c r="G19" s="25">
        <v>337</v>
      </c>
      <c r="H19" s="25">
        <v>346</v>
      </c>
      <c r="I19" s="25">
        <v>135</v>
      </c>
      <c r="J19" s="34">
        <v>130</v>
      </c>
      <c r="K19" s="35">
        <v>126</v>
      </c>
      <c r="L19" s="35">
        <v>113</v>
      </c>
      <c r="M19" s="35">
        <v>129</v>
      </c>
      <c r="N19" s="35">
        <v>133</v>
      </c>
      <c r="O19" s="35">
        <v>128</v>
      </c>
      <c r="P19" s="35">
        <v>119</v>
      </c>
      <c r="Q19" s="36">
        <v>149</v>
      </c>
      <c r="R19" s="36">
        <v>138</v>
      </c>
      <c r="S19" s="37">
        <v>185</v>
      </c>
      <c r="T19" s="29">
        <v>234</v>
      </c>
      <c r="U19" s="31">
        <v>201</v>
      </c>
      <c r="V19" s="29">
        <v>214</v>
      </c>
      <c r="W19" s="36">
        <v>272</v>
      </c>
      <c r="X19" s="8">
        <v>306</v>
      </c>
      <c r="Y19" s="8">
        <v>169</v>
      </c>
      <c r="Z19" s="6">
        <v>127</v>
      </c>
      <c r="AA19" s="6">
        <v>135</v>
      </c>
      <c r="AB19" s="14">
        <v>117</v>
      </c>
      <c r="AC19" s="14">
        <v>73</v>
      </c>
      <c r="AD19" s="46">
        <v>89</v>
      </c>
      <c r="AE19" s="46">
        <v>95</v>
      </c>
      <c r="AF19" s="46">
        <v>87.25</v>
      </c>
      <c r="AG19" s="14">
        <v>105.3</v>
      </c>
      <c r="AH19" s="14">
        <v>89.45</v>
      </c>
      <c r="AI19" s="85">
        <v>75.350852406517802</v>
      </c>
    </row>
    <row r="20" spans="1:36" s="106" customFormat="1" ht="13.5" customHeight="1">
      <c r="A20" s="111" t="s">
        <v>16</v>
      </c>
      <c r="B20" s="25">
        <v>312</v>
      </c>
      <c r="C20" s="25">
        <v>221</v>
      </c>
      <c r="D20" s="25">
        <v>248</v>
      </c>
      <c r="E20" s="25">
        <v>126</v>
      </c>
      <c r="F20" s="25">
        <v>164</v>
      </c>
      <c r="G20" s="25">
        <v>190</v>
      </c>
      <c r="H20" s="25">
        <v>116</v>
      </c>
      <c r="I20" s="25">
        <v>81</v>
      </c>
      <c r="J20" s="25">
        <v>96</v>
      </c>
      <c r="K20" s="25">
        <v>167</v>
      </c>
      <c r="L20" s="25">
        <v>53</v>
      </c>
      <c r="M20" s="25">
        <v>45</v>
      </c>
      <c r="N20" s="25">
        <v>39</v>
      </c>
      <c r="O20" s="24">
        <v>48</v>
      </c>
      <c r="P20" s="24">
        <v>48</v>
      </c>
      <c r="Q20" s="24">
        <v>48</v>
      </c>
      <c r="R20" s="25">
        <v>39</v>
      </c>
      <c r="S20" s="26">
        <v>42</v>
      </c>
      <c r="T20" s="27">
        <v>37</v>
      </c>
      <c r="U20" s="28">
        <v>46</v>
      </c>
      <c r="V20" s="27">
        <v>48</v>
      </c>
      <c r="W20" s="7">
        <v>57</v>
      </c>
      <c r="X20" s="6">
        <v>64</v>
      </c>
      <c r="Y20" s="6">
        <v>68</v>
      </c>
      <c r="Z20" s="6">
        <v>61</v>
      </c>
      <c r="AA20" s="6">
        <v>61</v>
      </c>
      <c r="AB20" s="15">
        <v>61</v>
      </c>
      <c r="AC20" s="15">
        <v>61</v>
      </c>
      <c r="AD20" s="54">
        <v>61</v>
      </c>
      <c r="AE20" s="54">
        <v>61</v>
      </c>
      <c r="AF20" s="54">
        <v>61</v>
      </c>
      <c r="AG20" s="15">
        <v>61</v>
      </c>
      <c r="AH20" s="15">
        <v>61</v>
      </c>
      <c r="AI20" s="15">
        <v>61</v>
      </c>
    </row>
    <row r="21" spans="1:36" s="106" customFormat="1" ht="13.5" customHeight="1" thickBot="1">
      <c r="A21" s="115" t="s">
        <v>17</v>
      </c>
      <c r="B21" s="38">
        <v>157</v>
      </c>
      <c r="C21" s="38">
        <v>144</v>
      </c>
      <c r="D21" s="39">
        <v>144</v>
      </c>
      <c r="E21" s="38">
        <v>134</v>
      </c>
      <c r="F21" s="38">
        <v>129</v>
      </c>
      <c r="G21" s="38">
        <v>125</v>
      </c>
      <c r="H21" s="38">
        <v>108</v>
      </c>
      <c r="I21" s="38">
        <v>118</v>
      </c>
      <c r="J21" s="38">
        <v>120</v>
      </c>
      <c r="K21" s="38">
        <v>108</v>
      </c>
      <c r="L21" s="38">
        <v>107</v>
      </c>
      <c r="M21" s="38">
        <v>86</v>
      </c>
      <c r="N21" s="38">
        <v>91</v>
      </c>
      <c r="O21" s="38">
        <v>100</v>
      </c>
      <c r="P21" s="38">
        <v>110</v>
      </c>
      <c r="Q21" s="38">
        <v>93</v>
      </c>
      <c r="R21" s="38">
        <v>71</v>
      </c>
      <c r="S21" s="40">
        <v>101</v>
      </c>
      <c r="T21" s="41">
        <v>83</v>
      </c>
      <c r="U21" s="42">
        <v>69</v>
      </c>
      <c r="V21" s="41">
        <v>62</v>
      </c>
      <c r="W21" s="9">
        <v>64</v>
      </c>
      <c r="X21" s="9">
        <v>63</v>
      </c>
      <c r="Y21" s="9">
        <v>63</v>
      </c>
      <c r="Z21" s="9">
        <v>78</v>
      </c>
      <c r="AA21" s="9">
        <v>59</v>
      </c>
      <c r="AB21" s="55">
        <v>68</v>
      </c>
      <c r="AC21" s="55">
        <v>64</v>
      </c>
      <c r="AD21" s="56">
        <v>53</v>
      </c>
      <c r="AE21" s="56">
        <v>64</v>
      </c>
      <c r="AF21" s="56">
        <v>64</v>
      </c>
      <c r="AG21" s="55">
        <v>137.55000000000001</v>
      </c>
      <c r="AH21" s="90">
        <v>138</v>
      </c>
      <c r="AI21" s="90">
        <v>138</v>
      </c>
    </row>
    <row r="22" spans="1:36" s="106" customFormat="1" ht="13.5" customHeight="1">
      <c r="A22" s="116" t="s">
        <v>40</v>
      </c>
      <c r="B22" s="117">
        <v>296.05882352941177</v>
      </c>
      <c r="C22" s="117">
        <v>212.58823529411765</v>
      </c>
      <c r="D22" s="117">
        <v>200.70588235294119</v>
      </c>
      <c r="E22" s="117">
        <v>154.41176470588235</v>
      </c>
      <c r="F22" s="117">
        <v>166.70588235294119</v>
      </c>
      <c r="G22" s="117">
        <v>165.05882352941177</v>
      </c>
      <c r="H22" s="117">
        <v>154.64705882352942</v>
      </c>
      <c r="I22" s="117">
        <v>117.23529411764706</v>
      </c>
      <c r="J22" s="117">
        <v>114.17647058823529</v>
      </c>
      <c r="K22" s="117">
        <v>109.88235294117646</v>
      </c>
      <c r="L22" s="117">
        <v>82.764705882352942</v>
      </c>
      <c r="M22" s="117">
        <v>76.17647058823529</v>
      </c>
      <c r="N22" s="117">
        <v>84.411764705882348</v>
      </c>
      <c r="O22" s="117">
        <v>89.058823529411768</v>
      </c>
      <c r="P22" s="117">
        <v>93.941176470588232</v>
      </c>
      <c r="Q22" s="117">
        <v>97.647058823529406</v>
      </c>
      <c r="R22" s="117">
        <v>92.294117647058826</v>
      </c>
      <c r="S22" s="117">
        <v>101.64705882352941</v>
      </c>
      <c r="T22" s="117">
        <v>111.94117647058823</v>
      </c>
      <c r="U22" s="117">
        <v>100.29411764705883</v>
      </c>
      <c r="V22" s="117">
        <v>93.705882352941174</v>
      </c>
      <c r="W22" s="117">
        <v>100.41176470588235</v>
      </c>
      <c r="X22" s="117">
        <v>94.411764705882348</v>
      </c>
      <c r="Y22" s="117">
        <v>88.470588235294116</v>
      </c>
      <c r="Z22" s="117">
        <v>82.705882352941174</v>
      </c>
      <c r="AA22" s="117">
        <v>71.058823529411768</v>
      </c>
      <c r="AB22" s="117">
        <v>72</v>
      </c>
      <c r="AC22" s="117">
        <v>69.470588235294116</v>
      </c>
      <c r="AD22" s="117">
        <v>73.058823529411768</v>
      </c>
      <c r="AE22" s="117">
        <v>70.630535360211496</v>
      </c>
      <c r="AF22" s="117">
        <v>75.475131845841787</v>
      </c>
      <c r="AG22" s="117">
        <v>89.339551820728275</v>
      </c>
      <c r="AH22" s="117">
        <v>78.746022408963583</v>
      </c>
      <c r="AI22" s="117">
        <v>79.96439038795198</v>
      </c>
    </row>
    <row r="23" spans="1:36" s="106" customFormat="1" ht="13.5" customHeight="1">
      <c r="A23" s="118" t="s">
        <v>41</v>
      </c>
      <c r="B23" s="117">
        <v>172.93875006207378</v>
      </c>
      <c r="C23" s="117">
        <v>148.64079667285779</v>
      </c>
      <c r="D23" s="117">
        <v>146.24847822963039</v>
      </c>
      <c r="E23" s="117">
        <v>106.24963599098419</v>
      </c>
      <c r="F23" s="117">
        <v>117.81476682480874</v>
      </c>
      <c r="G23" s="117">
        <v>118.6202312257014</v>
      </c>
      <c r="H23" s="117">
        <v>117.26470183619432</v>
      </c>
      <c r="I23" s="117">
        <v>92.980900100954884</v>
      </c>
      <c r="J23" s="117">
        <v>94.014970350437267</v>
      </c>
      <c r="K23" s="117">
        <v>86.36596532535853</v>
      </c>
      <c r="L23" s="117">
        <v>63.405490396255964</v>
      </c>
      <c r="M23" s="117">
        <v>58.727707315904446</v>
      </c>
      <c r="N23" s="117">
        <v>62.23131486159398</v>
      </c>
      <c r="O23" s="117">
        <v>70.018382880784557</v>
      </c>
      <c r="P23" s="117">
        <v>75.460554311013084</v>
      </c>
      <c r="Q23" s="117">
        <v>73.04893506538545</v>
      </c>
      <c r="R23" s="117">
        <v>68.23431824986902</v>
      </c>
      <c r="S23" s="117">
        <v>74.639502107497179</v>
      </c>
      <c r="T23" s="117">
        <v>80.156062170831163</v>
      </c>
      <c r="U23" s="117">
        <v>72.211063109593908</v>
      </c>
      <c r="V23" s="117">
        <v>67.58210183488481</v>
      </c>
      <c r="W23" s="117">
        <v>72.780956751365167</v>
      </c>
      <c r="X23" s="117">
        <v>68.430156460507334</v>
      </c>
      <c r="Y23" s="117">
        <v>68.089172042672516</v>
      </c>
      <c r="Z23" s="117">
        <v>65.938434046460301</v>
      </c>
      <c r="AA23" s="117">
        <v>56.4424329083784</v>
      </c>
      <c r="AB23" s="117">
        <v>57.658226670953063</v>
      </c>
      <c r="AC23" s="117">
        <v>54.783652127368491</v>
      </c>
      <c r="AD23" s="117">
        <v>56.195118373195065</v>
      </c>
      <c r="AE23" s="117">
        <v>57.774035353207751</v>
      </c>
      <c r="AF23" s="117">
        <v>58.364384807120665</v>
      </c>
      <c r="AG23" s="117">
        <v>70.830836901299008</v>
      </c>
      <c r="AH23" s="117">
        <v>66.208419864346212</v>
      </c>
      <c r="AI23" s="117">
        <v>67.446573507801091</v>
      </c>
    </row>
    <row r="24" spans="1:36" s="106" customFormat="1" ht="13.5" customHeight="1">
      <c r="A24" s="118" t="s">
        <v>42</v>
      </c>
      <c r="B24" s="117">
        <v>135.79254316303067</v>
      </c>
      <c r="C24" s="117">
        <v>119.89473778135839</v>
      </c>
      <c r="D24" s="117">
        <v>112.61187339254739</v>
      </c>
      <c r="E24" s="117">
        <v>90.707128558367685</v>
      </c>
      <c r="F24" s="117">
        <v>99.019593261459534</v>
      </c>
      <c r="G24" s="117">
        <v>91.041027465725819</v>
      </c>
      <c r="H24" s="117">
        <v>92.805278533095404</v>
      </c>
      <c r="I24" s="117">
        <v>81.583022423879527</v>
      </c>
      <c r="J24" s="117">
        <v>84.033682993242394</v>
      </c>
      <c r="K24" s="117">
        <v>80.759345954332233</v>
      </c>
      <c r="L24" s="117">
        <v>68.489025588775789</v>
      </c>
      <c r="M24" s="117">
        <v>65.481393657233454</v>
      </c>
      <c r="N24" s="117">
        <v>66.070489138035441</v>
      </c>
      <c r="O24" s="117">
        <v>61.959267011206251</v>
      </c>
      <c r="P24" s="117">
        <v>60.753292275796639</v>
      </c>
      <c r="Q24" s="117">
        <v>58.06586799412424</v>
      </c>
      <c r="R24" s="117">
        <v>54.384798674693108</v>
      </c>
      <c r="S24" s="117">
        <v>54.486836538472943</v>
      </c>
      <c r="T24" s="117">
        <v>54.506122276165193</v>
      </c>
      <c r="U24" s="117">
        <v>51.931308145895557</v>
      </c>
      <c r="V24" s="117">
        <v>51.016377033117841</v>
      </c>
      <c r="W24" s="117">
        <v>52.13299932100287</v>
      </c>
      <c r="X24" s="117">
        <v>53.101801413353698</v>
      </c>
      <c r="Y24" s="117">
        <v>51.054500420527027</v>
      </c>
      <c r="Z24" s="117">
        <v>50.107216071655003</v>
      </c>
      <c r="AA24" s="117">
        <v>51.588383678257863</v>
      </c>
      <c r="AB24" s="117">
        <v>52.0653785189091</v>
      </c>
      <c r="AC24" s="117">
        <v>48.812232556481106</v>
      </c>
      <c r="AD24" s="117">
        <v>47.597265422871743</v>
      </c>
      <c r="AE24" s="117">
        <v>51.592213570414522</v>
      </c>
      <c r="AF24" s="117">
        <v>51.010472321423457</v>
      </c>
      <c r="AG24" s="117">
        <v>59.710395507795063</v>
      </c>
      <c r="AH24" s="117">
        <v>62.831790451264553</v>
      </c>
      <c r="AI24" s="117">
        <v>62.388080494716021</v>
      </c>
    </row>
    <row r="25" spans="1:36" s="106" customFormat="1" ht="13.5" customHeight="1">
      <c r="A25" s="119" t="s">
        <v>43</v>
      </c>
      <c r="B25" s="117">
        <v>270.62275947392067</v>
      </c>
      <c r="C25" s="117">
        <v>227.2570741645342</v>
      </c>
      <c r="D25" s="117">
        <v>205.32563620032113</v>
      </c>
      <c r="E25" s="117">
        <v>159.83794986065533</v>
      </c>
      <c r="F25" s="117">
        <v>169.71021569923218</v>
      </c>
      <c r="G25" s="117">
        <v>151.72356525581441</v>
      </c>
      <c r="H25" s="117">
        <v>151.10649471642205</v>
      </c>
      <c r="I25" s="117">
        <v>130.79573936186111</v>
      </c>
      <c r="J25" s="117">
        <v>133.24580753998416</v>
      </c>
      <c r="K25" s="117">
        <v>126.6635427934328</v>
      </c>
      <c r="L25" s="117">
        <v>105.20459222590645</v>
      </c>
      <c r="M25" s="117">
        <v>98.275157639168427</v>
      </c>
      <c r="N25" s="117">
        <v>96.982277432372641</v>
      </c>
      <c r="O25" s="117">
        <v>89.092187188859171</v>
      </c>
      <c r="P25" s="117">
        <v>85.529158855730472</v>
      </c>
      <c r="Q25" s="117">
        <v>80.003429174530851</v>
      </c>
      <c r="R25" s="117">
        <v>73.325586417159542</v>
      </c>
      <c r="S25" s="117">
        <v>71.929743245233368</v>
      </c>
      <c r="T25" s="117">
        <v>69.675402998622459</v>
      </c>
      <c r="U25" s="117">
        <v>66.18876029718011</v>
      </c>
      <c r="V25" s="117">
        <v>63.990977118286061</v>
      </c>
      <c r="W25" s="117">
        <v>63.664823130666484</v>
      </c>
      <c r="X25" s="117">
        <v>63.267235503396016</v>
      </c>
      <c r="Y25" s="117">
        <v>60.013953905473613</v>
      </c>
      <c r="Z25" s="117">
        <v>58.6466785040651</v>
      </c>
      <c r="AA25" s="117">
        <v>60.265549812940819</v>
      </c>
      <c r="AB25" s="117">
        <v>60.683203817010479</v>
      </c>
      <c r="AC25" s="117">
        <v>56.0252014860299</v>
      </c>
      <c r="AD25" s="117">
        <v>53.691700914444539</v>
      </c>
      <c r="AE25" s="117">
        <v>57.509564783357106</v>
      </c>
      <c r="AF25" s="117">
        <v>56.720382415654747</v>
      </c>
      <c r="AG25" s="117">
        <v>64.718578615889939</v>
      </c>
      <c r="AH25" s="117">
        <v>62.83179045126456</v>
      </c>
      <c r="AI25" s="117">
        <v>59.181287563075315</v>
      </c>
    </row>
    <row r="26" spans="1:36" s="113" customFormat="1" ht="13.5" customHeight="1">
      <c r="A26" s="120" t="s">
        <v>46</v>
      </c>
      <c r="AF26" s="106"/>
      <c r="AG26" s="106"/>
      <c r="AH26" s="106"/>
      <c r="AI26" s="106"/>
      <c r="AJ26" s="106"/>
    </row>
    <row r="27" spans="1:36" s="106" customFormat="1" ht="13.2"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U27" s="122"/>
      <c r="V27" s="122"/>
    </row>
    <row r="28" spans="1:36" s="106" customFormat="1" ht="13.2"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U28" s="122"/>
      <c r="V28" s="122"/>
    </row>
    <row r="29" spans="1:36" s="106" customFormat="1" ht="13.2">
      <c r="A29" s="105" t="s">
        <v>18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</row>
    <row r="30" spans="1:36" s="106" customFormat="1" ht="15.75" customHeight="1" thickBot="1">
      <c r="A30" s="107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9"/>
      <c r="X30" s="109"/>
    </row>
    <row r="31" spans="1:36" s="106" customFormat="1" ht="13.5" customHeight="1" thickBot="1">
      <c r="A31" s="86" t="s">
        <v>30</v>
      </c>
      <c r="B31" s="87">
        <v>1990</v>
      </c>
      <c r="C31" s="50">
        <v>1991</v>
      </c>
      <c r="D31" s="50">
        <v>1992</v>
      </c>
      <c r="E31" s="50">
        <v>1993</v>
      </c>
      <c r="F31" s="50">
        <v>1994</v>
      </c>
      <c r="G31" s="50">
        <v>1995</v>
      </c>
      <c r="H31" s="50">
        <v>1996</v>
      </c>
      <c r="I31" s="50">
        <v>1997</v>
      </c>
      <c r="J31" s="50">
        <v>1998</v>
      </c>
      <c r="K31" s="50">
        <v>1999</v>
      </c>
      <c r="L31" s="50">
        <v>2000</v>
      </c>
      <c r="M31" s="50">
        <v>2001</v>
      </c>
      <c r="N31" s="50">
        <v>2002</v>
      </c>
      <c r="O31" s="50">
        <v>2003</v>
      </c>
      <c r="P31" s="50">
        <v>2004</v>
      </c>
      <c r="Q31" s="50">
        <v>2005</v>
      </c>
      <c r="R31" s="50">
        <v>2006</v>
      </c>
      <c r="S31" s="50">
        <v>2007</v>
      </c>
      <c r="T31" s="50">
        <v>2008</v>
      </c>
      <c r="U31" s="50">
        <v>2009</v>
      </c>
      <c r="V31" s="50">
        <v>2010</v>
      </c>
      <c r="W31" s="50">
        <v>2011</v>
      </c>
      <c r="X31" s="50">
        <v>2012</v>
      </c>
      <c r="Y31" s="50">
        <v>2013</v>
      </c>
      <c r="Z31" s="50">
        <v>2014</v>
      </c>
      <c r="AA31" s="50">
        <v>2015</v>
      </c>
      <c r="AB31" s="50">
        <v>2016</v>
      </c>
      <c r="AC31" s="50">
        <v>2017</v>
      </c>
      <c r="AD31" s="50">
        <v>2018</v>
      </c>
      <c r="AE31" s="50">
        <v>2019</v>
      </c>
      <c r="AF31" s="50">
        <v>2020</v>
      </c>
      <c r="AG31" s="50">
        <v>2021</v>
      </c>
      <c r="AH31" s="50">
        <v>2022</v>
      </c>
      <c r="AI31" s="88">
        <v>2023</v>
      </c>
    </row>
    <row r="32" spans="1:36" s="106" customFormat="1" ht="13.5" customHeight="1">
      <c r="A32" s="110" t="s">
        <v>1</v>
      </c>
      <c r="B32" s="57">
        <v>55244</v>
      </c>
      <c r="C32" s="58">
        <v>46145</v>
      </c>
      <c r="D32" s="57">
        <v>63000</v>
      </c>
      <c r="E32" s="57">
        <v>36000</v>
      </c>
      <c r="F32" s="57">
        <v>37752</v>
      </c>
      <c r="G32" s="57">
        <v>30491</v>
      </c>
      <c r="H32" s="57">
        <v>30222</v>
      </c>
      <c r="I32" s="57">
        <v>28831</v>
      </c>
      <c r="J32" s="57">
        <v>34565</v>
      </c>
      <c r="K32" s="57">
        <v>31087</v>
      </c>
      <c r="L32" s="57">
        <v>25026</v>
      </c>
      <c r="M32" s="57">
        <v>19553</v>
      </c>
      <c r="N32" s="57">
        <v>23547</v>
      </c>
      <c r="O32" s="57">
        <v>33900</v>
      </c>
      <c r="P32" s="57">
        <v>37260</v>
      </c>
      <c r="Q32" s="57">
        <v>36168</v>
      </c>
      <c r="R32" s="57">
        <v>37640</v>
      </c>
      <c r="S32" s="57">
        <v>54810</v>
      </c>
      <c r="T32" s="59">
        <v>58824</v>
      </c>
      <c r="U32" s="60">
        <v>41715</v>
      </c>
      <c r="V32" s="59">
        <v>39741</v>
      </c>
      <c r="W32" s="58">
        <v>41882</v>
      </c>
      <c r="X32" s="61">
        <v>30928</v>
      </c>
      <c r="Y32" s="61">
        <v>40010</v>
      </c>
      <c r="Z32" s="61">
        <v>32899</v>
      </c>
      <c r="AA32" s="61">
        <v>27352</v>
      </c>
      <c r="AB32" s="62">
        <v>27685</v>
      </c>
      <c r="AC32" s="62">
        <v>32580.378701594535</v>
      </c>
      <c r="AD32" s="63">
        <v>37475.757403189069</v>
      </c>
      <c r="AE32" s="63">
        <v>42371.136104783596</v>
      </c>
      <c r="AF32" s="63">
        <v>47266.514806378131</v>
      </c>
      <c r="AG32" s="64">
        <v>48635.82</v>
      </c>
      <c r="AH32" s="64">
        <v>43203.37</v>
      </c>
      <c r="AI32" s="89">
        <v>36756.756756756797</v>
      </c>
    </row>
    <row r="33" spans="1:83" s="106" customFormat="1" ht="13.5" customHeight="1">
      <c r="A33" s="111" t="s">
        <v>2</v>
      </c>
      <c r="B33" s="65">
        <v>30000</v>
      </c>
      <c r="C33" s="66">
        <v>30000</v>
      </c>
      <c r="D33" s="66">
        <v>28500</v>
      </c>
      <c r="E33" s="66">
        <v>26600</v>
      </c>
      <c r="F33" s="66">
        <v>29586</v>
      </c>
      <c r="G33" s="66">
        <v>32580</v>
      </c>
      <c r="H33" s="66">
        <v>24307</v>
      </c>
      <c r="I33" s="66">
        <v>21761</v>
      </c>
      <c r="J33" s="66">
        <v>20847</v>
      </c>
      <c r="K33" s="66">
        <v>18557</v>
      </c>
      <c r="L33" s="66">
        <v>18360</v>
      </c>
      <c r="M33" s="66">
        <v>20292</v>
      </c>
      <c r="N33" s="66">
        <v>22229</v>
      </c>
      <c r="O33" s="66">
        <v>20960</v>
      </c>
      <c r="P33" s="66">
        <v>23040</v>
      </c>
      <c r="Q33" s="65">
        <v>23336</v>
      </c>
      <c r="R33" s="66">
        <v>18820</v>
      </c>
      <c r="S33" s="66">
        <v>20554</v>
      </c>
      <c r="T33" s="48">
        <v>14706</v>
      </c>
      <c r="U33" s="44">
        <v>15991</v>
      </c>
      <c r="V33" s="48">
        <v>15102</v>
      </c>
      <c r="W33" s="67">
        <v>10720</v>
      </c>
      <c r="X33" s="67">
        <v>20619</v>
      </c>
      <c r="Y33" s="67">
        <v>18338</v>
      </c>
      <c r="Z33" s="67">
        <v>17519.307890218559</v>
      </c>
      <c r="AA33" s="67">
        <v>17505</v>
      </c>
      <c r="AB33" s="67">
        <v>26578.073173909721</v>
      </c>
      <c r="AC33" s="64">
        <v>22638.566269953932</v>
      </c>
      <c r="AD33" s="68">
        <v>18699.059365998139</v>
      </c>
      <c r="AE33" s="68">
        <v>14759.552462042349</v>
      </c>
      <c r="AF33" s="68">
        <v>10869.57</v>
      </c>
      <c r="AG33" s="64">
        <v>10869.57</v>
      </c>
      <c r="AH33" s="64">
        <v>13698.63</v>
      </c>
      <c r="AI33" s="89">
        <v>14594.5945945946</v>
      </c>
      <c r="AJ33" s="112"/>
    </row>
    <row r="34" spans="1:83" s="114" customFormat="1" ht="13.5" customHeight="1">
      <c r="A34" s="111" t="s">
        <v>3</v>
      </c>
      <c r="B34" s="66">
        <v>110000</v>
      </c>
      <c r="C34" s="66">
        <v>100000</v>
      </c>
      <c r="D34" s="66">
        <v>85000</v>
      </c>
      <c r="E34" s="66">
        <v>95000</v>
      </c>
      <c r="F34" s="66">
        <v>117625</v>
      </c>
      <c r="G34" s="66">
        <v>106805</v>
      </c>
      <c r="H34" s="66">
        <v>86806</v>
      </c>
      <c r="I34" s="66">
        <v>100465</v>
      </c>
      <c r="J34" s="66">
        <v>65693</v>
      </c>
      <c r="K34" s="66">
        <v>61507</v>
      </c>
      <c r="L34" s="66">
        <v>23585</v>
      </c>
      <c r="M34" s="66">
        <v>32889</v>
      </c>
      <c r="N34" s="66">
        <v>20803</v>
      </c>
      <c r="O34" s="66">
        <v>41770</v>
      </c>
      <c r="P34" s="66">
        <v>32820</v>
      </c>
      <c r="Q34" s="66">
        <v>37741</v>
      </c>
      <c r="R34" s="66">
        <v>35967</v>
      </c>
      <c r="S34" s="66">
        <v>33091</v>
      </c>
      <c r="T34" s="49">
        <v>52335</v>
      </c>
      <c r="U34" s="44">
        <v>49066</v>
      </c>
      <c r="V34" s="49">
        <v>48952</v>
      </c>
      <c r="W34" s="65">
        <v>51791</v>
      </c>
      <c r="X34" s="69">
        <v>47614</v>
      </c>
      <c r="Y34" s="69">
        <v>64743</v>
      </c>
      <c r="Z34" s="67">
        <v>40950</v>
      </c>
      <c r="AA34" s="67">
        <v>47654</v>
      </c>
      <c r="AB34" s="64">
        <v>44610</v>
      </c>
      <c r="AC34" s="64">
        <v>45263</v>
      </c>
      <c r="AD34" s="68">
        <v>51514</v>
      </c>
      <c r="AE34" s="68">
        <v>37492.5</v>
      </c>
      <c r="AF34" s="68">
        <v>30608.645</v>
      </c>
      <c r="AG34" s="64">
        <v>23724.79</v>
      </c>
      <c r="AH34" s="91">
        <v>23724.79</v>
      </c>
      <c r="AI34" s="91">
        <v>23724.79</v>
      </c>
      <c r="AJ34" s="112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3"/>
    </row>
    <row r="35" spans="1:83" s="106" customFormat="1" ht="13.5" customHeight="1">
      <c r="A35" s="111" t="s">
        <v>4</v>
      </c>
      <c r="B35" s="65">
        <v>353774</v>
      </c>
      <c r="C35" s="66">
        <v>353774</v>
      </c>
      <c r="D35" s="66">
        <v>353774</v>
      </c>
      <c r="E35" s="66">
        <v>353774</v>
      </c>
      <c r="F35" s="66">
        <v>353774</v>
      </c>
      <c r="G35" s="66">
        <v>353774</v>
      </c>
      <c r="H35" s="66">
        <v>321586</v>
      </c>
      <c r="I35" s="66">
        <v>199442</v>
      </c>
      <c r="J35" s="66">
        <v>197856</v>
      </c>
      <c r="K35" s="66">
        <v>194357</v>
      </c>
      <c r="L35" s="66">
        <v>161034</v>
      </c>
      <c r="M35" s="66">
        <v>44840</v>
      </c>
      <c r="N35" s="66">
        <v>51804</v>
      </c>
      <c r="O35" s="65">
        <v>51800</v>
      </c>
      <c r="P35" s="65">
        <v>68314</v>
      </c>
      <c r="Q35" s="66">
        <v>69192</v>
      </c>
      <c r="R35" s="66">
        <v>69192</v>
      </c>
      <c r="S35" s="66">
        <v>54810</v>
      </c>
      <c r="T35" s="48">
        <v>58824</v>
      </c>
      <c r="U35" s="45">
        <v>58824</v>
      </c>
      <c r="V35" s="48">
        <v>52989</v>
      </c>
      <c r="W35" s="67">
        <v>55843</v>
      </c>
      <c r="X35" s="67">
        <v>51546</v>
      </c>
      <c r="Y35" s="67">
        <v>53346</v>
      </c>
      <c r="Z35" s="67">
        <v>53346</v>
      </c>
      <c r="AA35" s="64">
        <v>53346</v>
      </c>
      <c r="AB35" s="64">
        <v>53346</v>
      </c>
      <c r="AC35" s="64">
        <v>53346</v>
      </c>
      <c r="AD35" s="68">
        <v>53346</v>
      </c>
      <c r="AE35" s="68">
        <v>53346</v>
      </c>
      <c r="AF35" s="68">
        <v>53346</v>
      </c>
      <c r="AG35" s="64">
        <v>53346</v>
      </c>
      <c r="AH35" s="91">
        <v>53346</v>
      </c>
      <c r="AI35" s="91">
        <v>53346</v>
      </c>
      <c r="AJ35" s="112"/>
    </row>
    <row r="36" spans="1:83" s="106" customFormat="1" ht="13.5" customHeight="1">
      <c r="A36" s="111" t="s">
        <v>5</v>
      </c>
      <c r="B36" s="65">
        <v>180000</v>
      </c>
      <c r="C36" s="66">
        <v>72250</v>
      </c>
      <c r="D36" s="66">
        <v>80000</v>
      </c>
      <c r="E36" s="66">
        <v>63750</v>
      </c>
      <c r="F36" s="66">
        <v>75000</v>
      </c>
      <c r="G36" s="66">
        <v>66035</v>
      </c>
      <c r="H36" s="66">
        <v>46603</v>
      </c>
      <c r="I36" s="66">
        <v>32230</v>
      </c>
      <c r="J36" s="66">
        <v>25885</v>
      </c>
      <c r="K36" s="66">
        <v>25596</v>
      </c>
      <c r="L36" s="70">
        <v>22158</v>
      </c>
      <c r="M36" s="66">
        <v>26906</v>
      </c>
      <c r="N36" s="66">
        <v>23547</v>
      </c>
      <c r="O36" s="66">
        <v>28250</v>
      </c>
      <c r="P36" s="66">
        <v>31050</v>
      </c>
      <c r="Q36" s="66">
        <v>31450</v>
      </c>
      <c r="R36" s="66">
        <v>35550</v>
      </c>
      <c r="S36" s="66">
        <v>34246</v>
      </c>
      <c r="T36" s="49">
        <v>36743</v>
      </c>
      <c r="U36" s="44">
        <v>17385</v>
      </c>
      <c r="V36" s="48">
        <v>15897</v>
      </c>
      <c r="W36" s="67">
        <v>11169</v>
      </c>
      <c r="X36" s="67">
        <v>13853</v>
      </c>
      <c r="Y36" s="67">
        <v>13337</v>
      </c>
      <c r="Z36" s="67">
        <v>19739</v>
      </c>
      <c r="AA36" s="71">
        <v>16411</v>
      </c>
      <c r="AB36" s="72">
        <v>16844</v>
      </c>
      <c r="AC36" s="72">
        <v>17277</v>
      </c>
      <c r="AD36" s="73">
        <v>17710</v>
      </c>
      <c r="AE36" s="73">
        <v>16797.310000000001</v>
      </c>
      <c r="AF36" s="73">
        <v>15589.24</v>
      </c>
      <c r="AG36" s="93">
        <v>17200.47</v>
      </c>
      <c r="AH36" s="92">
        <v>15806.11</v>
      </c>
      <c r="AI36" s="94">
        <v>15783.7837837838</v>
      </c>
    </row>
    <row r="37" spans="1:83" s="106" customFormat="1" ht="13.5" customHeight="1">
      <c r="A37" s="111" t="s">
        <v>6</v>
      </c>
      <c r="B37" s="66">
        <v>45244</v>
      </c>
      <c r="C37" s="66">
        <v>36145</v>
      </c>
      <c r="D37" s="66">
        <v>41667</v>
      </c>
      <c r="E37" s="66">
        <v>35206</v>
      </c>
      <c r="F37" s="66">
        <v>36448</v>
      </c>
      <c r="G37" s="66">
        <v>35256</v>
      </c>
      <c r="H37" s="66">
        <v>27890</v>
      </c>
      <c r="I37" s="66">
        <v>25686</v>
      </c>
      <c r="J37" s="66">
        <v>25608</v>
      </c>
      <c r="K37" s="66">
        <v>24770</v>
      </c>
      <c r="L37" s="66">
        <v>20263</v>
      </c>
      <c r="M37" s="66">
        <v>17816</v>
      </c>
      <c r="N37" s="66">
        <v>20325</v>
      </c>
      <c r="O37" s="66">
        <v>21510</v>
      </c>
      <c r="P37" s="66">
        <v>25723</v>
      </c>
      <c r="Q37" s="66">
        <v>25765</v>
      </c>
      <c r="R37" s="66">
        <v>22510</v>
      </c>
      <c r="S37" s="66">
        <v>25810</v>
      </c>
      <c r="T37" s="48">
        <v>26471</v>
      </c>
      <c r="U37" s="44">
        <v>26717</v>
      </c>
      <c r="V37" s="48">
        <v>32519</v>
      </c>
      <c r="W37" s="66">
        <v>35500</v>
      </c>
      <c r="X37" s="67">
        <v>35366</v>
      </c>
      <c r="Y37" s="67">
        <v>41233</v>
      </c>
      <c r="Z37" s="67">
        <v>29609</v>
      </c>
      <c r="AA37" s="67">
        <v>36379</v>
      </c>
      <c r="AB37" s="64">
        <v>33776</v>
      </c>
      <c r="AC37" s="64">
        <v>35634</v>
      </c>
      <c r="AD37" s="68">
        <v>33058</v>
      </c>
      <c r="AE37" s="68">
        <v>33594.624860022399</v>
      </c>
      <c r="AF37" s="68">
        <v>34516.019999999997</v>
      </c>
      <c r="AG37" s="92">
        <v>37366.550000000003</v>
      </c>
      <c r="AH37" s="91">
        <v>37366.550000000003</v>
      </c>
      <c r="AI37" s="94">
        <v>31656.216216216199</v>
      </c>
    </row>
    <row r="38" spans="1:83" s="106" customFormat="1" ht="13.5" customHeight="1">
      <c r="A38" s="111" t="s">
        <v>7</v>
      </c>
      <c r="B38" s="66">
        <v>90000</v>
      </c>
      <c r="C38" s="66">
        <v>70000</v>
      </c>
      <c r="D38" s="66">
        <v>35000</v>
      </c>
      <c r="E38" s="66">
        <v>28000</v>
      </c>
      <c r="F38" s="66">
        <v>29536</v>
      </c>
      <c r="G38" s="66">
        <v>34362</v>
      </c>
      <c r="H38" s="66">
        <v>39090</v>
      </c>
      <c r="I38" s="66">
        <v>28775</v>
      </c>
      <c r="J38" s="66">
        <v>21020</v>
      </c>
      <c r="K38" s="66">
        <v>20714</v>
      </c>
      <c r="L38" s="66">
        <v>17320</v>
      </c>
      <c r="M38" s="66">
        <v>16592</v>
      </c>
      <c r="N38" s="66">
        <v>17425</v>
      </c>
      <c r="O38" s="66">
        <v>18650</v>
      </c>
      <c r="P38" s="66">
        <v>17540</v>
      </c>
      <c r="Q38" s="66">
        <v>14782</v>
      </c>
      <c r="R38" s="66">
        <v>19450</v>
      </c>
      <c r="S38" s="66">
        <v>19450</v>
      </c>
      <c r="T38" s="49">
        <v>22413</v>
      </c>
      <c r="U38" s="45">
        <v>21205</v>
      </c>
      <c r="V38" s="49">
        <v>18215</v>
      </c>
      <c r="W38" s="65">
        <v>23035</v>
      </c>
      <c r="X38" s="67">
        <v>21263</v>
      </c>
      <c r="Y38" s="67">
        <v>16004</v>
      </c>
      <c r="Z38" s="67">
        <v>15791</v>
      </c>
      <c r="AA38" s="67">
        <v>17505</v>
      </c>
      <c r="AB38" s="64">
        <v>19934</v>
      </c>
      <c r="AC38" s="64">
        <v>20202</v>
      </c>
      <c r="AD38" s="68">
        <v>21842</v>
      </c>
      <c r="AE38" s="68">
        <v>21276.6</v>
      </c>
      <c r="AF38" s="68">
        <v>20594.97</v>
      </c>
      <c r="AG38" s="92">
        <v>21352.31</v>
      </c>
      <c r="AH38" s="92">
        <v>18967.330000000002</v>
      </c>
      <c r="AI38" s="94">
        <v>19459.4594594595</v>
      </c>
    </row>
    <row r="39" spans="1:83" s="106" customFormat="1" ht="13.5" customHeight="1">
      <c r="A39" s="111" t="s">
        <v>8</v>
      </c>
      <c r="B39" s="65">
        <v>63940</v>
      </c>
      <c r="C39" s="65">
        <v>53940</v>
      </c>
      <c r="D39" s="65">
        <v>53500</v>
      </c>
      <c r="E39" s="65">
        <v>53210</v>
      </c>
      <c r="F39" s="65">
        <v>52500</v>
      </c>
      <c r="G39" s="66">
        <v>81479</v>
      </c>
      <c r="H39" s="66">
        <v>77643</v>
      </c>
      <c r="I39" s="66">
        <v>36531</v>
      </c>
      <c r="J39" s="66">
        <v>34396</v>
      </c>
      <c r="K39" s="66">
        <v>43478</v>
      </c>
      <c r="L39" s="66">
        <v>37600</v>
      </c>
      <c r="M39" s="66">
        <v>36441</v>
      </c>
      <c r="N39" s="66">
        <v>36441</v>
      </c>
      <c r="O39" s="66">
        <v>30510</v>
      </c>
      <c r="P39" s="66">
        <v>30510</v>
      </c>
      <c r="Q39" s="66">
        <v>33967</v>
      </c>
      <c r="R39" s="66">
        <v>33967</v>
      </c>
      <c r="S39" s="66">
        <v>33967</v>
      </c>
      <c r="T39" s="48">
        <v>44120</v>
      </c>
      <c r="U39" s="44">
        <v>41725</v>
      </c>
      <c r="V39" s="48">
        <v>39741</v>
      </c>
      <c r="W39" s="66">
        <v>41882</v>
      </c>
      <c r="X39" s="67">
        <v>38660</v>
      </c>
      <c r="Y39" s="67">
        <v>40010</v>
      </c>
      <c r="Z39" s="67">
        <v>52638</v>
      </c>
      <c r="AA39" s="67">
        <v>43764</v>
      </c>
      <c r="AB39" s="64">
        <v>44297</v>
      </c>
      <c r="AC39" s="72">
        <v>45761.5</v>
      </c>
      <c r="AD39" s="74">
        <v>47226</v>
      </c>
      <c r="AE39" s="74">
        <v>44792.833146696525</v>
      </c>
      <c r="AF39" s="74">
        <v>40045.769999999997</v>
      </c>
      <c r="AG39" s="91">
        <v>41518.39</v>
      </c>
      <c r="AH39" s="92">
        <v>36880.93</v>
      </c>
      <c r="AI39" s="94">
        <v>37837.837837837797</v>
      </c>
    </row>
    <row r="40" spans="1:83" s="106" customFormat="1" ht="13.5" customHeight="1">
      <c r="A40" s="111" t="s">
        <v>9</v>
      </c>
      <c r="B40" s="66">
        <v>67500</v>
      </c>
      <c r="C40" s="66">
        <v>60000</v>
      </c>
      <c r="D40" s="66">
        <v>108000</v>
      </c>
      <c r="E40" s="66">
        <v>42581</v>
      </c>
      <c r="F40" s="66">
        <v>47690</v>
      </c>
      <c r="G40" s="66">
        <v>35786</v>
      </c>
      <c r="H40" s="66">
        <v>48152</v>
      </c>
      <c r="I40" s="66">
        <v>37795</v>
      </c>
      <c r="J40" s="66">
        <v>36459</v>
      </c>
      <c r="K40" s="66">
        <v>36894</v>
      </c>
      <c r="L40" s="66">
        <v>31163</v>
      </c>
      <c r="M40" s="66">
        <v>32979</v>
      </c>
      <c r="N40" s="66">
        <v>33669</v>
      </c>
      <c r="O40" s="66">
        <v>29830</v>
      </c>
      <c r="P40" s="66">
        <v>30109</v>
      </c>
      <c r="Q40" s="66">
        <v>30496</v>
      </c>
      <c r="R40" s="66">
        <v>28830</v>
      </c>
      <c r="S40" s="66">
        <v>31676</v>
      </c>
      <c r="T40" s="49">
        <v>46300</v>
      </c>
      <c r="U40" s="45">
        <v>44044</v>
      </c>
      <c r="V40" s="49">
        <v>39478</v>
      </c>
      <c r="W40" s="65">
        <v>39687</v>
      </c>
      <c r="X40" s="69">
        <v>34912</v>
      </c>
      <c r="Y40" s="69">
        <v>35537</v>
      </c>
      <c r="Z40" s="67">
        <v>32961</v>
      </c>
      <c r="AA40" s="67">
        <v>29727</v>
      </c>
      <c r="AB40" s="64">
        <v>29884</v>
      </c>
      <c r="AC40" s="64">
        <v>28432</v>
      </c>
      <c r="AD40" s="68">
        <v>28524</v>
      </c>
      <c r="AE40" s="68">
        <v>26274.82</v>
      </c>
      <c r="AF40" s="68">
        <v>33596.11</v>
      </c>
      <c r="AG40" s="92">
        <v>31987.738095238099</v>
      </c>
      <c r="AH40" s="92">
        <f>+AVERAGE(18530,23750)</f>
        <v>21140</v>
      </c>
      <c r="AI40" s="94">
        <v>31864.654054054052</v>
      </c>
    </row>
    <row r="41" spans="1:83" s="106" customFormat="1" ht="13.5" customHeight="1">
      <c r="A41" s="111" t="s">
        <v>10</v>
      </c>
      <c r="B41" s="65">
        <v>86000</v>
      </c>
      <c r="C41" s="65">
        <v>75000</v>
      </c>
      <c r="D41" s="65">
        <v>75000</v>
      </c>
      <c r="E41" s="65">
        <v>49500</v>
      </c>
      <c r="F41" s="66">
        <v>86000</v>
      </c>
      <c r="G41" s="66">
        <v>57079</v>
      </c>
      <c r="H41" s="66">
        <v>59852</v>
      </c>
      <c r="I41" s="66">
        <v>54786</v>
      </c>
      <c r="J41" s="66">
        <v>52630</v>
      </c>
      <c r="K41" s="66">
        <v>50368</v>
      </c>
      <c r="L41" s="66">
        <v>48000</v>
      </c>
      <c r="M41" s="66">
        <v>50369</v>
      </c>
      <c r="N41" s="65">
        <v>50369</v>
      </c>
      <c r="O41" s="66">
        <v>24700</v>
      </c>
      <c r="P41" s="66">
        <v>43473</v>
      </c>
      <c r="Q41" s="66">
        <v>44030</v>
      </c>
      <c r="R41" s="65">
        <v>44030</v>
      </c>
      <c r="S41" s="66">
        <v>31451</v>
      </c>
      <c r="T41" s="49">
        <v>33763</v>
      </c>
      <c r="U41" s="45">
        <v>31925</v>
      </c>
      <c r="V41" s="49">
        <v>30414</v>
      </c>
      <c r="W41" s="67">
        <v>32052</v>
      </c>
      <c r="X41" s="67">
        <v>29587</v>
      </c>
      <c r="Y41" s="67">
        <v>30000</v>
      </c>
      <c r="Z41" s="67">
        <v>30000</v>
      </c>
      <c r="AA41" s="67">
        <v>30000</v>
      </c>
      <c r="AB41" s="72">
        <v>30000</v>
      </c>
      <c r="AC41" s="64">
        <v>30000</v>
      </c>
      <c r="AD41" s="68">
        <v>30000</v>
      </c>
      <c r="AE41" s="68">
        <v>30000</v>
      </c>
      <c r="AF41" s="68">
        <v>30000</v>
      </c>
      <c r="AG41" s="92">
        <v>30000</v>
      </c>
      <c r="AH41" s="91">
        <v>30000</v>
      </c>
      <c r="AI41" s="91">
        <v>30000</v>
      </c>
    </row>
    <row r="42" spans="1:83" s="106" customFormat="1" ht="13.5" customHeight="1">
      <c r="A42" s="111" t="s">
        <v>11</v>
      </c>
      <c r="B42" s="66">
        <v>23850</v>
      </c>
      <c r="C42" s="65">
        <v>25000</v>
      </c>
      <c r="D42" s="66">
        <v>26550</v>
      </c>
      <c r="E42" s="66">
        <v>23850</v>
      </c>
      <c r="F42" s="65">
        <v>23850</v>
      </c>
      <c r="G42" s="66">
        <v>24384</v>
      </c>
      <c r="H42" s="66">
        <v>20572</v>
      </c>
      <c r="I42" s="66">
        <v>13810</v>
      </c>
      <c r="J42" s="66">
        <v>14056</v>
      </c>
      <c r="K42" s="66">
        <v>16985</v>
      </c>
      <c r="L42" s="66">
        <v>14703</v>
      </c>
      <c r="M42" s="66">
        <v>15757</v>
      </c>
      <c r="N42" s="66">
        <v>29199</v>
      </c>
      <c r="O42" s="66">
        <v>17730</v>
      </c>
      <c r="P42" s="66">
        <v>17730</v>
      </c>
      <c r="Q42" s="66">
        <v>18240</v>
      </c>
      <c r="R42" s="66">
        <v>16625</v>
      </c>
      <c r="S42" s="66">
        <v>16957</v>
      </c>
      <c r="T42" s="48">
        <v>19841</v>
      </c>
      <c r="U42" s="45">
        <v>19841</v>
      </c>
      <c r="V42" s="48">
        <v>22079</v>
      </c>
      <c r="W42" s="43">
        <v>23268</v>
      </c>
      <c r="X42" s="69">
        <v>21478</v>
      </c>
      <c r="Y42" s="69">
        <v>22228</v>
      </c>
      <c r="Z42" s="67">
        <v>22228</v>
      </c>
      <c r="AA42" s="69">
        <v>22228</v>
      </c>
      <c r="AB42" s="64">
        <v>22228</v>
      </c>
      <c r="AC42" s="64">
        <v>22228</v>
      </c>
      <c r="AD42" s="68">
        <v>22228</v>
      </c>
      <c r="AE42" s="68">
        <v>22228</v>
      </c>
      <c r="AF42" s="68">
        <v>22228</v>
      </c>
      <c r="AG42" s="92">
        <v>22228</v>
      </c>
      <c r="AH42" s="91">
        <v>22228</v>
      </c>
      <c r="AI42" s="91">
        <v>22228</v>
      </c>
    </row>
    <row r="43" spans="1:83" s="106" customFormat="1" ht="13.5" customHeight="1">
      <c r="A43" s="111" t="s">
        <v>12</v>
      </c>
      <c r="B43" s="66">
        <v>220000</v>
      </c>
      <c r="C43" s="66">
        <v>200000</v>
      </c>
      <c r="D43" s="66">
        <v>212500</v>
      </c>
      <c r="E43" s="66">
        <v>151099</v>
      </c>
      <c r="F43" s="66">
        <v>101744</v>
      </c>
      <c r="G43" s="66">
        <v>85000</v>
      </c>
      <c r="H43" s="66">
        <v>72520</v>
      </c>
      <c r="I43" s="66">
        <v>62209</v>
      </c>
      <c r="J43" s="66">
        <v>64918</v>
      </c>
      <c r="K43" s="66">
        <v>49872</v>
      </c>
      <c r="L43" s="66">
        <v>44561</v>
      </c>
      <c r="M43" s="66">
        <v>35874</v>
      </c>
      <c r="N43" s="66">
        <v>37676</v>
      </c>
      <c r="O43" s="66">
        <v>48234</v>
      </c>
      <c r="P43" s="66">
        <v>52790</v>
      </c>
      <c r="Q43" s="66">
        <v>53490</v>
      </c>
      <c r="R43" s="65">
        <v>53325</v>
      </c>
      <c r="S43" s="66">
        <v>58235</v>
      </c>
      <c r="T43" s="49">
        <v>47766</v>
      </c>
      <c r="U43" s="45">
        <v>47766</v>
      </c>
      <c r="V43" s="49">
        <v>47794</v>
      </c>
      <c r="W43" s="65">
        <v>45372</v>
      </c>
      <c r="X43" s="69">
        <v>41223</v>
      </c>
      <c r="Y43" s="69">
        <v>37074</v>
      </c>
      <c r="Z43" s="69">
        <v>32925</v>
      </c>
      <c r="AA43" s="64">
        <v>28775</v>
      </c>
      <c r="AB43" s="72">
        <v>28775</v>
      </c>
      <c r="AC43" s="64">
        <v>28775</v>
      </c>
      <c r="AD43" s="74">
        <v>28775</v>
      </c>
      <c r="AE43" s="74">
        <v>28775</v>
      </c>
      <c r="AF43" s="74">
        <v>28775</v>
      </c>
      <c r="AG43" s="91">
        <v>28775</v>
      </c>
      <c r="AH43" s="91">
        <v>28775</v>
      </c>
      <c r="AI43" s="94">
        <v>16597.116843702599</v>
      </c>
    </row>
    <row r="44" spans="1:83" s="106" customFormat="1" ht="13.5" customHeight="1">
      <c r="A44" s="111" t="s">
        <v>13</v>
      </c>
      <c r="B44" s="66">
        <v>50000</v>
      </c>
      <c r="C44" s="66">
        <v>55000</v>
      </c>
      <c r="D44" s="66">
        <v>46667</v>
      </c>
      <c r="E44" s="66">
        <v>31500</v>
      </c>
      <c r="F44" s="66">
        <v>32428</v>
      </c>
      <c r="G44" s="66">
        <v>43171</v>
      </c>
      <c r="H44" s="66">
        <v>45902</v>
      </c>
      <c r="I44" s="66">
        <v>38841</v>
      </c>
      <c r="J44" s="66">
        <v>30483</v>
      </c>
      <c r="K44" s="66">
        <v>29339</v>
      </c>
      <c r="L44" s="66">
        <v>25398</v>
      </c>
      <c r="M44" s="66">
        <v>31310</v>
      </c>
      <c r="N44" s="66">
        <v>25839</v>
      </c>
      <c r="O44" s="66">
        <v>31000</v>
      </c>
      <c r="P44" s="66">
        <v>34075</v>
      </c>
      <c r="Q44" s="66">
        <v>34512</v>
      </c>
      <c r="R44" s="66">
        <v>34512</v>
      </c>
      <c r="S44" s="66">
        <v>20554</v>
      </c>
      <c r="T44" s="48">
        <v>27206</v>
      </c>
      <c r="U44" s="44">
        <v>38239</v>
      </c>
      <c r="V44" s="48">
        <v>29806</v>
      </c>
      <c r="W44" s="67">
        <v>31411</v>
      </c>
      <c r="X44" s="69">
        <v>28995</v>
      </c>
      <c r="Y44" s="69">
        <v>30007</v>
      </c>
      <c r="Z44" s="67">
        <v>30007</v>
      </c>
      <c r="AA44" s="69">
        <v>30007</v>
      </c>
      <c r="AB44" s="64">
        <v>30007</v>
      </c>
      <c r="AC44" s="64">
        <v>30007</v>
      </c>
      <c r="AD44" s="68">
        <v>30007</v>
      </c>
      <c r="AE44" s="68">
        <v>30007</v>
      </c>
      <c r="AF44" s="68">
        <v>30007</v>
      </c>
      <c r="AG44" s="92">
        <v>30007</v>
      </c>
      <c r="AH44" s="91">
        <v>30007</v>
      </c>
      <c r="AI44" s="91">
        <v>30007</v>
      </c>
    </row>
    <row r="45" spans="1:83" s="106" customFormat="1" ht="13.5" customHeight="1">
      <c r="A45" s="111" t="s">
        <v>14</v>
      </c>
      <c r="B45" s="65">
        <v>160000</v>
      </c>
      <c r="C45" s="65">
        <v>125000</v>
      </c>
      <c r="D45" s="65">
        <v>122500</v>
      </c>
      <c r="E45" s="65">
        <v>91000</v>
      </c>
      <c r="F45" s="66">
        <v>74418</v>
      </c>
      <c r="G45" s="66">
        <v>79880</v>
      </c>
      <c r="H45" s="66">
        <v>84395</v>
      </c>
      <c r="I45" s="66">
        <v>63880</v>
      </c>
      <c r="J45" s="66">
        <v>52755</v>
      </c>
      <c r="K45" s="66">
        <v>53820</v>
      </c>
      <c r="L45" s="66">
        <v>43596</v>
      </c>
      <c r="M45" s="66">
        <v>32000</v>
      </c>
      <c r="N45" s="66">
        <v>41202</v>
      </c>
      <c r="O45" s="66">
        <v>48420</v>
      </c>
      <c r="P45" s="66">
        <v>46350</v>
      </c>
      <c r="Q45" s="66">
        <v>47055</v>
      </c>
      <c r="R45" s="66">
        <v>47371</v>
      </c>
      <c r="S45" s="66">
        <v>47671</v>
      </c>
      <c r="T45" s="48">
        <v>50697</v>
      </c>
      <c r="U45" s="44">
        <v>46621</v>
      </c>
      <c r="V45" s="48">
        <v>43993</v>
      </c>
      <c r="W45" s="67">
        <v>44530</v>
      </c>
      <c r="X45" s="43">
        <v>42110</v>
      </c>
      <c r="Y45" s="43">
        <v>42012</v>
      </c>
      <c r="Z45" s="67">
        <v>38807</v>
      </c>
      <c r="AA45" s="67">
        <v>35138</v>
      </c>
      <c r="AB45" s="64">
        <v>35755</v>
      </c>
      <c r="AC45" s="64">
        <v>34624</v>
      </c>
      <c r="AD45" s="68">
        <v>36681</v>
      </c>
      <c r="AE45" s="68">
        <v>34529.675251959685</v>
      </c>
      <c r="AF45" s="68">
        <v>36194.51</v>
      </c>
      <c r="AG45" s="92">
        <v>37175.56</v>
      </c>
      <c r="AH45" s="92">
        <v>32910.43</v>
      </c>
      <c r="AI45" s="94">
        <v>33686.486486486501</v>
      </c>
    </row>
    <row r="46" spans="1:83" s="106" customFormat="1" ht="13.5" customHeight="1">
      <c r="A46" s="111" t="s">
        <v>15</v>
      </c>
      <c r="B46" s="65">
        <v>140000</v>
      </c>
      <c r="C46" s="65">
        <v>130000</v>
      </c>
      <c r="D46" s="65">
        <v>115000</v>
      </c>
      <c r="E46" s="65">
        <v>95000</v>
      </c>
      <c r="F46" s="65">
        <v>117625</v>
      </c>
      <c r="G46" s="66">
        <v>62655</v>
      </c>
      <c r="H46" s="66">
        <v>64829</v>
      </c>
      <c r="I46" s="66">
        <v>65771</v>
      </c>
      <c r="J46" s="44">
        <v>63190</v>
      </c>
      <c r="K46" s="48">
        <v>61022</v>
      </c>
      <c r="L46" s="48">
        <v>41626</v>
      </c>
      <c r="M46" s="48">
        <v>33702</v>
      </c>
      <c r="N46" s="48">
        <v>34738</v>
      </c>
      <c r="O46" s="48">
        <v>41900</v>
      </c>
      <c r="P46" s="48">
        <v>31648</v>
      </c>
      <c r="Q46" s="49">
        <v>35970</v>
      </c>
      <c r="R46" s="49">
        <v>35970</v>
      </c>
      <c r="S46" s="65">
        <v>37059</v>
      </c>
      <c r="T46" s="49">
        <v>38339</v>
      </c>
      <c r="U46" s="45">
        <v>32471</v>
      </c>
      <c r="V46" s="49">
        <v>41471</v>
      </c>
      <c r="W46" s="49">
        <v>54494</v>
      </c>
      <c r="X46" s="69">
        <v>44246</v>
      </c>
      <c r="Y46" s="69">
        <v>46225</v>
      </c>
      <c r="Z46" s="67">
        <v>41447</v>
      </c>
      <c r="AA46" s="67">
        <v>41447</v>
      </c>
      <c r="AB46" s="64">
        <v>41447</v>
      </c>
      <c r="AC46" s="64">
        <v>41447</v>
      </c>
      <c r="AD46" s="68">
        <v>41447</v>
      </c>
      <c r="AE46" s="68">
        <v>41447</v>
      </c>
      <c r="AF46" s="68">
        <v>38172.1</v>
      </c>
      <c r="AG46" s="92">
        <v>38172.1</v>
      </c>
      <c r="AH46" s="91">
        <v>38172.1</v>
      </c>
      <c r="AI46" s="94">
        <v>32965.997927851597</v>
      </c>
    </row>
    <row r="47" spans="1:83" s="106" customFormat="1" ht="13.5" customHeight="1">
      <c r="A47" s="111" t="s">
        <v>16</v>
      </c>
      <c r="B47" s="66">
        <v>124000</v>
      </c>
      <c r="C47" s="66">
        <v>153800</v>
      </c>
      <c r="D47" s="66">
        <v>228875</v>
      </c>
      <c r="E47" s="66">
        <v>47460</v>
      </c>
      <c r="F47" s="66">
        <v>52823</v>
      </c>
      <c r="G47" s="66">
        <v>54850</v>
      </c>
      <c r="H47" s="66">
        <v>41665</v>
      </c>
      <c r="I47" s="66">
        <v>37234</v>
      </c>
      <c r="J47" s="66">
        <v>34294</v>
      </c>
      <c r="K47" s="66">
        <v>33422</v>
      </c>
      <c r="L47" s="66">
        <v>29568</v>
      </c>
      <c r="M47" s="66">
        <v>16082</v>
      </c>
      <c r="N47" s="66">
        <v>19149</v>
      </c>
      <c r="O47" s="65">
        <v>22340</v>
      </c>
      <c r="P47" s="65">
        <v>23580</v>
      </c>
      <c r="Q47" s="65">
        <v>25420</v>
      </c>
      <c r="R47" s="66">
        <v>21470</v>
      </c>
      <c r="S47" s="66">
        <v>23180</v>
      </c>
      <c r="T47" s="48">
        <v>25584</v>
      </c>
      <c r="U47" s="44">
        <v>25190</v>
      </c>
      <c r="V47" s="48">
        <v>27710</v>
      </c>
      <c r="W47" s="69">
        <v>30609</v>
      </c>
      <c r="X47" s="67">
        <v>28805</v>
      </c>
      <c r="Y47" s="67">
        <v>30440</v>
      </c>
      <c r="Z47" s="67">
        <v>27356</v>
      </c>
      <c r="AA47" s="67">
        <v>27245</v>
      </c>
      <c r="AB47" s="72">
        <v>27245</v>
      </c>
      <c r="AC47" s="72">
        <v>27245</v>
      </c>
      <c r="AD47" s="74">
        <v>27245</v>
      </c>
      <c r="AE47" s="74">
        <v>27245</v>
      </c>
      <c r="AF47" s="74">
        <v>27245</v>
      </c>
      <c r="AG47" s="91">
        <v>27245</v>
      </c>
      <c r="AH47" s="91">
        <v>27245</v>
      </c>
      <c r="AI47" s="91">
        <v>27245</v>
      </c>
    </row>
    <row r="48" spans="1:83" s="106" customFormat="1" ht="13.5" customHeight="1" thickBot="1">
      <c r="A48" s="115" t="s">
        <v>17</v>
      </c>
      <c r="B48" s="75">
        <v>53940</v>
      </c>
      <c r="C48" s="75">
        <v>43940</v>
      </c>
      <c r="D48" s="76">
        <v>43500</v>
      </c>
      <c r="E48" s="75">
        <v>43210</v>
      </c>
      <c r="F48" s="75">
        <v>42500</v>
      </c>
      <c r="G48" s="75">
        <v>42004</v>
      </c>
      <c r="H48" s="75">
        <v>34846</v>
      </c>
      <c r="I48" s="75">
        <v>39491</v>
      </c>
      <c r="J48" s="75">
        <v>41667</v>
      </c>
      <c r="K48" s="75">
        <v>29126</v>
      </c>
      <c r="L48" s="75">
        <v>26718</v>
      </c>
      <c r="M48" s="75">
        <v>25926</v>
      </c>
      <c r="N48" s="75">
        <v>30620</v>
      </c>
      <c r="O48" s="75">
        <v>34340</v>
      </c>
      <c r="P48" s="75">
        <v>39041</v>
      </c>
      <c r="Q48" s="75">
        <v>33249</v>
      </c>
      <c r="R48" s="75">
        <v>28320</v>
      </c>
      <c r="S48" s="75">
        <v>27163</v>
      </c>
      <c r="T48" s="51">
        <v>29569</v>
      </c>
      <c r="U48" s="77">
        <v>24628</v>
      </c>
      <c r="V48" s="51">
        <v>32297</v>
      </c>
      <c r="W48" s="78">
        <v>40167</v>
      </c>
      <c r="X48" s="78">
        <v>47479</v>
      </c>
      <c r="Y48" s="78">
        <v>46835</v>
      </c>
      <c r="Z48" s="78">
        <v>41925</v>
      </c>
      <c r="AA48" s="78">
        <v>40000</v>
      </c>
      <c r="AB48" s="79">
        <v>31165</v>
      </c>
      <c r="AC48" s="79">
        <v>32134</v>
      </c>
      <c r="AD48" s="80">
        <v>22697</v>
      </c>
      <c r="AE48" s="80">
        <v>22900.763358778626</v>
      </c>
      <c r="AF48" s="80">
        <v>25706.94087403599</v>
      </c>
      <c r="AG48" s="95">
        <v>17193.95</v>
      </c>
      <c r="AH48" s="96">
        <v>17193.95</v>
      </c>
      <c r="AI48" s="96">
        <v>17193.95</v>
      </c>
    </row>
    <row r="49" spans="1:35" s="106" customFormat="1" ht="13.5" customHeight="1">
      <c r="A49" s="123" t="s">
        <v>40</v>
      </c>
      <c r="B49" s="123">
        <v>109028.94117647059</v>
      </c>
      <c r="C49" s="123">
        <v>95882</v>
      </c>
      <c r="D49" s="123">
        <v>101119.58823529411</v>
      </c>
      <c r="E49" s="123">
        <v>74514.117647058825</v>
      </c>
      <c r="F49" s="123">
        <v>77135.23529411765</v>
      </c>
      <c r="G49" s="123">
        <v>72093.588235294112</v>
      </c>
      <c r="H49" s="123">
        <v>66287.058823529413</v>
      </c>
      <c r="I49" s="123">
        <v>52208.117647058825</v>
      </c>
      <c r="J49" s="123">
        <v>48018.941176470587</v>
      </c>
      <c r="K49" s="123">
        <v>45936.117647058825</v>
      </c>
      <c r="L49" s="123">
        <v>37098.76470588235</v>
      </c>
      <c r="M49" s="123">
        <v>28784</v>
      </c>
      <c r="N49" s="123">
        <v>30504.823529411766</v>
      </c>
      <c r="O49" s="123">
        <v>32108.470588235294</v>
      </c>
      <c r="P49" s="123">
        <v>34414.882352941175</v>
      </c>
      <c r="Q49" s="123">
        <v>34991.941176470587</v>
      </c>
      <c r="R49" s="123">
        <v>34326.411764705881</v>
      </c>
      <c r="S49" s="123">
        <v>33569.647058823532</v>
      </c>
      <c r="T49" s="123">
        <v>37264.76470588235</v>
      </c>
      <c r="U49" s="123">
        <v>34314.882352941175</v>
      </c>
      <c r="V49" s="123">
        <v>34011.647058823532</v>
      </c>
      <c r="W49" s="123">
        <v>36083.058823529413</v>
      </c>
      <c r="X49" s="123">
        <v>34040.23529411765</v>
      </c>
      <c r="Y49" s="123">
        <v>35728.176470588238</v>
      </c>
      <c r="Z49" s="123">
        <v>32949.841640601095</v>
      </c>
      <c r="AA49" s="123">
        <v>32028.411764705881</v>
      </c>
      <c r="AB49" s="123">
        <v>31975.063127877042</v>
      </c>
      <c r="AC49" s="123">
        <v>32211.437939502848</v>
      </c>
      <c r="AD49" s="123">
        <v>32263.224515834543</v>
      </c>
      <c r="AE49" s="123">
        <v>31049.283246134306</v>
      </c>
      <c r="AF49" s="123">
        <v>30868.317098847885</v>
      </c>
      <c r="AG49" s="123">
        <v>30399.896946778714</v>
      </c>
      <c r="AH49" s="123">
        <v>28862.658235294119</v>
      </c>
      <c r="AI49" s="123">
        <v>27938.096703573148</v>
      </c>
    </row>
    <row r="50" spans="1:35" s="106" customFormat="1" ht="13.5" customHeight="1">
      <c r="A50" s="124" t="s">
        <v>41</v>
      </c>
      <c r="B50" s="123">
        <v>93239.004602518398</v>
      </c>
      <c r="C50" s="123">
        <v>67997.547920966608</v>
      </c>
      <c r="D50" s="123">
        <v>77383.228150846116</v>
      </c>
      <c r="E50" s="123">
        <v>54790.658618484442</v>
      </c>
      <c r="F50" s="123">
        <v>56279.75709614357</v>
      </c>
      <c r="G50" s="123">
        <v>52444.358060052276</v>
      </c>
      <c r="H50" s="123">
        <v>47933.567925668278</v>
      </c>
      <c r="I50" s="123">
        <v>39472.965059749622</v>
      </c>
      <c r="J50" s="123">
        <v>36548.439647753337</v>
      </c>
      <c r="K50" s="123">
        <v>34304.545428304089</v>
      </c>
      <c r="L50" s="123">
        <v>28522.711255845687</v>
      </c>
      <c r="M50" s="123">
        <v>25822.357210291208</v>
      </c>
      <c r="N50" s="123">
        <v>28224.981081343918</v>
      </c>
      <c r="O50" s="123">
        <v>30413.427945140367</v>
      </c>
      <c r="P50" s="123">
        <v>32409.96641986485</v>
      </c>
      <c r="Q50" s="123">
        <v>31961.3814608965</v>
      </c>
      <c r="R50" s="123">
        <v>30883.512826354654</v>
      </c>
      <c r="S50" s="123">
        <v>31582.460172255291</v>
      </c>
      <c r="T50" s="123">
        <v>35661.863322367732</v>
      </c>
      <c r="U50" s="123">
        <v>30905.837107243457</v>
      </c>
      <c r="V50" s="123">
        <v>31906.586809987748</v>
      </c>
      <c r="W50" s="123">
        <v>33636.386145775235</v>
      </c>
      <c r="X50" s="123">
        <v>33567.627207066762</v>
      </c>
      <c r="Y50" s="123">
        <v>34955.221434267602</v>
      </c>
      <c r="Z50" s="123">
        <v>31601.735259436551</v>
      </c>
      <c r="AA50" s="123">
        <v>31108.07765276272</v>
      </c>
      <c r="AB50" s="123">
        <v>29661.103545189606</v>
      </c>
      <c r="AC50" s="123">
        <v>29947.979915779331</v>
      </c>
      <c r="AD50" s="123">
        <v>28404.475943577072</v>
      </c>
      <c r="AE50" s="123">
        <v>27606.172187320626</v>
      </c>
      <c r="AF50" s="123">
        <v>29016.794303263188</v>
      </c>
      <c r="AG50" s="123">
        <v>28325.265749820184</v>
      </c>
      <c r="AH50" s="123">
        <v>25965.036193240943</v>
      </c>
      <c r="AI50" s="123">
        <v>26045.457705950012</v>
      </c>
    </row>
    <row r="51" spans="1:35" s="106" customFormat="1" ht="13.5" customHeight="1">
      <c r="A51" s="125" t="s">
        <v>44</v>
      </c>
      <c r="B51" s="123">
        <v>73.211825298962552</v>
      </c>
      <c r="C51" s="123">
        <v>54.847312179727574</v>
      </c>
      <c r="D51" s="123">
        <v>59.585374129822256</v>
      </c>
      <c r="E51" s="123">
        <v>46.775720864834078</v>
      </c>
      <c r="F51" s="123">
        <v>47.301359640261921</v>
      </c>
      <c r="G51" s="123">
        <v>40.251044811090118</v>
      </c>
      <c r="H51" s="123">
        <v>37.935440527028618</v>
      </c>
      <c r="I51" s="123">
        <v>34.634250583830337</v>
      </c>
      <c r="J51" s="123">
        <v>32.668201455670307</v>
      </c>
      <c r="K51" s="123">
        <v>32.077597252734876</v>
      </c>
      <c r="L51" s="123">
        <v>30.809519630783118</v>
      </c>
      <c r="M51" s="123">
        <v>28.791928289474694</v>
      </c>
      <c r="N51" s="123">
        <v>29.966236614214189</v>
      </c>
      <c r="O51" s="123">
        <v>26.91284238865471</v>
      </c>
      <c r="P51" s="123">
        <v>26.093263964633195</v>
      </c>
      <c r="Q51" s="123">
        <v>25.405782509452017</v>
      </c>
      <c r="R51" s="123">
        <v>24.615086227989451</v>
      </c>
      <c r="S51" s="123">
        <v>23.055195925746364</v>
      </c>
      <c r="T51" s="123">
        <v>24.250067059210057</v>
      </c>
      <c r="U51" s="123">
        <v>22.226241814045206</v>
      </c>
      <c r="V51" s="123">
        <v>24.085644251123551</v>
      </c>
      <c r="W51" s="123">
        <v>24.093743396218802</v>
      </c>
      <c r="X51" s="123">
        <v>26.04847871268381</v>
      </c>
      <c r="Y51" s="123">
        <v>26.21006121644395</v>
      </c>
      <c r="Z51" s="123">
        <v>24.014446199436694</v>
      </c>
      <c r="AA51" s="123">
        <v>28.43278297462513</v>
      </c>
      <c r="AB51" s="123">
        <v>26.783976416445114</v>
      </c>
      <c r="AC51" s="123">
        <v>26.68364929098173</v>
      </c>
      <c r="AD51" s="123">
        <v>24.058591205475636</v>
      </c>
      <c r="AE51" s="123">
        <v>24.652311763277321</v>
      </c>
      <c r="AF51" s="123">
        <v>25.360678221052027</v>
      </c>
      <c r="AG51" s="123">
        <v>23.878199027098418</v>
      </c>
      <c r="AH51" s="123">
        <v>24.640819347385655</v>
      </c>
      <c r="AI51" s="123">
        <v>24.092048378003764</v>
      </c>
    </row>
    <row r="52" spans="1:35" s="106" customFormat="1" ht="13.5" customHeight="1">
      <c r="A52" s="126" t="s">
        <v>45</v>
      </c>
      <c r="B52" s="123">
        <v>145.90481720885725</v>
      </c>
      <c r="C52" s="123">
        <v>103.96152427043151</v>
      </c>
      <c r="D52" s="123">
        <v>108.64222823815999</v>
      </c>
      <c r="E52" s="123">
        <v>82.425002809767065</v>
      </c>
      <c r="F52" s="123">
        <v>81.070055763804916</v>
      </c>
      <c r="G52" s="123">
        <v>67.079998919270253</v>
      </c>
      <c r="H52" s="123">
        <v>61.766868589467059</v>
      </c>
      <c r="I52" s="123">
        <v>55.526410738003186</v>
      </c>
      <c r="J52" s="123">
        <v>51.799477647429981</v>
      </c>
      <c r="K52" s="123">
        <v>50.310735733668089</v>
      </c>
      <c r="L52" s="123">
        <v>47.325873328876696</v>
      </c>
      <c r="M52" s="123">
        <v>43.211225866619777</v>
      </c>
      <c r="N52" s="123">
        <v>43.986262412136533</v>
      </c>
      <c r="O52" s="123">
        <v>38.69839182314125</v>
      </c>
      <c r="P52" s="123">
        <v>36.734386485005615</v>
      </c>
      <c r="Q52" s="123">
        <v>35.004208011221941</v>
      </c>
      <c r="R52" s="123">
        <v>33.187870073262879</v>
      </c>
      <c r="S52" s="123">
        <v>30.435870914189135</v>
      </c>
      <c r="T52" s="123">
        <v>30.99896166770489</v>
      </c>
      <c r="U52" s="123">
        <v>28.328333028007336</v>
      </c>
      <c r="V52" s="123">
        <v>30.211159627276096</v>
      </c>
      <c r="W52" s="123">
        <v>29.423281450410627</v>
      </c>
      <c r="X52" s="123">
        <v>31.035015637080292</v>
      </c>
      <c r="Y52" s="123">
        <v>30.809613114358847</v>
      </c>
      <c r="Z52" s="123">
        <v>28.107079501234288</v>
      </c>
      <c r="AA52" s="123">
        <v>33.215177070957068</v>
      </c>
      <c r="AB52" s="123">
        <v>31.217241594024919</v>
      </c>
      <c r="AC52" s="123">
        <v>30.626684124312099</v>
      </c>
      <c r="AD52" s="123">
        <v>27.139094482654148</v>
      </c>
      <c r="AE52" s="123">
        <v>27.479800192615045</v>
      </c>
      <c r="AF52" s="123">
        <v>28.199452025350251</v>
      </c>
      <c r="AG52" s="123">
        <v>25.880972447074015</v>
      </c>
      <c r="AH52" s="123">
        <v>24.640819347385655</v>
      </c>
      <c r="AI52" s="123">
        <v>22.853699484518064</v>
      </c>
    </row>
    <row r="53" spans="1:35" s="106" customFormat="1" ht="13.5" customHeight="1">
      <c r="A53" s="127" t="s">
        <v>47</v>
      </c>
      <c r="B53" s="97"/>
      <c r="C53" s="97"/>
      <c r="D53" s="98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9"/>
      <c r="U53" s="100"/>
      <c r="V53" s="99"/>
      <c r="W53" s="101"/>
      <c r="X53" s="101"/>
      <c r="Y53" s="101"/>
      <c r="Z53" s="101"/>
      <c r="AA53" s="101"/>
      <c r="AB53" s="102"/>
      <c r="AC53" s="102"/>
      <c r="AD53" s="102"/>
      <c r="AE53" s="102"/>
      <c r="AF53" s="102"/>
      <c r="AG53" s="103"/>
      <c r="AH53" s="104"/>
      <c r="AI53" s="104"/>
    </row>
    <row r="54" spans="1:35" s="106" customFormat="1" ht="13.2">
      <c r="A54" s="120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U54" s="122"/>
      <c r="V54" s="122"/>
    </row>
    <row r="55" spans="1:35" s="106" customFormat="1" ht="13.2"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U55" s="122"/>
      <c r="V55" s="122"/>
    </row>
    <row r="56" spans="1:35" s="106" customFormat="1" ht="13.2"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U56" s="122"/>
      <c r="V56" s="122"/>
    </row>
    <row r="57" spans="1:35" s="106" customFormat="1" ht="13.2"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U57" s="122"/>
      <c r="V57" s="122"/>
    </row>
    <row r="58" spans="1:35" s="106" customFormat="1" ht="13.2"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U58" s="122"/>
      <c r="V58" s="122"/>
    </row>
    <row r="59" spans="1:35" s="106" customFormat="1" ht="13.2"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U59" s="122"/>
      <c r="V59" s="122"/>
    </row>
  </sheetData>
  <pageMargins left="0.15748031496062992" right="0.15748031496062992" top="0.6692913385826772" bottom="0.23622047244094491" header="0.19685039370078741" footer="0.19685039370078741"/>
  <pageSetup scale="3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3368-926B-4210-9420-201B04622884}">
  <sheetPr>
    <tabColor rgb="FF00B050"/>
  </sheetPr>
  <dimension ref="A1:AJ54"/>
  <sheetViews>
    <sheetView showGridLines="0" zoomScaleNormal="100" zoomScaleSheetLayoutView="90" workbookViewId="0">
      <pane xSplit="1" topLeftCell="B1" activePane="topRight" state="frozen"/>
      <selection pane="topRight"/>
    </sheetView>
  </sheetViews>
  <sheetFormatPr defaultColWidth="11.44140625" defaultRowHeight="13.2"/>
  <cols>
    <col min="1" max="1" width="47" style="11" customWidth="1"/>
    <col min="2" max="23" width="10.21875" style="10" customWidth="1"/>
    <col min="24" max="24" width="10.21875" customWidth="1"/>
    <col min="25" max="33" width="10.21875" style="11" customWidth="1"/>
    <col min="34" max="34" width="10.21875" style="84" customWidth="1"/>
    <col min="35" max="35" width="10.21875" style="11" customWidth="1"/>
    <col min="36" max="16384" width="11.44140625" style="11"/>
  </cols>
  <sheetData>
    <row r="1" spans="1:35" ht="24.6">
      <c r="A1" s="1" t="s">
        <v>28</v>
      </c>
    </row>
    <row r="2" spans="1:35" ht="15.7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35" s="129" customFormat="1" ht="13.5" customHeight="1">
      <c r="A3" s="128" t="s">
        <v>19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</row>
    <row r="4" spans="1:35" s="129" customFormat="1" ht="13.5" customHeight="1" thickBot="1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32"/>
      <c r="W4" s="131"/>
    </row>
    <row r="5" spans="1:35" s="135" customFormat="1" ht="13.5" customHeight="1" thickBot="1">
      <c r="A5" s="133" t="s">
        <v>30</v>
      </c>
      <c r="B5" s="134">
        <v>1990</v>
      </c>
      <c r="C5" s="134">
        <v>1991</v>
      </c>
      <c r="D5" s="134">
        <v>1992</v>
      </c>
      <c r="E5" s="134">
        <v>1993</v>
      </c>
      <c r="F5" s="134">
        <v>1994</v>
      </c>
      <c r="G5" s="134">
        <v>1995</v>
      </c>
      <c r="H5" s="134">
        <v>1996</v>
      </c>
      <c r="I5" s="134">
        <v>1997</v>
      </c>
      <c r="J5" s="134">
        <v>1998</v>
      </c>
      <c r="K5" s="134">
        <v>1999</v>
      </c>
      <c r="L5" s="134">
        <v>2000</v>
      </c>
      <c r="M5" s="134">
        <v>2001</v>
      </c>
      <c r="N5" s="134">
        <v>2002</v>
      </c>
      <c r="O5" s="134">
        <v>2003</v>
      </c>
      <c r="P5" s="134">
        <v>2004</v>
      </c>
      <c r="Q5" s="134">
        <v>2005</v>
      </c>
      <c r="R5" s="134">
        <v>2006</v>
      </c>
      <c r="S5" s="134">
        <v>2007</v>
      </c>
      <c r="T5" s="134">
        <v>2008</v>
      </c>
      <c r="U5" s="134">
        <v>2009</v>
      </c>
      <c r="V5" s="134">
        <v>2010</v>
      </c>
      <c r="W5" s="134">
        <v>2011</v>
      </c>
      <c r="X5" s="134">
        <v>2012</v>
      </c>
      <c r="Y5" s="134">
        <v>2013</v>
      </c>
      <c r="Z5" s="134">
        <v>2014</v>
      </c>
      <c r="AA5" s="134">
        <v>2015</v>
      </c>
      <c r="AB5" s="134">
        <v>2016</v>
      </c>
      <c r="AC5" s="134">
        <v>2017</v>
      </c>
      <c r="AD5" s="134">
        <v>2018</v>
      </c>
      <c r="AE5" s="134">
        <v>2019</v>
      </c>
      <c r="AF5" s="134">
        <v>2020</v>
      </c>
      <c r="AG5" s="134">
        <v>2021</v>
      </c>
      <c r="AH5" s="134">
        <v>2022</v>
      </c>
      <c r="AI5" s="134">
        <v>2023</v>
      </c>
    </row>
    <row r="6" spans="1:35" s="145" customFormat="1" ht="13.5" customHeight="1">
      <c r="A6" s="136" t="s">
        <v>1</v>
      </c>
      <c r="B6" s="137">
        <v>198</v>
      </c>
      <c r="C6" s="138">
        <v>180</v>
      </c>
      <c r="D6" s="137">
        <v>167</v>
      </c>
      <c r="E6" s="137">
        <v>120</v>
      </c>
      <c r="F6" s="137">
        <v>126</v>
      </c>
      <c r="G6" s="137">
        <v>156</v>
      </c>
      <c r="H6" s="137">
        <v>138</v>
      </c>
      <c r="I6" s="137">
        <v>118</v>
      </c>
      <c r="J6" s="137">
        <v>113</v>
      </c>
      <c r="K6" s="137">
        <v>93</v>
      </c>
      <c r="L6" s="137">
        <v>94</v>
      </c>
      <c r="M6" s="137">
        <v>78</v>
      </c>
      <c r="N6" s="137">
        <v>71</v>
      </c>
      <c r="O6" s="137">
        <v>90</v>
      </c>
      <c r="P6" s="137">
        <v>103</v>
      </c>
      <c r="Q6" s="137">
        <v>101</v>
      </c>
      <c r="R6" s="137">
        <v>78</v>
      </c>
      <c r="S6" s="137">
        <v>99</v>
      </c>
      <c r="T6" s="137">
        <v>110</v>
      </c>
      <c r="U6" s="137">
        <v>97</v>
      </c>
      <c r="V6" s="137">
        <v>97</v>
      </c>
      <c r="W6" s="139">
        <v>103</v>
      </c>
      <c r="X6" s="140">
        <v>103</v>
      </c>
      <c r="Y6" s="140">
        <v>100</v>
      </c>
      <c r="Z6" s="141">
        <v>132</v>
      </c>
      <c r="AA6" s="141">
        <v>109</v>
      </c>
      <c r="AB6" s="141">
        <v>111</v>
      </c>
      <c r="AC6" s="142">
        <v>111</v>
      </c>
      <c r="AD6" s="143">
        <v>111</v>
      </c>
      <c r="AE6" s="143">
        <v>111</v>
      </c>
      <c r="AF6" s="144">
        <v>120.14</v>
      </c>
      <c r="AG6" s="144">
        <v>94.9</v>
      </c>
      <c r="AH6" s="144">
        <v>84.3</v>
      </c>
      <c r="AI6" s="144">
        <v>86</v>
      </c>
    </row>
    <row r="7" spans="1:35" s="145" customFormat="1" ht="13.5" customHeight="1">
      <c r="A7" s="146" t="s">
        <v>2</v>
      </c>
      <c r="B7" s="147">
        <v>80</v>
      </c>
      <c r="C7" s="148">
        <v>90</v>
      </c>
      <c r="D7" s="148">
        <v>68</v>
      </c>
      <c r="E7" s="148">
        <v>95</v>
      </c>
      <c r="F7" s="148">
        <v>82</v>
      </c>
      <c r="G7" s="148">
        <v>93</v>
      </c>
      <c r="H7" s="148">
        <v>90</v>
      </c>
      <c r="I7" s="148">
        <v>57</v>
      </c>
      <c r="J7" s="148">
        <v>55</v>
      </c>
      <c r="K7" s="148">
        <v>60</v>
      </c>
      <c r="L7" s="148">
        <v>55</v>
      </c>
      <c r="M7" s="148">
        <v>51</v>
      </c>
      <c r="N7" s="148">
        <v>50</v>
      </c>
      <c r="O7" s="148">
        <v>51</v>
      </c>
      <c r="P7" s="147">
        <v>51</v>
      </c>
      <c r="Q7" s="147">
        <v>51</v>
      </c>
      <c r="R7" s="148">
        <v>60</v>
      </c>
      <c r="S7" s="148">
        <v>67</v>
      </c>
      <c r="T7" s="148">
        <v>72</v>
      </c>
      <c r="U7" s="148">
        <v>71</v>
      </c>
      <c r="V7" s="148">
        <v>67</v>
      </c>
      <c r="W7" s="149">
        <v>75</v>
      </c>
      <c r="X7" s="150">
        <v>73</v>
      </c>
      <c r="Y7" s="150">
        <v>68</v>
      </c>
      <c r="Z7" s="150">
        <v>75.885487319567972</v>
      </c>
      <c r="AA7" s="150">
        <v>59</v>
      </c>
      <c r="AB7" s="150">
        <v>67</v>
      </c>
      <c r="AC7" s="151">
        <v>65</v>
      </c>
      <c r="AD7" s="152">
        <v>66</v>
      </c>
      <c r="AE7" s="152">
        <v>57</v>
      </c>
      <c r="AF7" s="144">
        <v>60.14</v>
      </c>
      <c r="AG7" s="144">
        <v>69.040000000000006</v>
      </c>
      <c r="AH7" s="144">
        <v>52</v>
      </c>
      <c r="AI7" s="144">
        <v>54</v>
      </c>
    </row>
    <row r="8" spans="1:35" s="145" customFormat="1" ht="13.5" customHeight="1">
      <c r="A8" s="146" t="s">
        <v>3</v>
      </c>
      <c r="B8" s="148">
        <v>144</v>
      </c>
      <c r="C8" s="148">
        <v>135</v>
      </c>
      <c r="D8" s="148">
        <v>111</v>
      </c>
      <c r="E8" s="148">
        <v>90</v>
      </c>
      <c r="F8" s="147">
        <v>150</v>
      </c>
      <c r="G8" s="148">
        <v>176</v>
      </c>
      <c r="H8" s="148">
        <v>169</v>
      </c>
      <c r="I8" s="148">
        <v>108</v>
      </c>
      <c r="J8" s="148">
        <v>119</v>
      </c>
      <c r="K8" s="148">
        <v>165</v>
      </c>
      <c r="L8" s="148">
        <v>106</v>
      </c>
      <c r="M8" s="148">
        <v>120</v>
      </c>
      <c r="N8" s="148">
        <v>91</v>
      </c>
      <c r="O8" s="148">
        <v>122</v>
      </c>
      <c r="P8" s="148">
        <v>82</v>
      </c>
      <c r="Q8" s="148">
        <v>82</v>
      </c>
      <c r="R8" s="148">
        <v>81</v>
      </c>
      <c r="S8" s="148">
        <v>74</v>
      </c>
      <c r="T8" s="148">
        <v>99</v>
      </c>
      <c r="U8" s="148">
        <v>93</v>
      </c>
      <c r="V8" s="148">
        <v>89</v>
      </c>
      <c r="W8" s="149">
        <v>94</v>
      </c>
      <c r="X8" s="150">
        <v>87</v>
      </c>
      <c r="Y8" s="150">
        <v>92</v>
      </c>
      <c r="Z8" s="153">
        <v>103</v>
      </c>
      <c r="AA8" s="153">
        <v>73</v>
      </c>
      <c r="AB8" s="153">
        <v>74</v>
      </c>
      <c r="AC8" s="143">
        <v>74</v>
      </c>
      <c r="AD8" s="152">
        <v>95</v>
      </c>
      <c r="AE8" s="152">
        <v>105</v>
      </c>
      <c r="AF8" s="144">
        <v>107.41</v>
      </c>
      <c r="AG8" s="144">
        <v>110.32</v>
      </c>
      <c r="AH8" s="154">
        <v>110.32</v>
      </c>
      <c r="AI8" s="144">
        <v>102</v>
      </c>
    </row>
    <row r="9" spans="1:35" s="145" customFormat="1" ht="13.5" customHeight="1">
      <c r="A9" s="146" t="s">
        <v>4</v>
      </c>
      <c r="B9" s="147">
        <v>159</v>
      </c>
      <c r="C9" s="147">
        <v>150</v>
      </c>
      <c r="D9" s="147">
        <v>126</v>
      </c>
      <c r="E9" s="147">
        <v>105</v>
      </c>
      <c r="F9" s="147">
        <v>165</v>
      </c>
      <c r="G9" s="147">
        <v>191</v>
      </c>
      <c r="H9" s="147">
        <v>184</v>
      </c>
      <c r="I9" s="147">
        <v>123</v>
      </c>
      <c r="J9" s="148">
        <v>179</v>
      </c>
      <c r="K9" s="147">
        <v>157</v>
      </c>
      <c r="L9" s="147">
        <v>138</v>
      </c>
      <c r="M9" s="148">
        <v>121</v>
      </c>
      <c r="N9" s="148">
        <v>111</v>
      </c>
      <c r="O9" s="148">
        <v>151</v>
      </c>
      <c r="P9" s="148">
        <v>146</v>
      </c>
      <c r="Q9" s="148">
        <v>125</v>
      </c>
      <c r="R9" s="148">
        <v>100</v>
      </c>
      <c r="S9" s="148">
        <v>110</v>
      </c>
      <c r="T9" s="148">
        <v>154</v>
      </c>
      <c r="U9" s="148">
        <v>139</v>
      </c>
      <c r="V9" s="147">
        <v>106</v>
      </c>
      <c r="W9" s="155">
        <v>112</v>
      </c>
      <c r="X9" s="150">
        <v>103</v>
      </c>
      <c r="Y9" s="150">
        <v>107</v>
      </c>
      <c r="Z9" s="153">
        <v>145</v>
      </c>
      <c r="AA9" s="153">
        <v>126</v>
      </c>
      <c r="AB9" s="153">
        <v>111</v>
      </c>
      <c r="AC9" s="153">
        <v>112</v>
      </c>
      <c r="AD9" s="152">
        <v>118</v>
      </c>
      <c r="AE9" s="152">
        <v>112</v>
      </c>
      <c r="AF9" s="144">
        <v>125.86</v>
      </c>
      <c r="AG9" s="144">
        <v>166.07</v>
      </c>
      <c r="AH9" s="154">
        <v>166.07</v>
      </c>
      <c r="AI9" s="144">
        <v>162</v>
      </c>
    </row>
    <row r="10" spans="1:35" s="145" customFormat="1" ht="13.5" customHeight="1">
      <c r="A10" s="146" t="s">
        <v>5</v>
      </c>
      <c r="B10" s="148">
        <v>99</v>
      </c>
      <c r="C10" s="148">
        <v>119</v>
      </c>
      <c r="D10" s="148">
        <v>140</v>
      </c>
      <c r="E10" s="148">
        <v>153</v>
      </c>
      <c r="F10" s="148">
        <v>151</v>
      </c>
      <c r="G10" s="148">
        <v>174</v>
      </c>
      <c r="H10" s="148">
        <v>125</v>
      </c>
      <c r="I10" s="148">
        <v>87</v>
      </c>
      <c r="J10" s="148">
        <v>84</v>
      </c>
      <c r="K10" s="148">
        <v>82</v>
      </c>
      <c r="L10" s="148">
        <v>50</v>
      </c>
      <c r="M10" s="148">
        <v>87</v>
      </c>
      <c r="N10" s="148">
        <v>75</v>
      </c>
      <c r="O10" s="148">
        <v>90</v>
      </c>
      <c r="P10" s="148">
        <v>99</v>
      </c>
      <c r="Q10" s="148">
        <v>94</v>
      </c>
      <c r="R10" s="148">
        <v>97</v>
      </c>
      <c r="S10" s="148">
        <v>96</v>
      </c>
      <c r="T10" s="148">
        <v>103</v>
      </c>
      <c r="U10" s="148">
        <v>83</v>
      </c>
      <c r="V10" s="148">
        <v>80</v>
      </c>
      <c r="W10" s="149">
        <v>87</v>
      </c>
      <c r="X10" s="150">
        <v>84</v>
      </c>
      <c r="Y10" s="150">
        <v>87</v>
      </c>
      <c r="Z10" s="153">
        <v>86</v>
      </c>
      <c r="AA10" s="153">
        <v>71</v>
      </c>
      <c r="AB10" s="143">
        <v>71</v>
      </c>
      <c r="AC10" s="143">
        <v>71</v>
      </c>
      <c r="AD10" s="152">
        <v>83</v>
      </c>
      <c r="AE10" s="152">
        <v>78</v>
      </c>
      <c r="AF10" s="144">
        <v>75.510000000000005</v>
      </c>
      <c r="AG10" s="144">
        <v>77.11</v>
      </c>
      <c r="AH10" s="144">
        <v>68.489999999999995</v>
      </c>
      <c r="AI10" s="144">
        <v>71</v>
      </c>
    </row>
    <row r="11" spans="1:35" s="145" customFormat="1" ht="13.5" customHeight="1">
      <c r="A11" s="146" t="s">
        <v>6</v>
      </c>
      <c r="B11" s="148">
        <v>120</v>
      </c>
      <c r="C11" s="148">
        <v>103</v>
      </c>
      <c r="D11" s="148">
        <v>111</v>
      </c>
      <c r="E11" s="148">
        <v>95</v>
      </c>
      <c r="F11" s="148">
        <v>109</v>
      </c>
      <c r="G11" s="148">
        <v>103</v>
      </c>
      <c r="H11" s="148">
        <v>90</v>
      </c>
      <c r="I11" s="148">
        <v>77</v>
      </c>
      <c r="J11" s="148">
        <v>72</v>
      </c>
      <c r="K11" s="148">
        <v>68</v>
      </c>
      <c r="L11" s="148">
        <v>57</v>
      </c>
      <c r="M11" s="148">
        <v>58</v>
      </c>
      <c r="N11" s="148">
        <v>57</v>
      </c>
      <c r="O11" s="148">
        <v>68</v>
      </c>
      <c r="P11" s="148">
        <v>73</v>
      </c>
      <c r="Q11" s="148">
        <v>79</v>
      </c>
      <c r="R11" s="148">
        <v>74</v>
      </c>
      <c r="S11" s="148">
        <v>86</v>
      </c>
      <c r="T11" s="148">
        <v>91</v>
      </c>
      <c r="U11" s="148">
        <v>87</v>
      </c>
      <c r="V11" s="156">
        <v>87</v>
      </c>
      <c r="W11" s="149">
        <v>92</v>
      </c>
      <c r="X11" s="150">
        <v>84</v>
      </c>
      <c r="Y11" s="150">
        <v>92</v>
      </c>
      <c r="Z11" s="153">
        <v>100</v>
      </c>
      <c r="AA11" s="153">
        <v>81</v>
      </c>
      <c r="AB11" s="153">
        <v>84</v>
      </c>
      <c r="AC11" s="153">
        <v>81</v>
      </c>
      <c r="AD11" s="152">
        <v>76</v>
      </c>
      <c r="AE11" s="152">
        <v>60</v>
      </c>
      <c r="AF11" s="144">
        <v>83.41</v>
      </c>
      <c r="AG11" s="157">
        <v>81.435349940687999</v>
      </c>
      <c r="AH11" s="158">
        <v>62.961011591148598</v>
      </c>
      <c r="AI11" s="158">
        <v>68.108108108108098</v>
      </c>
    </row>
    <row r="12" spans="1:35" s="145" customFormat="1" ht="13.5" customHeight="1">
      <c r="A12" s="146" t="s">
        <v>7</v>
      </c>
      <c r="B12" s="147">
        <v>150</v>
      </c>
      <c r="C12" s="147">
        <v>120</v>
      </c>
      <c r="D12" s="148">
        <v>105</v>
      </c>
      <c r="E12" s="148">
        <v>54</v>
      </c>
      <c r="F12" s="148">
        <v>116</v>
      </c>
      <c r="G12" s="148">
        <v>111</v>
      </c>
      <c r="H12" s="148">
        <v>144</v>
      </c>
      <c r="I12" s="148">
        <v>91</v>
      </c>
      <c r="J12" s="148">
        <v>54</v>
      </c>
      <c r="K12" s="148">
        <v>82</v>
      </c>
      <c r="L12" s="148">
        <v>69</v>
      </c>
      <c r="M12" s="148">
        <v>72</v>
      </c>
      <c r="N12" s="148">
        <v>75</v>
      </c>
      <c r="O12" s="148">
        <v>96</v>
      </c>
      <c r="P12" s="148">
        <v>93</v>
      </c>
      <c r="Q12" s="148">
        <v>79</v>
      </c>
      <c r="R12" s="148">
        <v>110</v>
      </c>
      <c r="S12" s="147">
        <v>111</v>
      </c>
      <c r="T12" s="148">
        <v>110</v>
      </c>
      <c r="U12" s="148">
        <v>104</v>
      </c>
      <c r="V12" s="159">
        <v>96</v>
      </c>
      <c r="W12" s="149">
        <v>98</v>
      </c>
      <c r="X12" s="150">
        <v>97</v>
      </c>
      <c r="Y12" s="150">
        <v>120</v>
      </c>
      <c r="Z12" s="153">
        <v>112</v>
      </c>
      <c r="AA12" s="153">
        <v>94</v>
      </c>
      <c r="AB12" s="153">
        <v>94</v>
      </c>
      <c r="AC12" s="153">
        <v>95</v>
      </c>
      <c r="AD12" s="152">
        <v>100</v>
      </c>
      <c r="AE12" s="152">
        <v>95</v>
      </c>
      <c r="AF12" s="144">
        <v>102.97</v>
      </c>
      <c r="AG12" s="144">
        <v>100.83</v>
      </c>
      <c r="AH12" s="144">
        <v>89.57</v>
      </c>
      <c r="AI12" s="144">
        <v>81</v>
      </c>
    </row>
    <row r="13" spans="1:35" s="145" customFormat="1" ht="13.5" customHeight="1">
      <c r="A13" s="146" t="s">
        <v>8</v>
      </c>
      <c r="B13" s="147">
        <v>141</v>
      </c>
      <c r="C13" s="147">
        <v>137</v>
      </c>
      <c r="D13" s="147">
        <v>120</v>
      </c>
      <c r="E13" s="147">
        <v>110</v>
      </c>
      <c r="F13" s="147">
        <v>100</v>
      </c>
      <c r="G13" s="148">
        <v>119</v>
      </c>
      <c r="H13" s="148">
        <v>32</v>
      </c>
      <c r="I13" s="148">
        <v>34</v>
      </c>
      <c r="J13" s="148">
        <v>32</v>
      </c>
      <c r="K13" s="148">
        <v>30</v>
      </c>
      <c r="L13" s="147">
        <v>28</v>
      </c>
      <c r="M13" s="147">
        <v>28</v>
      </c>
      <c r="N13" s="147">
        <v>94</v>
      </c>
      <c r="O13" s="148">
        <v>79</v>
      </c>
      <c r="P13" s="148">
        <v>87</v>
      </c>
      <c r="Q13" s="148">
        <v>88</v>
      </c>
      <c r="R13" s="148">
        <v>88</v>
      </c>
      <c r="S13" s="148">
        <v>96</v>
      </c>
      <c r="T13" s="148">
        <v>103</v>
      </c>
      <c r="U13" s="148">
        <v>97</v>
      </c>
      <c r="V13" s="148">
        <v>93</v>
      </c>
      <c r="W13" s="149">
        <v>98</v>
      </c>
      <c r="X13" s="150">
        <v>90</v>
      </c>
      <c r="Y13" s="150">
        <v>93</v>
      </c>
      <c r="Z13" s="153">
        <v>92</v>
      </c>
      <c r="AA13" s="153">
        <v>77</v>
      </c>
      <c r="AB13" s="153">
        <v>78</v>
      </c>
      <c r="AC13" s="143">
        <v>78</v>
      </c>
      <c r="AD13" s="152">
        <v>83</v>
      </c>
      <c r="AE13" s="152">
        <v>78</v>
      </c>
      <c r="AF13" s="144">
        <v>80.09</v>
      </c>
      <c r="AG13" s="144">
        <v>83.04</v>
      </c>
      <c r="AH13" s="144">
        <v>73.760000000000005</v>
      </c>
      <c r="AI13" s="144">
        <v>76</v>
      </c>
    </row>
    <row r="14" spans="1:35" s="145" customFormat="1" ht="13.5" customHeight="1">
      <c r="A14" s="146" t="s">
        <v>9</v>
      </c>
      <c r="B14" s="148">
        <v>108</v>
      </c>
      <c r="C14" s="148">
        <v>120</v>
      </c>
      <c r="D14" s="148">
        <v>164</v>
      </c>
      <c r="E14" s="148">
        <v>90</v>
      </c>
      <c r="F14" s="148">
        <v>104</v>
      </c>
      <c r="G14" s="148">
        <v>113</v>
      </c>
      <c r="H14" s="148">
        <v>129</v>
      </c>
      <c r="I14" s="148">
        <v>109</v>
      </c>
      <c r="J14" s="148">
        <v>129</v>
      </c>
      <c r="K14" s="147">
        <v>135</v>
      </c>
      <c r="L14" s="147">
        <v>100</v>
      </c>
      <c r="M14" s="148">
        <v>89</v>
      </c>
      <c r="N14" s="148">
        <v>90</v>
      </c>
      <c r="O14" s="148">
        <v>101</v>
      </c>
      <c r="P14" s="148">
        <v>113</v>
      </c>
      <c r="Q14" s="148">
        <v>114</v>
      </c>
      <c r="R14" s="148">
        <v>104</v>
      </c>
      <c r="S14" s="148">
        <v>112</v>
      </c>
      <c r="T14" s="148">
        <v>111</v>
      </c>
      <c r="U14" s="148">
        <v>99</v>
      </c>
      <c r="V14" s="148">
        <v>92</v>
      </c>
      <c r="W14" s="149">
        <v>95</v>
      </c>
      <c r="X14" s="150">
        <v>90</v>
      </c>
      <c r="Y14" s="150">
        <v>95</v>
      </c>
      <c r="Z14" s="153">
        <v>94</v>
      </c>
      <c r="AA14" s="153">
        <v>79</v>
      </c>
      <c r="AB14" s="153">
        <v>87</v>
      </c>
      <c r="AC14" s="153">
        <v>92</v>
      </c>
      <c r="AD14" s="152">
        <v>96</v>
      </c>
      <c r="AE14" s="152">
        <v>89</v>
      </c>
      <c r="AF14" s="144">
        <v>91.76</v>
      </c>
      <c r="AG14" s="144">
        <v>98.797619047619051</v>
      </c>
      <c r="AH14" s="144">
        <f>+AVERAGE(77.39,98.7)</f>
        <v>88.045000000000002</v>
      </c>
      <c r="AI14" s="144">
        <v>90.324324324324323</v>
      </c>
    </row>
    <row r="15" spans="1:35" s="145" customFormat="1" ht="13.5" customHeight="1">
      <c r="A15" s="146" t="s">
        <v>10</v>
      </c>
      <c r="B15" s="147">
        <v>150</v>
      </c>
      <c r="C15" s="147">
        <v>150</v>
      </c>
      <c r="D15" s="147">
        <v>150</v>
      </c>
      <c r="E15" s="147">
        <v>150</v>
      </c>
      <c r="F15" s="148">
        <v>172</v>
      </c>
      <c r="G15" s="148">
        <v>194</v>
      </c>
      <c r="H15" s="148">
        <v>127</v>
      </c>
      <c r="I15" s="148">
        <v>115</v>
      </c>
      <c r="J15" s="148">
        <v>110</v>
      </c>
      <c r="K15" s="148">
        <v>119</v>
      </c>
      <c r="L15" s="147">
        <v>119</v>
      </c>
      <c r="M15" s="148">
        <v>119</v>
      </c>
      <c r="N15" s="147">
        <v>107</v>
      </c>
      <c r="O15" s="148">
        <v>96</v>
      </c>
      <c r="P15" s="148">
        <v>114</v>
      </c>
      <c r="Q15" s="148">
        <v>105</v>
      </c>
      <c r="R15" s="148">
        <v>106</v>
      </c>
      <c r="S15" s="148">
        <v>89</v>
      </c>
      <c r="T15" s="147">
        <v>89</v>
      </c>
      <c r="U15" s="147">
        <v>89</v>
      </c>
      <c r="V15" s="147">
        <v>166</v>
      </c>
      <c r="W15" s="149">
        <v>119</v>
      </c>
      <c r="X15" s="150">
        <v>110</v>
      </c>
      <c r="Y15" s="150">
        <v>114</v>
      </c>
      <c r="Z15" s="153">
        <v>112</v>
      </c>
      <c r="AA15" s="153">
        <v>93</v>
      </c>
      <c r="AB15" s="143">
        <v>95</v>
      </c>
      <c r="AC15" s="153">
        <v>106</v>
      </c>
      <c r="AD15" s="152">
        <v>81</v>
      </c>
      <c r="AE15" s="152">
        <v>77</v>
      </c>
      <c r="AF15" s="144">
        <v>85.81</v>
      </c>
      <c r="AG15" s="144">
        <v>44.28</v>
      </c>
      <c r="AH15" s="144">
        <v>59.58</v>
      </c>
      <c r="AI15" s="144">
        <v>24</v>
      </c>
    </row>
    <row r="16" spans="1:35" s="145" customFormat="1" ht="13.5" customHeight="1">
      <c r="A16" s="146" t="s">
        <v>11</v>
      </c>
      <c r="B16" s="148">
        <v>66</v>
      </c>
      <c r="C16" s="147">
        <v>70</v>
      </c>
      <c r="D16" s="148">
        <v>74</v>
      </c>
      <c r="E16" s="148">
        <v>66</v>
      </c>
      <c r="F16" s="147">
        <v>60</v>
      </c>
      <c r="G16" s="148">
        <v>79</v>
      </c>
      <c r="H16" s="148">
        <v>52</v>
      </c>
      <c r="I16" s="148">
        <v>64</v>
      </c>
      <c r="J16" s="148">
        <v>38</v>
      </c>
      <c r="K16" s="148">
        <v>33</v>
      </c>
      <c r="L16" s="147">
        <v>33</v>
      </c>
      <c r="M16" s="147">
        <v>33</v>
      </c>
      <c r="N16" s="147">
        <v>33</v>
      </c>
      <c r="O16" s="148">
        <v>50</v>
      </c>
      <c r="P16" s="147">
        <v>59</v>
      </c>
      <c r="Q16" s="147">
        <v>59</v>
      </c>
      <c r="R16" s="147">
        <v>60</v>
      </c>
      <c r="S16" s="148">
        <v>59</v>
      </c>
      <c r="T16" s="148">
        <v>63</v>
      </c>
      <c r="U16" s="147">
        <v>63</v>
      </c>
      <c r="V16" s="160">
        <v>59</v>
      </c>
      <c r="W16" s="149">
        <v>73</v>
      </c>
      <c r="X16" s="151">
        <v>67</v>
      </c>
      <c r="Y16" s="151">
        <v>69</v>
      </c>
      <c r="Z16" s="153">
        <v>69</v>
      </c>
      <c r="AA16" s="143">
        <v>65.153846153845734</v>
      </c>
      <c r="AB16" s="143">
        <v>62.038461538460979</v>
      </c>
      <c r="AC16" s="153">
        <v>56</v>
      </c>
      <c r="AD16" s="152">
        <v>58</v>
      </c>
      <c r="AE16" s="161">
        <v>58</v>
      </c>
      <c r="AF16" s="144">
        <v>57.55</v>
      </c>
      <c r="AG16" s="144">
        <v>61.68</v>
      </c>
      <c r="AH16" s="144">
        <v>54.27</v>
      </c>
      <c r="AI16" s="144">
        <v>56</v>
      </c>
    </row>
    <row r="17" spans="1:36" s="145" customFormat="1" ht="13.5" customHeight="1">
      <c r="A17" s="146" t="s">
        <v>12</v>
      </c>
      <c r="B17" s="148">
        <v>176</v>
      </c>
      <c r="C17" s="148">
        <v>170</v>
      </c>
      <c r="D17" s="148">
        <v>255</v>
      </c>
      <c r="E17" s="148">
        <v>156</v>
      </c>
      <c r="F17" s="148">
        <v>145</v>
      </c>
      <c r="G17" s="147">
        <v>150</v>
      </c>
      <c r="H17" s="148">
        <v>153</v>
      </c>
      <c r="I17" s="148">
        <v>177</v>
      </c>
      <c r="J17" s="148">
        <v>133</v>
      </c>
      <c r="K17" s="148">
        <v>128</v>
      </c>
      <c r="L17" s="148">
        <v>114</v>
      </c>
      <c r="M17" s="148">
        <v>157</v>
      </c>
      <c r="N17" s="148">
        <v>165</v>
      </c>
      <c r="O17" s="148">
        <v>170</v>
      </c>
      <c r="P17" s="148">
        <v>155</v>
      </c>
      <c r="Q17" s="147">
        <v>155</v>
      </c>
      <c r="R17" s="147">
        <v>151</v>
      </c>
      <c r="S17" s="148">
        <v>164</v>
      </c>
      <c r="T17" s="148">
        <v>154</v>
      </c>
      <c r="U17" s="147">
        <v>146</v>
      </c>
      <c r="V17" s="162">
        <v>139</v>
      </c>
      <c r="W17" s="162">
        <v>147</v>
      </c>
      <c r="X17" s="162">
        <v>135</v>
      </c>
      <c r="Y17" s="163">
        <v>127</v>
      </c>
      <c r="Z17" s="164">
        <v>109</v>
      </c>
      <c r="AA17" s="153">
        <v>92</v>
      </c>
      <c r="AB17" s="143">
        <v>92</v>
      </c>
      <c r="AC17" s="153">
        <v>115</v>
      </c>
      <c r="AD17" s="143">
        <v>115</v>
      </c>
      <c r="AE17" s="143">
        <v>115</v>
      </c>
      <c r="AF17" s="154">
        <v>115</v>
      </c>
      <c r="AG17" s="154">
        <v>115</v>
      </c>
      <c r="AH17" s="154">
        <v>115</v>
      </c>
      <c r="AI17" s="144">
        <v>114</v>
      </c>
    </row>
    <row r="18" spans="1:36" s="145" customFormat="1" ht="13.5" customHeight="1">
      <c r="A18" s="146" t="s">
        <v>13</v>
      </c>
      <c r="B18" s="148">
        <v>63</v>
      </c>
      <c r="C18" s="148">
        <v>57</v>
      </c>
      <c r="D18" s="148">
        <v>60</v>
      </c>
      <c r="E18" s="148">
        <v>57</v>
      </c>
      <c r="F18" s="148">
        <v>59</v>
      </c>
      <c r="G18" s="148">
        <v>66</v>
      </c>
      <c r="H18" s="148">
        <v>64</v>
      </c>
      <c r="I18" s="148">
        <v>57</v>
      </c>
      <c r="J18" s="148">
        <v>51</v>
      </c>
      <c r="K18" s="148">
        <v>43</v>
      </c>
      <c r="L18" s="148">
        <v>56</v>
      </c>
      <c r="M18" s="148">
        <v>48</v>
      </c>
      <c r="N18" s="148">
        <v>36</v>
      </c>
      <c r="O18" s="148">
        <v>47</v>
      </c>
      <c r="P18" s="148">
        <v>49</v>
      </c>
      <c r="Q18" s="148">
        <v>55</v>
      </c>
      <c r="R18" s="148">
        <v>56</v>
      </c>
      <c r="S18" s="148">
        <v>55</v>
      </c>
      <c r="T18" s="147">
        <v>66</v>
      </c>
      <c r="U18" s="148">
        <v>66</v>
      </c>
      <c r="V18" s="156">
        <v>61</v>
      </c>
      <c r="W18" s="165">
        <v>70</v>
      </c>
      <c r="X18" s="166">
        <v>65</v>
      </c>
      <c r="Y18" s="165">
        <v>63</v>
      </c>
      <c r="Z18" s="167">
        <v>63</v>
      </c>
      <c r="AA18" s="143">
        <v>59.307692307692378</v>
      </c>
      <c r="AB18" s="143">
        <v>56.576923076922867</v>
      </c>
      <c r="AC18" s="153">
        <v>50</v>
      </c>
      <c r="AD18" s="152">
        <v>54</v>
      </c>
      <c r="AE18" s="152">
        <v>37</v>
      </c>
      <c r="AF18" s="144">
        <v>37.76</v>
      </c>
      <c r="AG18" s="144">
        <v>40.21</v>
      </c>
      <c r="AH18" s="144">
        <v>26</v>
      </c>
      <c r="AI18" s="144">
        <v>33.24</v>
      </c>
    </row>
    <row r="19" spans="1:36" s="145" customFormat="1" ht="13.5" customHeight="1">
      <c r="A19" s="146" t="s">
        <v>14</v>
      </c>
      <c r="B19" s="148">
        <v>110</v>
      </c>
      <c r="C19" s="148">
        <v>100</v>
      </c>
      <c r="D19" s="148">
        <v>100</v>
      </c>
      <c r="E19" s="148">
        <v>63</v>
      </c>
      <c r="F19" s="148">
        <v>78</v>
      </c>
      <c r="G19" s="148">
        <v>91</v>
      </c>
      <c r="H19" s="148">
        <v>72</v>
      </c>
      <c r="I19" s="148">
        <v>68</v>
      </c>
      <c r="J19" s="148">
        <v>68</v>
      </c>
      <c r="K19" s="148">
        <v>63</v>
      </c>
      <c r="L19" s="148">
        <v>52</v>
      </c>
      <c r="M19" s="148">
        <v>52</v>
      </c>
      <c r="N19" s="148">
        <v>56</v>
      </c>
      <c r="O19" s="148">
        <v>70</v>
      </c>
      <c r="P19" s="148">
        <v>76</v>
      </c>
      <c r="Q19" s="148">
        <v>76</v>
      </c>
      <c r="R19" s="148">
        <v>76</v>
      </c>
      <c r="S19" s="148">
        <v>83</v>
      </c>
      <c r="T19" s="148">
        <v>89</v>
      </c>
      <c r="U19" s="148">
        <v>83</v>
      </c>
      <c r="V19" s="156">
        <v>79</v>
      </c>
      <c r="W19" s="149">
        <v>82</v>
      </c>
      <c r="X19" s="150">
        <v>76</v>
      </c>
      <c r="Y19" s="150">
        <v>77</v>
      </c>
      <c r="Z19" s="153">
        <v>76</v>
      </c>
      <c r="AA19" s="153">
        <v>64</v>
      </c>
      <c r="AB19" s="153">
        <v>64</v>
      </c>
      <c r="AC19" s="153">
        <v>67</v>
      </c>
      <c r="AD19" s="152">
        <v>70</v>
      </c>
      <c r="AE19" s="152">
        <v>67</v>
      </c>
      <c r="AF19" s="144">
        <v>73.13095238095238</v>
      </c>
      <c r="AG19" s="154">
        <v>72.61904761904762</v>
      </c>
      <c r="AH19" s="154">
        <v>72.61904761904762</v>
      </c>
      <c r="AI19" s="144">
        <v>66</v>
      </c>
    </row>
    <row r="20" spans="1:36" s="145" customFormat="1" ht="13.5" customHeight="1">
      <c r="A20" s="146" t="s">
        <v>15</v>
      </c>
      <c r="B20" s="147">
        <v>160</v>
      </c>
      <c r="C20" s="147">
        <v>152</v>
      </c>
      <c r="D20" s="147">
        <v>183</v>
      </c>
      <c r="E20" s="147">
        <v>123</v>
      </c>
      <c r="F20" s="147">
        <v>148</v>
      </c>
      <c r="G20" s="148">
        <v>118</v>
      </c>
      <c r="H20" s="148">
        <v>118</v>
      </c>
      <c r="I20" s="148">
        <v>98</v>
      </c>
      <c r="J20" s="148">
        <v>88</v>
      </c>
      <c r="K20" s="148">
        <v>97</v>
      </c>
      <c r="L20" s="148">
        <v>77</v>
      </c>
      <c r="M20" s="148">
        <v>79</v>
      </c>
      <c r="N20" s="148">
        <v>87</v>
      </c>
      <c r="O20" s="148">
        <v>99</v>
      </c>
      <c r="P20" s="148">
        <v>93</v>
      </c>
      <c r="Q20" s="148">
        <v>92</v>
      </c>
      <c r="R20" s="147">
        <v>101</v>
      </c>
      <c r="S20" s="148">
        <v>96</v>
      </c>
      <c r="T20" s="148">
        <v>138</v>
      </c>
      <c r="U20" s="148">
        <v>104</v>
      </c>
      <c r="V20" s="148">
        <v>111</v>
      </c>
      <c r="W20" s="149">
        <v>125</v>
      </c>
      <c r="X20" s="150">
        <v>147</v>
      </c>
      <c r="Y20" s="150">
        <v>139</v>
      </c>
      <c r="Z20" s="153">
        <v>127</v>
      </c>
      <c r="AA20" s="153">
        <v>108</v>
      </c>
      <c r="AB20" s="153">
        <v>117</v>
      </c>
      <c r="AC20" s="153">
        <v>105</v>
      </c>
      <c r="AD20" s="152">
        <v>115</v>
      </c>
      <c r="AE20" s="152">
        <v>85</v>
      </c>
      <c r="AF20" s="144">
        <v>98.16</v>
      </c>
      <c r="AG20" s="144">
        <v>105.3</v>
      </c>
      <c r="AH20" s="144">
        <v>89.45</v>
      </c>
      <c r="AI20" s="158">
        <v>84.769708957332597</v>
      </c>
    </row>
    <row r="21" spans="1:36" s="145" customFormat="1" ht="13.5" customHeight="1">
      <c r="A21" s="146" t="s">
        <v>16</v>
      </c>
      <c r="B21" s="148">
        <v>178</v>
      </c>
      <c r="C21" s="148">
        <v>144</v>
      </c>
      <c r="D21" s="148">
        <v>188</v>
      </c>
      <c r="E21" s="148">
        <v>136</v>
      </c>
      <c r="F21" s="148">
        <v>146</v>
      </c>
      <c r="G21" s="148">
        <v>148</v>
      </c>
      <c r="H21" s="148">
        <v>127</v>
      </c>
      <c r="I21" s="148">
        <v>117</v>
      </c>
      <c r="J21" s="148">
        <v>110</v>
      </c>
      <c r="K21" s="147">
        <v>109</v>
      </c>
      <c r="L21" s="148">
        <v>77</v>
      </c>
      <c r="M21" s="148">
        <v>69</v>
      </c>
      <c r="N21" s="148">
        <v>74</v>
      </c>
      <c r="O21" s="148">
        <v>89</v>
      </c>
      <c r="P21" s="147">
        <v>86</v>
      </c>
      <c r="Q21" s="147">
        <v>86</v>
      </c>
      <c r="R21" s="147">
        <v>74</v>
      </c>
      <c r="S21" s="148">
        <v>75</v>
      </c>
      <c r="T21" s="148">
        <v>65</v>
      </c>
      <c r="U21" s="148">
        <v>82</v>
      </c>
      <c r="V21" s="148">
        <v>96</v>
      </c>
      <c r="W21" s="149">
        <v>102</v>
      </c>
      <c r="X21" s="150">
        <v>96</v>
      </c>
      <c r="Y21" s="150">
        <v>99</v>
      </c>
      <c r="Z21" s="153">
        <v>78</v>
      </c>
      <c r="AA21" s="153">
        <v>78</v>
      </c>
      <c r="AB21" s="143">
        <v>78</v>
      </c>
      <c r="AC21" s="143">
        <v>78</v>
      </c>
      <c r="AD21" s="143">
        <v>78</v>
      </c>
      <c r="AE21" s="143">
        <v>78</v>
      </c>
      <c r="AF21" s="154">
        <v>78</v>
      </c>
      <c r="AG21" s="154">
        <v>78</v>
      </c>
      <c r="AH21" s="154">
        <v>78</v>
      </c>
      <c r="AI21" s="154">
        <v>78</v>
      </c>
    </row>
    <row r="22" spans="1:36" s="145" customFormat="1" ht="13.5" customHeight="1" thickBot="1">
      <c r="A22" s="168" t="s">
        <v>17</v>
      </c>
      <c r="B22" s="169">
        <v>131</v>
      </c>
      <c r="C22" s="169">
        <v>127</v>
      </c>
      <c r="D22" s="169">
        <v>69</v>
      </c>
      <c r="E22" s="169">
        <v>123</v>
      </c>
      <c r="F22" s="169">
        <v>113</v>
      </c>
      <c r="G22" s="169">
        <v>111</v>
      </c>
      <c r="H22" s="169">
        <v>102</v>
      </c>
      <c r="I22" s="169">
        <v>124</v>
      </c>
      <c r="J22" s="169">
        <v>128</v>
      </c>
      <c r="K22" s="169">
        <v>104</v>
      </c>
      <c r="L22" s="169">
        <v>94</v>
      </c>
      <c r="M22" s="169">
        <v>94</v>
      </c>
      <c r="N22" s="169">
        <v>84</v>
      </c>
      <c r="O22" s="169">
        <v>90</v>
      </c>
      <c r="P22" s="169">
        <v>91</v>
      </c>
      <c r="Q22" s="169">
        <v>79</v>
      </c>
      <c r="R22" s="170">
        <v>87</v>
      </c>
      <c r="S22" s="169">
        <v>91</v>
      </c>
      <c r="T22" s="169">
        <v>74</v>
      </c>
      <c r="U22" s="169">
        <v>62</v>
      </c>
      <c r="V22" s="169">
        <v>62</v>
      </c>
      <c r="W22" s="171">
        <v>64</v>
      </c>
      <c r="X22" s="172">
        <v>63</v>
      </c>
      <c r="Y22" s="172">
        <v>67</v>
      </c>
      <c r="Z22" s="172">
        <v>62</v>
      </c>
      <c r="AA22" s="172">
        <v>59</v>
      </c>
      <c r="AB22" s="172">
        <v>54</v>
      </c>
      <c r="AC22" s="173">
        <v>103</v>
      </c>
      <c r="AD22" s="173">
        <v>107</v>
      </c>
      <c r="AE22" s="173">
        <v>127</v>
      </c>
      <c r="AF22" s="173">
        <v>102.82776349614396</v>
      </c>
      <c r="AG22" s="173">
        <v>110.04</v>
      </c>
      <c r="AH22" s="174">
        <v>110.04</v>
      </c>
      <c r="AI22" s="174">
        <v>110.04</v>
      </c>
    </row>
    <row r="23" spans="1:36" s="145" customFormat="1" ht="13.5" customHeight="1">
      <c r="A23" s="175" t="s">
        <v>40</v>
      </c>
      <c r="B23" s="175">
        <v>131.35294117647058</v>
      </c>
      <c r="C23" s="175">
        <v>124.94117647058823</v>
      </c>
      <c r="D23" s="175">
        <v>128.88235294117646</v>
      </c>
      <c r="E23" s="175">
        <v>105.05882352941177</v>
      </c>
      <c r="F23" s="175">
        <v>119.05882352941177</v>
      </c>
      <c r="G23" s="175">
        <v>129</v>
      </c>
      <c r="H23" s="175">
        <v>112.70588235294117</v>
      </c>
      <c r="I23" s="175">
        <v>95.529411764705884</v>
      </c>
      <c r="J23" s="175">
        <v>91.941176470588232</v>
      </c>
      <c r="K23" s="175">
        <v>92.235294117647058</v>
      </c>
      <c r="L23" s="175">
        <v>77.588235294117652</v>
      </c>
      <c r="M23" s="175">
        <v>79.705882352941174</v>
      </c>
      <c r="N23" s="175">
        <v>79.764705882352942</v>
      </c>
      <c r="O23" s="175">
        <v>91.705882352941174</v>
      </c>
      <c r="P23" s="175">
        <v>92.352941176470594</v>
      </c>
      <c r="Q23" s="175">
        <v>89.411764705882348</v>
      </c>
      <c r="R23" s="175">
        <v>88.411764705882348</v>
      </c>
      <c r="S23" s="175">
        <v>91.941176470588232</v>
      </c>
      <c r="T23" s="175">
        <v>99.470588235294116</v>
      </c>
      <c r="U23" s="175">
        <v>92.058823529411768</v>
      </c>
      <c r="V23" s="175">
        <v>92.941176470588232</v>
      </c>
      <c r="W23" s="175">
        <v>96.235294117647058</v>
      </c>
      <c r="X23" s="175">
        <v>92.352941176470594</v>
      </c>
      <c r="Y23" s="175">
        <v>94.647058823529406</v>
      </c>
      <c r="Z23" s="175">
        <v>96.228558077621642</v>
      </c>
      <c r="AA23" s="175">
        <v>81.615384615384599</v>
      </c>
      <c r="AB23" s="175">
        <v>82.09502262443435</v>
      </c>
      <c r="AC23" s="175">
        <v>85.82352941176471</v>
      </c>
      <c r="AD23" s="175">
        <v>88.588235294117652</v>
      </c>
      <c r="AE23" s="175">
        <v>84.058823529411768</v>
      </c>
      <c r="AF23" s="175">
        <v>87.972277404535077</v>
      </c>
      <c r="AG23" s="175">
        <v>88.745412741609087</v>
      </c>
      <c r="AH23" s="175">
        <v>82.380885835893906</v>
      </c>
      <c r="AI23" s="175">
        <v>79.793067140574408</v>
      </c>
    </row>
    <row r="24" spans="1:36" s="145" customFormat="1" ht="13.5" customHeight="1">
      <c r="A24" s="176" t="s">
        <v>41</v>
      </c>
      <c r="B24" s="175">
        <v>116.96954566549101</v>
      </c>
      <c r="C24" s="175">
        <v>114.52224166209578</v>
      </c>
      <c r="D24" s="175">
        <v>117.84930108220136</v>
      </c>
      <c r="E24" s="175">
        <v>103.52288976132908</v>
      </c>
      <c r="F24" s="175">
        <v>111.79148853297156</v>
      </c>
      <c r="G24" s="175">
        <v>118.41873807516157</v>
      </c>
      <c r="H24" s="175">
        <v>105.1289356954467</v>
      </c>
      <c r="I24" s="175">
        <v>92.090671801341102</v>
      </c>
      <c r="J24" s="175">
        <v>91.757700125766419</v>
      </c>
      <c r="K24" s="175">
        <v>87.861540211886251</v>
      </c>
      <c r="L24" s="175">
        <v>70.384316523523452</v>
      </c>
      <c r="M24" s="175">
        <v>74.415610052605203</v>
      </c>
      <c r="N24" s="175">
        <v>71.477023451647355</v>
      </c>
      <c r="O24" s="175">
        <v>83.476790175310725</v>
      </c>
      <c r="P24" s="175">
        <v>88.203280421297407</v>
      </c>
      <c r="Q24" s="175">
        <v>86.441120859166446</v>
      </c>
      <c r="R24" s="175">
        <v>85.918210941788629</v>
      </c>
      <c r="S24" s="175">
        <v>91.504568644876144</v>
      </c>
      <c r="T24" s="175">
        <v>93.954103646872625</v>
      </c>
      <c r="U24" s="175">
        <v>84.441939502484942</v>
      </c>
      <c r="V24" s="175">
        <v>81.775990761855255</v>
      </c>
      <c r="W24" s="175">
        <v>86.795545419176008</v>
      </c>
      <c r="X24" s="175">
        <v>82.671052778244928</v>
      </c>
      <c r="Y24" s="175">
        <v>86.557369646686652</v>
      </c>
      <c r="Z24" s="175">
        <v>87.312244659849824</v>
      </c>
      <c r="AA24" s="175">
        <v>74.108145472278963</v>
      </c>
      <c r="AB24" s="175">
        <v>75.182122170851756</v>
      </c>
      <c r="AC24" s="175">
        <v>82.949325874542154</v>
      </c>
      <c r="AD24" s="175">
        <v>86.324997893219361</v>
      </c>
      <c r="AE24" s="175">
        <v>82.709833220809486</v>
      </c>
      <c r="AF24" s="175">
        <v>85.226095074745643</v>
      </c>
      <c r="AG24" s="175">
        <v>87.759353935502986</v>
      </c>
      <c r="AH24" s="175">
        <v>79.190893387294892</v>
      </c>
      <c r="AI24" s="175">
        <v>79.98664141416171</v>
      </c>
    </row>
    <row r="25" spans="1:36" s="145" customFormat="1" ht="13.5" customHeight="1">
      <c r="A25" s="176" t="s">
        <v>42</v>
      </c>
      <c r="B25" s="175">
        <v>91.845188385136908</v>
      </c>
      <c r="C25" s="175">
        <v>92.374465433133523</v>
      </c>
      <c r="D25" s="175">
        <v>90.744401128272855</v>
      </c>
      <c r="E25" s="175">
        <v>88.379258740344426</v>
      </c>
      <c r="F25" s="175">
        <v>93.957217952894183</v>
      </c>
      <c r="G25" s="175">
        <v>90.886381472686494</v>
      </c>
      <c r="H25" s="175">
        <v>83.200826901283349</v>
      </c>
      <c r="I25" s="175">
        <v>80.801920979917313</v>
      </c>
      <c r="J25" s="175">
        <v>82.016060376514176</v>
      </c>
      <c r="K25" s="175">
        <v>82.157832605951228</v>
      </c>
      <c r="L25" s="175">
        <v>76.027379100796949</v>
      </c>
      <c r="M25" s="175">
        <v>82.973405208654796</v>
      </c>
      <c r="N25" s="175">
        <v>75.886583982426387</v>
      </c>
      <c r="O25" s="175">
        <v>73.868611626132463</v>
      </c>
      <c r="P25" s="175">
        <v>71.01246106718655</v>
      </c>
      <c r="Q25" s="175">
        <v>68.711182559742809</v>
      </c>
      <c r="R25" s="175">
        <v>68.479391666933793</v>
      </c>
      <c r="S25" s="175">
        <v>66.798335110759595</v>
      </c>
      <c r="T25" s="175">
        <v>63.888790479873393</v>
      </c>
      <c r="U25" s="175">
        <v>60.727265212607072</v>
      </c>
      <c r="V25" s="175">
        <v>61.731059906309291</v>
      </c>
      <c r="W25" s="175">
        <v>62.171649183755775</v>
      </c>
      <c r="X25" s="175">
        <v>64.152736955918073</v>
      </c>
      <c r="Y25" s="175">
        <v>64.902291105213223</v>
      </c>
      <c r="Z25" s="175">
        <v>66.349369258446288</v>
      </c>
      <c r="AA25" s="175">
        <v>67.734844961662972</v>
      </c>
      <c r="AB25" s="175">
        <v>67.889456105181353</v>
      </c>
      <c r="AC25" s="175">
        <v>73.907847099677767</v>
      </c>
      <c r="AD25" s="175">
        <v>73.117273462534598</v>
      </c>
      <c r="AE25" s="175">
        <v>73.859881066182879</v>
      </c>
      <c r="AF25" s="175">
        <v>74.487607095327689</v>
      </c>
      <c r="AG25" s="175">
        <v>73.981135367629022</v>
      </c>
      <c r="AH25" s="175">
        <v>75.152157824542854</v>
      </c>
      <c r="AI25" s="175">
        <v>73.987643308099592</v>
      </c>
    </row>
    <row r="26" spans="1:36" s="145" customFormat="1" ht="13.5" customHeight="1">
      <c r="A26" s="176" t="s">
        <v>45</v>
      </c>
      <c r="B26" s="175">
        <v>183.03949352614148</v>
      </c>
      <c r="C26" s="175">
        <v>175.09317865250668</v>
      </c>
      <c r="D26" s="175">
        <v>165.45459490164941</v>
      </c>
      <c r="E26" s="175">
        <v>155.73593555186912</v>
      </c>
      <c r="F26" s="175">
        <v>161.03378331580927</v>
      </c>
      <c r="G26" s="175">
        <v>151.46584143536123</v>
      </c>
      <c r="H26" s="175">
        <v>135.46842926695527</v>
      </c>
      <c r="I26" s="175">
        <v>129.54345993111338</v>
      </c>
      <c r="J26" s="175">
        <v>130.04661710466189</v>
      </c>
      <c r="K26" s="175">
        <v>128.85693938116091</v>
      </c>
      <c r="L26" s="175">
        <v>116.78410296458583</v>
      </c>
      <c r="M26" s="175">
        <v>124.52735076811221</v>
      </c>
      <c r="N26" s="175">
        <v>111.39093772717233</v>
      </c>
      <c r="O26" s="175">
        <v>106.21681778750288</v>
      </c>
      <c r="P26" s="175">
        <v>99.972130494258593</v>
      </c>
      <c r="Q26" s="175">
        <v>94.670594228831732</v>
      </c>
      <c r="R26" s="175">
        <v>92.328953564828169</v>
      </c>
      <c r="S26" s="175">
        <v>88.182529927817583</v>
      </c>
      <c r="T26" s="175">
        <v>81.669306820718475</v>
      </c>
      <c r="U26" s="175">
        <v>77.399598511331078</v>
      </c>
      <c r="V26" s="175">
        <v>77.430642308995175</v>
      </c>
      <c r="W26" s="175">
        <v>75.924023182587803</v>
      </c>
      <c r="X26" s="175">
        <v>76.433684152884737</v>
      </c>
      <c r="Y26" s="175">
        <v>76.291866038549088</v>
      </c>
      <c r="Z26" s="175">
        <v>77.656881242076906</v>
      </c>
      <c r="AA26" s="175">
        <v>79.127845884214679</v>
      </c>
      <c r="AB26" s="175">
        <v>79.126471737077566</v>
      </c>
      <c r="AC26" s="175">
        <v>84.829187445316919</v>
      </c>
      <c r="AD26" s="175">
        <v>82.479334548988902</v>
      </c>
      <c r="AE26" s="175">
        <v>82.331214753353848</v>
      </c>
      <c r="AF26" s="175">
        <v>82.825454605712736</v>
      </c>
      <c r="AG26" s="175">
        <v>80.186270492173136</v>
      </c>
      <c r="AH26" s="175">
        <v>75.152157824542854</v>
      </c>
      <c r="AI26" s="175">
        <v>70.184624370703972</v>
      </c>
    </row>
    <row r="27" spans="1:36" s="135" customFormat="1" ht="13.5" customHeight="1">
      <c r="A27" s="145" t="s">
        <v>48</v>
      </c>
      <c r="B27" s="177"/>
      <c r="C27" s="177"/>
      <c r="D27" s="177"/>
      <c r="E27" s="177"/>
      <c r="F27" s="177"/>
      <c r="G27" s="177"/>
      <c r="H27" s="178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</row>
    <row r="28" spans="1:36" s="135" customFormat="1" ht="13.5" customHeight="1">
      <c r="B28" s="177"/>
      <c r="C28" s="177"/>
      <c r="D28" s="177"/>
      <c r="E28" s="177"/>
      <c r="F28" s="177"/>
      <c r="G28" s="177"/>
      <c r="H28" s="178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</row>
    <row r="29" spans="1:36" s="129" customFormat="1" ht="12">
      <c r="A29" s="135"/>
      <c r="B29" s="179"/>
      <c r="C29" s="179"/>
      <c r="D29" s="179"/>
      <c r="E29" s="179"/>
      <c r="F29" s="179"/>
      <c r="G29" s="179"/>
      <c r="H29" s="180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81"/>
      <c r="Y29" s="135"/>
      <c r="Z29" s="135"/>
      <c r="AA29" s="135"/>
    </row>
    <row r="30" spans="1:36" s="129" customFormat="1" ht="12">
      <c r="A30" s="128" t="s">
        <v>20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35"/>
    </row>
    <row r="31" spans="1:36" s="129" customFormat="1" ht="12.6" thickBot="1">
      <c r="A31" s="182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</row>
    <row r="32" spans="1:36" s="129" customFormat="1" ht="12">
      <c r="A32" s="184" t="s">
        <v>30</v>
      </c>
      <c r="B32" s="185">
        <v>1990</v>
      </c>
      <c r="C32" s="185">
        <v>1991</v>
      </c>
      <c r="D32" s="185">
        <v>1992</v>
      </c>
      <c r="E32" s="185">
        <v>1993</v>
      </c>
      <c r="F32" s="185">
        <v>1994</v>
      </c>
      <c r="G32" s="185">
        <v>1995</v>
      </c>
      <c r="H32" s="185">
        <v>1996</v>
      </c>
      <c r="I32" s="185">
        <v>1997</v>
      </c>
      <c r="J32" s="185">
        <v>1998</v>
      </c>
      <c r="K32" s="185">
        <v>1999</v>
      </c>
      <c r="L32" s="185">
        <v>2000</v>
      </c>
      <c r="M32" s="185">
        <v>2001</v>
      </c>
      <c r="N32" s="185">
        <v>2002</v>
      </c>
      <c r="O32" s="185">
        <v>2003</v>
      </c>
      <c r="P32" s="185">
        <v>2004</v>
      </c>
      <c r="Q32" s="185">
        <v>2005</v>
      </c>
      <c r="R32" s="185">
        <v>2006</v>
      </c>
      <c r="S32" s="185">
        <v>2007</v>
      </c>
      <c r="T32" s="185">
        <v>2008</v>
      </c>
      <c r="U32" s="185">
        <v>2009</v>
      </c>
      <c r="V32" s="185">
        <v>2010</v>
      </c>
      <c r="W32" s="185">
        <v>2011</v>
      </c>
      <c r="X32" s="185">
        <v>2012</v>
      </c>
      <c r="Y32" s="185">
        <v>2013</v>
      </c>
      <c r="Z32" s="185">
        <v>2014</v>
      </c>
      <c r="AA32" s="185">
        <v>2015</v>
      </c>
      <c r="AB32" s="185">
        <v>2016</v>
      </c>
      <c r="AC32" s="185">
        <v>2017</v>
      </c>
      <c r="AD32" s="186">
        <v>2018</v>
      </c>
      <c r="AE32" s="186">
        <v>2019</v>
      </c>
      <c r="AF32" s="186">
        <v>2020</v>
      </c>
      <c r="AG32" s="186">
        <v>2021</v>
      </c>
      <c r="AH32" s="186">
        <v>2022</v>
      </c>
      <c r="AI32" s="187">
        <v>2023</v>
      </c>
      <c r="AJ32" s="135"/>
    </row>
    <row r="33" spans="1:36" s="129" customFormat="1" ht="11.4">
      <c r="A33" s="188" t="s">
        <v>1</v>
      </c>
      <c r="B33" s="189">
        <v>66000</v>
      </c>
      <c r="C33" s="189">
        <v>66000</v>
      </c>
      <c r="D33" s="190">
        <v>54000</v>
      </c>
      <c r="E33" s="190">
        <v>40000</v>
      </c>
      <c r="F33" s="190">
        <v>41946</v>
      </c>
      <c r="G33" s="190">
        <v>52084</v>
      </c>
      <c r="H33" s="190">
        <v>45875</v>
      </c>
      <c r="I33" s="190">
        <v>56723</v>
      </c>
      <c r="J33" s="190">
        <v>54440</v>
      </c>
      <c r="K33" s="190">
        <v>38859</v>
      </c>
      <c r="L33" s="190">
        <v>47094</v>
      </c>
      <c r="M33" s="190">
        <v>43995</v>
      </c>
      <c r="N33" s="190">
        <v>42385</v>
      </c>
      <c r="O33" s="190">
        <v>59300</v>
      </c>
      <c r="P33" s="190">
        <v>55894</v>
      </c>
      <c r="Q33" s="190">
        <v>59757</v>
      </c>
      <c r="R33" s="190">
        <v>50185</v>
      </c>
      <c r="S33" s="190">
        <v>61661</v>
      </c>
      <c r="T33" s="148">
        <v>66176</v>
      </c>
      <c r="U33" s="148">
        <v>48668</v>
      </c>
      <c r="V33" s="191">
        <v>52989</v>
      </c>
      <c r="W33" s="192">
        <v>62823</v>
      </c>
      <c r="X33" s="193">
        <v>51546</v>
      </c>
      <c r="Y33" s="193">
        <v>73351</v>
      </c>
      <c r="Z33" s="194">
        <v>65797</v>
      </c>
      <c r="AA33" s="195">
        <v>54705</v>
      </c>
      <c r="AB33" s="195">
        <v>58139.535067927514</v>
      </c>
      <c r="AC33" s="195">
        <v>58922.560719975969</v>
      </c>
      <c r="AD33" s="196">
        <v>58922.560719975969</v>
      </c>
      <c r="AE33" s="196">
        <v>58922.560719975969</v>
      </c>
      <c r="AF33" s="197">
        <v>61784.9</v>
      </c>
      <c r="AG33" s="197">
        <v>55753.26</v>
      </c>
      <c r="AH33" s="197">
        <v>49525.82</v>
      </c>
      <c r="AI33" s="198">
        <v>49729.729729729697</v>
      </c>
      <c r="AJ33" s="135"/>
    </row>
    <row r="34" spans="1:36" s="129" customFormat="1" ht="11.4">
      <c r="A34" s="188" t="s">
        <v>2</v>
      </c>
      <c r="B34" s="189">
        <v>25000</v>
      </c>
      <c r="C34" s="190">
        <v>24000</v>
      </c>
      <c r="D34" s="190">
        <v>38250</v>
      </c>
      <c r="E34" s="190">
        <v>28000</v>
      </c>
      <c r="F34" s="190">
        <v>26920</v>
      </c>
      <c r="G34" s="190">
        <v>30560</v>
      </c>
      <c r="H34" s="190">
        <v>21927</v>
      </c>
      <c r="I34" s="190">
        <v>17025</v>
      </c>
      <c r="J34" s="190">
        <v>19167</v>
      </c>
      <c r="K34" s="190">
        <v>23859</v>
      </c>
      <c r="L34" s="190">
        <v>22376</v>
      </c>
      <c r="M34" s="190">
        <v>26771</v>
      </c>
      <c r="N34" s="190">
        <v>28111</v>
      </c>
      <c r="O34" s="190">
        <v>29610</v>
      </c>
      <c r="P34" s="190">
        <v>32480</v>
      </c>
      <c r="Q34" s="189">
        <v>32480</v>
      </c>
      <c r="R34" s="189">
        <v>32480</v>
      </c>
      <c r="S34" s="190">
        <v>47958</v>
      </c>
      <c r="T34" s="148">
        <v>53757</v>
      </c>
      <c r="U34" s="148">
        <v>46675</v>
      </c>
      <c r="V34" s="159">
        <v>46365</v>
      </c>
      <c r="W34" s="192">
        <v>46594</v>
      </c>
      <c r="X34" s="193">
        <v>48722</v>
      </c>
      <c r="Y34" s="193">
        <v>44011</v>
      </c>
      <c r="Z34" s="193">
        <v>41500.666490418931</v>
      </c>
      <c r="AA34" s="193">
        <v>31798</v>
      </c>
      <c r="AB34" s="193">
        <v>29777.408732219104</v>
      </c>
      <c r="AC34" s="199">
        <v>32155</v>
      </c>
      <c r="AD34" s="200">
        <v>31609</v>
      </c>
      <c r="AE34" s="200">
        <v>32350.503919372899</v>
      </c>
      <c r="AF34" s="197">
        <v>33180.78</v>
      </c>
      <c r="AG34" s="197">
        <v>38039.15</v>
      </c>
      <c r="AH34" s="197">
        <v>31863.01</v>
      </c>
      <c r="AI34" s="198">
        <v>25945.945945945899</v>
      </c>
      <c r="AJ34" s="135"/>
    </row>
    <row r="35" spans="1:36" s="129" customFormat="1" ht="11.4">
      <c r="A35" s="188" t="s">
        <v>3</v>
      </c>
      <c r="B35" s="189">
        <v>80000</v>
      </c>
      <c r="C35" s="190">
        <v>85000</v>
      </c>
      <c r="D35" s="190">
        <v>85000</v>
      </c>
      <c r="E35" s="190">
        <v>82500</v>
      </c>
      <c r="F35" s="190">
        <v>58516</v>
      </c>
      <c r="G35" s="190">
        <v>60034</v>
      </c>
      <c r="H35" s="190">
        <v>46141</v>
      </c>
      <c r="I35" s="190">
        <v>38640</v>
      </c>
      <c r="J35" s="190">
        <v>44517</v>
      </c>
      <c r="K35" s="190">
        <v>78900</v>
      </c>
      <c r="L35" s="190">
        <v>43462</v>
      </c>
      <c r="M35" s="190">
        <v>47839</v>
      </c>
      <c r="N35" s="190">
        <v>37823</v>
      </c>
      <c r="O35" s="190">
        <v>53160</v>
      </c>
      <c r="P35" s="190">
        <v>45896</v>
      </c>
      <c r="Q35" s="190">
        <v>50321</v>
      </c>
      <c r="R35" s="190">
        <v>40520</v>
      </c>
      <c r="S35" s="190">
        <v>40445</v>
      </c>
      <c r="T35" s="148">
        <v>43447</v>
      </c>
      <c r="U35" s="148">
        <v>40730</v>
      </c>
      <c r="V35" s="148">
        <v>44501</v>
      </c>
      <c r="W35" s="192">
        <v>47083</v>
      </c>
      <c r="X35" s="193">
        <v>43286</v>
      </c>
      <c r="Y35" s="193">
        <v>44395</v>
      </c>
      <c r="Z35" s="193">
        <v>49140</v>
      </c>
      <c r="AA35" s="193">
        <v>29326</v>
      </c>
      <c r="AB35" s="193">
        <v>29740</v>
      </c>
      <c r="AC35" s="200">
        <v>45262.52411614079</v>
      </c>
      <c r="AD35" s="200">
        <v>39626</v>
      </c>
      <c r="AE35" s="200">
        <v>37492.501499700062</v>
      </c>
      <c r="AF35" s="197">
        <v>46033.45</v>
      </c>
      <c r="AG35" s="197">
        <v>47449.58</v>
      </c>
      <c r="AH35" s="201">
        <v>47449.58</v>
      </c>
      <c r="AI35" s="198">
        <v>43554.006968641101</v>
      </c>
      <c r="AJ35" s="135"/>
    </row>
    <row r="36" spans="1:36" s="129" customFormat="1" ht="11.4">
      <c r="A36" s="188" t="s">
        <v>4</v>
      </c>
      <c r="B36" s="189">
        <v>79500</v>
      </c>
      <c r="C36" s="190">
        <v>75000</v>
      </c>
      <c r="D36" s="189">
        <v>62750</v>
      </c>
      <c r="E36" s="189">
        <v>52500</v>
      </c>
      <c r="F36" s="189">
        <v>82500</v>
      </c>
      <c r="G36" s="189">
        <v>95450</v>
      </c>
      <c r="H36" s="189">
        <v>91750</v>
      </c>
      <c r="I36" s="189">
        <v>61550</v>
      </c>
      <c r="J36" s="189">
        <v>89350</v>
      </c>
      <c r="K36" s="189">
        <v>78460</v>
      </c>
      <c r="L36" s="189">
        <v>68321</v>
      </c>
      <c r="M36" s="189">
        <v>59492</v>
      </c>
      <c r="N36" s="189">
        <v>51804</v>
      </c>
      <c r="O36" s="190">
        <v>62150</v>
      </c>
      <c r="P36" s="190">
        <v>68315</v>
      </c>
      <c r="Q36" s="189">
        <v>68315</v>
      </c>
      <c r="R36" s="189">
        <v>56611</v>
      </c>
      <c r="S36" s="190">
        <v>61660</v>
      </c>
      <c r="T36" s="159">
        <v>66176</v>
      </c>
      <c r="U36" s="191">
        <v>62573</v>
      </c>
      <c r="V36" s="191">
        <v>59612</v>
      </c>
      <c r="W36" s="202">
        <v>97724</v>
      </c>
      <c r="X36" s="203">
        <v>90206</v>
      </c>
      <c r="Y36" s="203">
        <v>130032</v>
      </c>
      <c r="Z36" s="193">
        <v>128305</v>
      </c>
      <c r="AA36" s="204">
        <v>95733</v>
      </c>
      <c r="AB36" s="204">
        <v>77519</v>
      </c>
      <c r="AC36" s="200">
        <v>78563</v>
      </c>
      <c r="AD36" s="200">
        <v>94451</v>
      </c>
      <c r="AE36" s="200">
        <v>89585.666293393049</v>
      </c>
      <c r="AF36" s="197">
        <v>97254</v>
      </c>
      <c r="AG36" s="201">
        <v>97254</v>
      </c>
      <c r="AH36" s="201">
        <v>73761.850000000006</v>
      </c>
      <c r="AI36" s="201">
        <v>73761.850000000006</v>
      </c>
      <c r="AJ36" s="135"/>
    </row>
    <row r="37" spans="1:36" s="129" customFormat="1" ht="11.4">
      <c r="A37" s="188" t="s">
        <v>5</v>
      </c>
      <c r="B37" s="190">
        <v>117000</v>
      </c>
      <c r="C37" s="190">
        <v>38250</v>
      </c>
      <c r="D37" s="190">
        <v>45000</v>
      </c>
      <c r="E37" s="190">
        <v>38250</v>
      </c>
      <c r="F37" s="190">
        <v>40000</v>
      </c>
      <c r="G37" s="190">
        <v>39877</v>
      </c>
      <c r="H37" s="190">
        <v>48077</v>
      </c>
      <c r="I37" s="190">
        <v>43554</v>
      </c>
      <c r="J37" s="190">
        <v>42159</v>
      </c>
      <c r="K37" s="190">
        <v>27714</v>
      </c>
      <c r="L37" s="189">
        <v>27000</v>
      </c>
      <c r="M37" s="190">
        <v>34978</v>
      </c>
      <c r="N37" s="190">
        <v>37676</v>
      </c>
      <c r="O37" s="190">
        <v>45200</v>
      </c>
      <c r="P37" s="190">
        <v>49683</v>
      </c>
      <c r="Q37" s="190">
        <v>50321</v>
      </c>
      <c r="R37" s="190">
        <v>50190</v>
      </c>
      <c r="S37" s="190">
        <v>61661</v>
      </c>
      <c r="T37" s="148">
        <v>44118</v>
      </c>
      <c r="U37" s="148">
        <v>41715</v>
      </c>
      <c r="V37" s="148">
        <v>39741</v>
      </c>
      <c r="W37" s="192">
        <v>38392</v>
      </c>
      <c r="X37" s="193">
        <v>38660</v>
      </c>
      <c r="Y37" s="193">
        <v>40010</v>
      </c>
      <c r="Z37" s="195">
        <v>46058</v>
      </c>
      <c r="AA37" s="195">
        <v>38293</v>
      </c>
      <c r="AB37" s="196">
        <v>37728.666666666744</v>
      </c>
      <c r="AC37" s="196">
        <v>37164.333333333256</v>
      </c>
      <c r="AD37" s="195">
        <v>36600</v>
      </c>
      <c r="AE37" s="195">
        <v>34714.445688689812</v>
      </c>
      <c r="AF37" s="197">
        <v>38329.519999999997</v>
      </c>
      <c r="AG37" s="197">
        <v>38552.79</v>
      </c>
      <c r="AH37" s="197">
        <v>33719.699999999997</v>
      </c>
      <c r="AI37" s="198">
        <v>35228.108108108099</v>
      </c>
      <c r="AJ37" s="135"/>
    </row>
    <row r="38" spans="1:36" s="129" customFormat="1" ht="11.4">
      <c r="A38" s="188" t="s">
        <v>6</v>
      </c>
      <c r="B38" s="190">
        <v>69000</v>
      </c>
      <c r="C38" s="190">
        <v>53100</v>
      </c>
      <c r="D38" s="190">
        <v>60300</v>
      </c>
      <c r="E38" s="190">
        <v>54142</v>
      </c>
      <c r="F38" s="190">
        <v>57692</v>
      </c>
      <c r="G38" s="190">
        <v>54676</v>
      </c>
      <c r="H38" s="190">
        <v>53925</v>
      </c>
      <c r="I38" s="190">
        <v>45294</v>
      </c>
      <c r="J38" s="190">
        <v>41210</v>
      </c>
      <c r="K38" s="190">
        <v>39639</v>
      </c>
      <c r="L38" s="190">
        <v>33752</v>
      </c>
      <c r="M38" s="190">
        <v>33235</v>
      </c>
      <c r="N38" s="190">
        <v>34476</v>
      </c>
      <c r="O38" s="190">
        <v>40110</v>
      </c>
      <c r="P38" s="190">
        <v>44243</v>
      </c>
      <c r="Q38" s="190">
        <v>46525</v>
      </c>
      <c r="R38" s="190">
        <v>45320</v>
      </c>
      <c r="S38" s="190">
        <v>48826</v>
      </c>
      <c r="T38" s="148">
        <v>54114</v>
      </c>
      <c r="U38" s="148">
        <v>57171</v>
      </c>
      <c r="V38" s="148">
        <v>53496</v>
      </c>
      <c r="W38" s="192">
        <v>64044</v>
      </c>
      <c r="X38" s="193">
        <v>49982</v>
      </c>
      <c r="Y38" s="193">
        <v>48678</v>
      </c>
      <c r="Z38" s="194">
        <v>50128</v>
      </c>
      <c r="AA38" s="195">
        <v>46849</v>
      </c>
      <c r="AB38" s="195">
        <v>46932</v>
      </c>
      <c r="AC38" s="195">
        <v>46832</v>
      </c>
      <c r="AD38" s="200">
        <v>50989</v>
      </c>
      <c r="AE38" s="200">
        <v>46920.492721164614</v>
      </c>
      <c r="AF38" s="197">
        <v>45588.1</v>
      </c>
      <c r="AG38" s="197">
        <v>44094.82</v>
      </c>
      <c r="AH38" s="197">
        <v>40479.449999999997</v>
      </c>
      <c r="AI38" s="198">
        <v>42207.567567567603</v>
      </c>
      <c r="AJ38" s="145"/>
    </row>
    <row r="39" spans="1:36" s="129" customFormat="1" ht="11.4">
      <c r="A39" s="188" t="s">
        <v>7</v>
      </c>
      <c r="B39" s="189">
        <v>75000</v>
      </c>
      <c r="C39" s="189">
        <v>90000</v>
      </c>
      <c r="D39" s="190">
        <v>95000</v>
      </c>
      <c r="E39" s="190">
        <v>36000</v>
      </c>
      <c r="F39" s="190">
        <v>46413</v>
      </c>
      <c r="G39" s="190">
        <v>53098</v>
      </c>
      <c r="H39" s="190">
        <v>72015</v>
      </c>
      <c r="I39" s="190">
        <v>43795</v>
      </c>
      <c r="J39" s="190">
        <v>49180</v>
      </c>
      <c r="K39" s="190">
        <v>49320</v>
      </c>
      <c r="L39" s="190">
        <v>41237</v>
      </c>
      <c r="M39" s="190">
        <v>40359</v>
      </c>
      <c r="N39" s="190">
        <v>42385</v>
      </c>
      <c r="O39" s="190">
        <v>53680</v>
      </c>
      <c r="P39" s="190">
        <v>57446</v>
      </c>
      <c r="Q39" s="190">
        <v>62902</v>
      </c>
      <c r="R39" s="190">
        <v>62735</v>
      </c>
      <c r="S39" s="190">
        <v>62735</v>
      </c>
      <c r="T39" s="148">
        <v>69853</v>
      </c>
      <c r="U39" s="148">
        <v>63964</v>
      </c>
      <c r="V39" s="148">
        <v>59612</v>
      </c>
      <c r="W39" s="192">
        <v>56541</v>
      </c>
      <c r="X39" s="193">
        <v>52835</v>
      </c>
      <c r="Y39" s="193">
        <v>56680</v>
      </c>
      <c r="Z39" s="194">
        <v>62507</v>
      </c>
      <c r="AA39" s="195">
        <v>51969</v>
      </c>
      <c r="AB39" s="195">
        <v>52602</v>
      </c>
      <c r="AC39" s="195">
        <v>44893</v>
      </c>
      <c r="AD39" s="200">
        <v>46045</v>
      </c>
      <c r="AE39" s="200">
        <v>42553.191489361699</v>
      </c>
      <c r="AF39" s="197">
        <v>48627</v>
      </c>
      <c r="AG39" s="197">
        <v>45670.23</v>
      </c>
      <c r="AH39" s="197">
        <v>47418.3</v>
      </c>
      <c r="AI39" s="198">
        <v>32432.432432432401</v>
      </c>
      <c r="AJ39" s="145"/>
    </row>
    <row r="40" spans="1:36" s="129" customFormat="1" ht="11.4">
      <c r="A40" s="188" t="s">
        <v>8</v>
      </c>
      <c r="B40" s="190">
        <v>45000</v>
      </c>
      <c r="C40" s="189">
        <v>45000</v>
      </c>
      <c r="D40" s="189">
        <v>40000</v>
      </c>
      <c r="E40" s="189">
        <v>50000</v>
      </c>
      <c r="F40" s="189">
        <v>45000</v>
      </c>
      <c r="G40" s="189">
        <v>42000</v>
      </c>
      <c r="H40" s="190">
        <v>31646</v>
      </c>
      <c r="I40" s="190">
        <v>33733</v>
      </c>
      <c r="J40" s="190">
        <v>31530</v>
      </c>
      <c r="K40" s="190">
        <v>29891</v>
      </c>
      <c r="L40" s="189">
        <v>29891</v>
      </c>
      <c r="M40" s="189">
        <v>29891</v>
      </c>
      <c r="N40" s="189">
        <v>29891</v>
      </c>
      <c r="O40" s="190">
        <v>30510</v>
      </c>
      <c r="P40" s="189">
        <v>38557</v>
      </c>
      <c r="Q40" s="189">
        <v>38506</v>
      </c>
      <c r="R40" s="189">
        <v>39636</v>
      </c>
      <c r="S40" s="205">
        <v>41107</v>
      </c>
      <c r="T40" s="206">
        <v>44118</v>
      </c>
      <c r="U40" s="148">
        <v>36161</v>
      </c>
      <c r="V40" s="148">
        <v>34443</v>
      </c>
      <c r="W40" s="202">
        <v>36298</v>
      </c>
      <c r="X40" s="193">
        <v>38660</v>
      </c>
      <c r="Y40" s="193">
        <v>93356</v>
      </c>
      <c r="Z40" s="194">
        <v>32899</v>
      </c>
      <c r="AA40" s="195">
        <v>32823</v>
      </c>
      <c r="AB40" s="195">
        <v>33223</v>
      </c>
      <c r="AC40" s="196">
        <v>33140.5</v>
      </c>
      <c r="AD40" s="200">
        <v>33058</v>
      </c>
      <c r="AE40" s="200">
        <v>27995.520716685329</v>
      </c>
      <c r="AF40" s="197">
        <v>34324.94</v>
      </c>
      <c r="AG40" s="197">
        <v>35587.19</v>
      </c>
      <c r="AH40" s="197">
        <v>26343.52</v>
      </c>
      <c r="AI40" s="198">
        <v>27027.027027027001</v>
      </c>
      <c r="AJ40" s="145"/>
    </row>
    <row r="41" spans="1:36" s="129" customFormat="1" ht="11.4">
      <c r="A41" s="188" t="s">
        <v>9</v>
      </c>
      <c r="B41" s="190">
        <v>54000</v>
      </c>
      <c r="C41" s="190">
        <v>48000</v>
      </c>
      <c r="D41" s="190">
        <v>94000</v>
      </c>
      <c r="E41" s="190">
        <v>41935</v>
      </c>
      <c r="F41" s="190">
        <v>51097</v>
      </c>
      <c r="G41" s="190">
        <v>51455</v>
      </c>
      <c r="H41" s="190">
        <v>55633</v>
      </c>
      <c r="I41" s="190">
        <v>50629</v>
      </c>
      <c r="J41" s="190">
        <v>49091</v>
      </c>
      <c r="K41" s="190">
        <v>47250</v>
      </c>
      <c r="L41" s="189">
        <v>46000</v>
      </c>
      <c r="M41" s="190">
        <v>40529</v>
      </c>
      <c r="N41" s="190">
        <v>41412</v>
      </c>
      <c r="O41" s="190">
        <v>47440</v>
      </c>
      <c r="P41" s="190">
        <v>51759</v>
      </c>
      <c r="Q41" s="190">
        <v>52188</v>
      </c>
      <c r="R41" s="190">
        <v>52920</v>
      </c>
      <c r="S41" s="190">
        <v>56029</v>
      </c>
      <c r="T41" s="159">
        <v>63514</v>
      </c>
      <c r="U41" s="159">
        <v>57153</v>
      </c>
      <c r="V41" s="159">
        <v>53593</v>
      </c>
      <c r="W41" s="192">
        <v>54694</v>
      </c>
      <c r="X41" s="193">
        <v>48854</v>
      </c>
      <c r="Y41" s="193">
        <v>51738</v>
      </c>
      <c r="Z41" s="194">
        <v>52082</v>
      </c>
      <c r="AA41" s="195">
        <v>42877</v>
      </c>
      <c r="AB41" s="195">
        <v>43499</v>
      </c>
      <c r="AC41" s="195">
        <v>43527</v>
      </c>
      <c r="AD41" s="195">
        <v>45667</v>
      </c>
      <c r="AE41" s="195">
        <v>42891.668533034717</v>
      </c>
      <c r="AF41" s="197">
        <v>43970.25</v>
      </c>
      <c r="AG41" s="197">
        <v>42356.547619047618</v>
      </c>
      <c r="AH41" s="197">
        <f>+AVERAGE(37070,43740)</f>
        <v>40405</v>
      </c>
      <c r="AI41" s="198">
        <v>40481.010810810811</v>
      </c>
      <c r="AJ41" s="145"/>
    </row>
    <row r="42" spans="1:36" s="129" customFormat="1" ht="11.4">
      <c r="A42" s="188" t="s">
        <v>10</v>
      </c>
      <c r="B42" s="189">
        <v>93919</v>
      </c>
      <c r="C42" s="190">
        <v>95939</v>
      </c>
      <c r="D42" s="190">
        <v>113521</v>
      </c>
      <c r="E42" s="190">
        <v>50847</v>
      </c>
      <c r="F42" s="190">
        <v>157593</v>
      </c>
      <c r="G42" s="190">
        <v>141343</v>
      </c>
      <c r="H42" s="190">
        <v>47625</v>
      </c>
      <c r="I42" s="190">
        <v>43103</v>
      </c>
      <c r="J42" s="190">
        <v>41072</v>
      </c>
      <c r="K42" s="190">
        <v>47718</v>
      </c>
      <c r="L42" s="189">
        <v>47718</v>
      </c>
      <c r="M42" s="189">
        <v>47718</v>
      </c>
      <c r="N42" s="189">
        <v>47718</v>
      </c>
      <c r="O42" s="189">
        <v>47718</v>
      </c>
      <c r="P42" s="190">
        <v>31052</v>
      </c>
      <c r="Q42" s="190">
        <v>31450</v>
      </c>
      <c r="R42" s="190">
        <v>31450</v>
      </c>
      <c r="S42" s="189">
        <v>33787</v>
      </c>
      <c r="T42" s="189">
        <v>36299</v>
      </c>
      <c r="U42" s="189">
        <v>38996</v>
      </c>
      <c r="V42" s="189">
        <v>41895</v>
      </c>
      <c r="W42" s="189">
        <v>45008</v>
      </c>
      <c r="X42" s="189">
        <v>48353</v>
      </c>
      <c r="Y42" s="189">
        <v>51947</v>
      </c>
      <c r="Z42" s="189">
        <v>55808</v>
      </c>
      <c r="AA42" s="207">
        <v>55808</v>
      </c>
      <c r="AB42" s="208">
        <v>55808</v>
      </c>
      <c r="AC42" s="209">
        <v>55808</v>
      </c>
      <c r="AD42" s="210">
        <v>55808</v>
      </c>
      <c r="AE42" s="210">
        <v>55808</v>
      </c>
      <c r="AF42" s="201">
        <v>55808</v>
      </c>
      <c r="AG42" s="201">
        <v>55808</v>
      </c>
      <c r="AH42" s="201">
        <v>55808</v>
      </c>
      <c r="AI42" s="201">
        <v>55808</v>
      </c>
      <c r="AJ42" s="145"/>
    </row>
    <row r="43" spans="1:36" s="129" customFormat="1" ht="11.4">
      <c r="A43" s="188" t="s">
        <v>11</v>
      </c>
      <c r="B43" s="190">
        <v>26500</v>
      </c>
      <c r="C43" s="189">
        <v>28000</v>
      </c>
      <c r="D43" s="190">
        <v>29500</v>
      </c>
      <c r="E43" s="190">
        <v>26500</v>
      </c>
      <c r="F43" s="190">
        <v>24680</v>
      </c>
      <c r="G43" s="190">
        <v>33232</v>
      </c>
      <c r="H43" s="190">
        <v>23894</v>
      </c>
      <c r="I43" s="190">
        <v>29698</v>
      </c>
      <c r="J43" s="190">
        <v>22355</v>
      </c>
      <c r="K43" s="190">
        <v>27500</v>
      </c>
      <c r="L43" s="189">
        <v>27500</v>
      </c>
      <c r="M43" s="189">
        <v>27500</v>
      </c>
      <c r="N43" s="189">
        <v>27500</v>
      </c>
      <c r="O43" s="190">
        <v>27400</v>
      </c>
      <c r="P43" s="190">
        <v>33775</v>
      </c>
      <c r="Q43" s="189">
        <v>33775</v>
      </c>
      <c r="R43" s="189">
        <v>35000</v>
      </c>
      <c r="S43" s="190">
        <v>42409</v>
      </c>
      <c r="T43" s="148">
        <v>46691</v>
      </c>
      <c r="U43" s="147">
        <v>44149</v>
      </c>
      <c r="V43" s="211">
        <v>41596</v>
      </c>
      <c r="W43" s="212">
        <v>43836</v>
      </c>
      <c r="X43" s="212">
        <v>40464</v>
      </c>
      <c r="Y43" s="212">
        <v>41877</v>
      </c>
      <c r="Z43" s="212">
        <v>41877</v>
      </c>
      <c r="AA43" s="213">
        <v>41877</v>
      </c>
      <c r="AB43" s="196">
        <v>41877</v>
      </c>
      <c r="AC43" s="196">
        <v>41877</v>
      </c>
      <c r="AD43" s="196">
        <v>41877</v>
      </c>
      <c r="AE43" s="196">
        <v>41877</v>
      </c>
      <c r="AF43" s="201">
        <v>41877</v>
      </c>
      <c r="AG43" s="201">
        <v>41877</v>
      </c>
      <c r="AH43" s="201">
        <v>41877</v>
      </c>
      <c r="AI43" s="201">
        <v>41877</v>
      </c>
      <c r="AJ43" s="145"/>
    </row>
    <row r="44" spans="1:36" s="129" customFormat="1" ht="11.4">
      <c r="A44" s="188" t="s">
        <v>12</v>
      </c>
      <c r="B44" s="190">
        <v>120000</v>
      </c>
      <c r="C44" s="189">
        <v>120000</v>
      </c>
      <c r="D44" s="190">
        <v>127500</v>
      </c>
      <c r="E44" s="189">
        <v>110000</v>
      </c>
      <c r="F44" s="190">
        <v>39971</v>
      </c>
      <c r="G44" s="189">
        <v>50000</v>
      </c>
      <c r="H44" s="190">
        <v>41670</v>
      </c>
      <c r="I44" s="190">
        <v>60028</v>
      </c>
      <c r="J44" s="190">
        <v>81699</v>
      </c>
      <c r="K44" s="190">
        <v>57545</v>
      </c>
      <c r="L44" s="190">
        <v>51417</v>
      </c>
      <c r="M44" s="190">
        <v>51569</v>
      </c>
      <c r="N44" s="190">
        <v>54159</v>
      </c>
      <c r="O44" s="190">
        <v>56500</v>
      </c>
      <c r="P44" s="190">
        <v>65209</v>
      </c>
      <c r="Q44" s="189">
        <v>65209</v>
      </c>
      <c r="R44" s="189">
        <v>56400</v>
      </c>
      <c r="S44" s="190">
        <v>61661</v>
      </c>
      <c r="T44" s="148">
        <v>51471</v>
      </c>
      <c r="U44" s="147">
        <v>48668</v>
      </c>
      <c r="V44" s="147">
        <v>46365</v>
      </c>
      <c r="W44" s="202">
        <v>48862</v>
      </c>
      <c r="X44" s="203">
        <v>45103</v>
      </c>
      <c r="Y44" s="203">
        <v>46678</v>
      </c>
      <c r="Z44" s="203">
        <v>46678</v>
      </c>
      <c r="AA44" s="208">
        <v>46678</v>
      </c>
      <c r="AB44" s="208">
        <v>46678</v>
      </c>
      <c r="AC44" s="200">
        <v>42393.379519910297</v>
      </c>
      <c r="AD44" s="209">
        <v>46770.899838670375</v>
      </c>
      <c r="AE44" s="209">
        <v>51148.420157430432</v>
      </c>
      <c r="AF44" s="197">
        <v>55525.940476190481</v>
      </c>
      <c r="AG44" s="201">
        <v>55525.940476190481</v>
      </c>
      <c r="AH44" s="201">
        <v>55525.940476190481</v>
      </c>
      <c r="AI44" s="198">
        <v>37936.267071320202</v>
      </c>
      <c r="AJ44" s="145"/>
    </row>
    <row r="45" spans="1:36" s="129" customFormat="1" ht="11.4">
      <c r="A45" s="188" t="s">
        <v>13</v>
      </c>
      <c r="B45" s="190">
        <v>39500</v>
      </c>
      <c r="C45" s="190">
        <v>39285</v>
      </c>
      <c r="D45" s="190">
        <v>33000</v>
      </c>
      <c r="E45" s="190">
        <v>27000</v>
      </c>
      <c r="F45" s="190">
        <v>27950</v>
      </c>
      <c r="G45" s="190">
        <v>34483</v>
      </c>
      <c r="H45" s="190">
        <v>42591</v>
      </c>
      <c r="I45" s="190">
        <v>37908</v>
      </c>
      <c r="J45" s="190">
        <v>33447</v>
      </c>
      <c r="K45" s="190">
        <v>30000</v>
      </c>
      <c r="L45" s="189">
        <v>28000</v>
      </c>
      <c r="M45" s="190">
        <v>29080</v>
      </c>
      <c r="N45" s="189">
        <v>31046</v>
      </c>
      <c r="O45" s="190">
        <v>32410</v>
      </c>
      <c r="P45" s="190">
        <v>36399</v>
      </c>
      <c r="Q45" s="189">
        <v>36399</v>
      </c>
      <c r="R45" s="189">
        <v>31365</v>
      </c>
      <c r="S45" s="190">
        <v>34256</v>
      </c>
      <c r="T45" s="148">
        <v>44118</v>
      </c>
      <c r="U45" s="147">
        <v>41716</v>
      </c>
      <c r="V45" s="147">
        <v>39741</v>
      </c>
      <c r="W45" s="202">
        <v>41882</v>
      </c>
      <c r="X45" s="203">
        <v>38660</v>
      </c>
      <c r="Y45" s="203">
        <v>40010</v>
      </c>
      <c r="Z45" s="203">
        <v>40010</v>
      </c>
      <c r="AA45" s="208">
        <v>40010</v>
      </c>
      <c r="AB45" s="196">
        <v>40010</v>
      </c>
      <c r="AC45" s="195">
        <v>27643</v>
      </c>
      <c r="AD45" s="196">
        <v>25260.465</v>
      </c>
      <c r="AE45" s="195">
        <v>22877.93</v>
      </c>
      <c r="AF45" s="197">
        <v>18895.216400911162</v>
      </c>
      <c r="AG45" s="201">
        <v>18895.216400911162</v>
      </c>
      <c r="AH45" s="201">
        <v>18895.216400911162</v>
      </c>
      <c r="AI45" s="201">
        <v>18895.216400911162</v>
      </c>
      <c r="AJ45" s="145"/>
    </row>
    <row r="46" spans="1:36" s="129" customFormat="1" ht="11.4">
      <c r="A46" s="188" t="s">
        <v>14</v>
      </c>
      <c r="B46" s="190">
        <v>65000</v>
      </c>
      <c r="C46" s="190">
        <v>60000</v>
      </c>
      <c r="D46" s="190">
        <v>55000</v>
      </c>
      <c r="E46" s="190">
        <v>35000</v>
      </c>
      <c r="F46" s="190">
        <v>36434</v>
      </c>
      <c r="G46" s="190">
        <v>41322</v>
      </c>
      <c r="H46" s="190">
        <v>38760</v>
      </c>
      <c r="I46" s="190">
        <v>36806</v>
      </c>
      <c r="J46" s="190">
        <v>38924</v>
      </c>
      <c r="K46" s="190">
        <v>38898</v>
      </c>
      <c r="L46" s="190">
        <v>30882</v>
      </c>
      <c r="M46" s="190">
        <v>38898</v>
      </c>
      <c r="N46" s="190">
        <v>31511</v>
      </c>
      <c r="O46" s="190">
        <v>38830</v>
      </c>
      <c r="P46" s="190">
        <v>42167</v>
      </c>
      <c r="Q46" s="190">
        <v>41321</v>
      </c>
      <c r="R46" s="190">
        <v>41210</v>
      </c>
      <c r="S46" s="190">
        <v>46274</v>
      </c>
      <c r="T46" s="148">
        <v>48709</v>
      </c>
      <c r="U46" s="148">
        <v>45941</v>
      </c>
      <c r="V46" s="148">
        <v>45034</v>
      </c>
      <c r="W46" s="192">
        <v>47877</v>
      </c>
      <c r="X46" s="193">
        <v>43909</v>
      </c>
      <c r="Y46" s="193">
        <v>44756</v>
      </c>
      <c r="Z46" s="194">
        <v>44857</v>
      </c>
      <c r="AA46" s="195">
        <v>37603</v>
      </c>
      <c r="AB46" s="195">
        <v>38586</v>
      </c>
      <c r="AC46" s="195">
        <v>39747</v>
      </c>
      <c r="AD46" s="195">
        <v>40150</v>
      </c>
      <c r="AE46" s="195">
        <v>38076.147816349381</v>
      </c>
      <c r="AF46" s="197">
        <v>40913.040000000001</v>
      </c>
      <c r="AG46" s="197">
        <v>42754.45</v>
      </c>
      <c r="AH46" s="197">
        <v>37678.61</v>
      </c>
      <c r="AI46" s="198">
        <v>37865.945945945903</v>
      </c>
      <c r="AJ46" s="145"/>
    </row>
    <row r="47" spans="1:36" s="129" customFormat="1" ht="11.4">
      <c r="A47" s="188" t="s">
        <v>15</v>
      </c>
      <c r="B47" s="189">
        <v>80000</v>
      </c>
      <c r="C47" s="189">
        <v>85000</v>
      </c>
      <c r="D47" s="189">
        <v>91375</v>
      </c>
      <c r="E47" s="189">
        <v>61450</v>
      </c>
      <c r="F47" s="189">
        <v>73825</v>
      </c>
      <c r="G47" s="190">
        <v>55556</v>
      </c>
      <c r="H47" s="190">
        <v>59255</v>
      </c>
      <c r="I47" s="190">
        <v>45573</v>
      </c>
      <c r="J47" s="190">
        <v>50484</v>
      </c>
      <c r="K47" s="190">
        <v>48508</v>
      </c>
      <c r="L47" s="190">
        <v>38394</v>
      </c>
      <c r="M47" s="190">
        <v>34693</v>
      </c>
      <c r="N47" s="190">
        <v>35763</v>
      </c>
      <c r="O47" s="190">
        <v>43130</v>
      </c>
      <c r="P47" s="190">
        <v>39560</v>
      </c>
      <c r="Q47" s="190">
        <v>40068</v>
      </c>
      <c r="R47" s="189">
        <v>39270</v>
      </c>
      <c r="S47" s="190">
        <v>51883</v>
      </c>
      <c r="T47" s="148">
        <v>72844</v>
      </c>
      <c r="U47" s="148">
        <v>45459</v>
      </c>
      <c r="V47" s="147">
        <v>48382</v>
      </c>
      <c r="W47" s="192">
        <v>54494</v>
      </c>
      <c r="X47" s="193">
        <v>51620</v>
      </c>
      <c r="Y47" s="193">
        <v>53159</v>
      </c>
      <c r="Z47" s="193">
        <v>43938</v>
      </c>
      <c r="AA47" s="204">
        <v>59744</v>
      </c>
      <c r="AB47" s="204">
        <v>46860</v>
      </c>
      <c r="AC47" s="200">
        <v>46604</v>
      </c>
      <c r="AD47" s="195">
        <v>40262</v>
      </c>
      <c r="AE47" s="195">
        <v>38107.335662114958</v>
      </c>
      <c r="AF47" s="197">
        <v>46351.839999999997</v>
      </c>
      <c r="AG47" s="197">
        <v>46800.05</v>
      </c>
      <c r="AH47" s="197">
        <v>39256.61</v>
      </c>
      <c r="AI47" s="214">
        <v>34849.769238014502</v>
      </c>
      <c r="AJ47" s="145"/>
    </row>
    <row r="48" spans="1:36" s="129" customFormat="1" ht="11.4">
      <c r="A48" s="188" t="s">
        <v>16</v>
      </c>
      <c r="B48" s="190">
        <v>63900</v>
      </c>
      <c r="C48" s="190">
        <v>94250</v>
      </c>
      <c r="D48" s="190">
        <v>116250</v>
      </c>
      <c r="E48" s="190">
        <v>50847</v>
      </c>
      <c r="F48" s="190">
        <v>72012</v>
      </c>
      <c r="G48" s="190">
        <v>75949</v>
      </c>
      <c r="H48" s="190">
        <v>51587</v>
      </c>
      <c r="I48" s="190">
        <v>40780</v>
      </c>
      <c r="J48" s="190">
        <v>41152</v>
      </c>
      <c r="K48" s="189">
        <v>41000</v>
      </c>
      <c r="L48" s="190">
        <v>35482</v>
      </c>
      <c r="M48" s="190">
        <v>23392</v>
      </c>
      <c r="N48" s="190">
        <v>19274</v>
      </c>
      <c r="O48" s="190">
        <v>37230</v>
      </c>
      <c r="P48" s="190">
        <v>44008</v>
      </c>
      <c r="Q48" s="189">
        <v>44008</v>
      </c>
      <c r="R48" s="189">
        <v>41090</v>
      </c>
      <c r="S48" s="190">
        <v>44351</v>
      </c>
      <c r="T48" s="148">
        <v>49307</v>
      </c>
      <c r="U48" s="147">
        <v>50379</v>
      </c>
      <c r="V48" s="147">
        <v>52554</v>
      </c>
      <c r="W48" s="192">
        <v>58950</v>
      </c>
      <c r="X48" s="193">
        <v>55477</v>
      </c>
      <c r="Y48" s="193">
        <v>58625</v>
      </c>
      <c r="Z48" s="193">
        <v>52685</v>
      </c>
      <c r="AA48" s="204">
        <v>52472</v>
      </c>
      <c r="AB48" s="208">
        <v>52472</v>
      </c>
      <c r="AC48" s="209">
        <v>52472</v>
      </c>
      <c r="AD48" s="215">
        <v>52472</v>
      </c>
      <c r="AE48" s="215">
        <v>52472</v>
      </c>
      <c r="AF48" s="201">
        <v>52472</v>
      </c>
      <c r="AG48" s="201">
        <v>52472</v>
      </c>
      <c r="AH48" s="201">
        <v>52472</v>
      </c>
      <c r="AI48" s="201">
        <v>52472</v>
      </c>
      <c r="AJ48" s="145"/>
    </row>
    <row r="49" spans="1:36" s="129" customFormat="1" ht="12" thickBot="1">
      <c r="A49" s="216" t="s">
        <v>17</v>
      </c>
      <c r="B49" s="217">
        <v>47850</v>
      </c>
      <c r="C49" s="217">
        <v>46475</v>
      </c>
      <c r="D49" s="217">
        <v>20625</v>
      </c>
      <c r="E49" s="217">
        <v>43210</v>
      </c>
      <c r="F49" s="218">
        <v>45000</v>
      </c>
      <c r="G49" s="217">
        <v>46774</v>
      </c>
      <c r="H49" s="217">
        <v>40625</v>
      </c>
      <c r="I49" s="217">
        <v>47500</v>
      </c>
      <c r="J49" s="217">
        <v>47500</v>
      </c>
      <c r="K49" s="217">
        <v>33981</v>
      </c>
      <c r="L49" s="217">
        <v>38168</v>
      </c>
      <c r="M49" s="217">
        <v>36008</v>
      </c>
      <c r="N49" s="217">
        <v>35848</v>
      </c>
      <c r="O49" s="217">
        <v>40880</v>
      </c>
      <c r="P49" s="217">
        <v>50036</v>
      </c>
      <c r="Q49" s="218">
        <v>50036</v>
      </c>
      <c r="R49" s="218">
        <v>50943</v>
      </c>
      <c r="S49" s="217">
        <v>60362</v>
      </c>
      <c r="T49" s="169">
        <v>64682</v>
      </c>
      <c r="U49" s="169">
        <v>76963</v>
      </c>
      <c r="V49" s="169">
        <v>76897</v>
      </c>
      <c r="W49" s="219">
        <v>80334</v>
      </c>
      <c r="X49" s="220">
        <v>79132</v>
      </c>
      <c r="Y49" s="220">
        <v>66907</v>
      </c>
      <c r="Z49" s="220">
        <v>62112</v>
      </c>
      <c r="AA49" s="221">
        <v>57778</v>
      </c>
      <c r="AB49" s="221">
        <v>44715</v>
      </c>
      <c r="AC49" s="222">
        <v>35990</v>
      </c>
      <c r="AD49" s="223">
        <v>46729</v>
      </c>
      <c r="AE49" s="224">
        <v>44529.262086513991</v>
      </c>
      <c r="AF49" s="225">
        <v>51413.881748071981</v>
      </c>
      <c r="AG49" s="225">
        <v>38514.44</v>
      </c>
      <c r="AH49" s="226">
        <v>38514.44</v>
      </c>
      <c r="AI49" s="226">
        <v>38514.44</v>
      </c>
      <c r="AJ49" s="145"/>
    </row>
    <row r="50" spans="1:36" s="228" customFormat="1" ht="13.5" customHeight="1">
      <c r="A50" s="227" t="s">
        <v>40</v>
      </c>
      <c r="B50" s="227">
        <v>67480.529411764699</v>
      </c>
      <c r="C50" s="227">
        <v>64311.705882352944</v>
      </c>
      <c r="D50" s="227">
        <v>68298.294117647063</v>
      </c>
      <c r="E50" s="227">
        <v>48716.529411764706</v>
      </c>
      <c r="F50" s="227">
        <v>54561.705882352944</v>
      </c>
      <c r="G50" s="227">
        <v>56346.647058823532</v>
      </c>
      <c r="H50" s="227">
        <v>47823.294117647056</v>
      </c>
      <c r="I50" s="227">
        <v>43078.76470588235</v>
      </c>
      <c r="J50" s="227">
        <v>45722.176470588238</v>
      </c>
      <c r="K50" s="227">
        <v>43473.058823529413</v>
      </c>
      <c r="L50" s="227">
        <v>38629.058823529413</v>
      </c>
      <c r="M50" s="227">
        <v>37996.882352941175</v>
      </c>
      <c r="N50" s="227">
        <v>36987.176470588238</v>
      </c>
      <c r="O50" s="227">
        <v>43838.705882352944</v>
      </c>
      <c r="P50" s="227">
        <v>46263.470588235294</v>
      </c>
      <c r="Q50" s="227">
        <v>47269.470588235294</v>
      </c>
      <c r="R50" s="227">
        <v>44548.529411764706</v>
      </c>
      <c r="S50" s="227">
        <v>50415.588235294119</v>
      </c>
      <c r="T50" s="227">
        <v>54082</v>
      </c>
      <c r="U50" s="227">
        <v>49828.294117647056</v>
      </c>
      <c r="V50" s="227">
        <v>49224.470588235294</v>
      </c>
      <c r="W50" s="227">
        <v>54437.411764705881</v>
      </c>
      <c r="X50" s="227">
        <v>50909.941176470587</v>
      </c>
      <c r="Y50" s="227">
        <v>58012.352941176468</v>
      </c>
      <c r="Z50" s="227">
        <v>53904.803911201117</v>
      </c>
      <c r="AA50" s="227">
        <v>48020.176470588238</v>
      </c>
      <c r="AB50" s="227">
        <v>45656.859439224318</v>
      </c>
      <c r="AC50" s="227">
        <v>44882.017511138845</v>
      </c>
      <c r="AD50" s="227">
        <v>46252.760326979194</v>
      </c>
      <c r="AE50" s="227">
        <v>44607.214547281583</v>
      </c>
      <c r="AF50" s="227">
        <v>47785.285801480808</v>
      </c>
      <c r="AG50" s="227">
        <v>46906.156735067612</v>
      </c>
      <c r="AH50" s="227">
        <v>42999.649816300102</v>
      </c>
      <c r="AI50" s="227">
        <v>40505.07748508556</v>
      </c>
    </row>
    <row r="51" spans="1:36" s="228" customFormat="1" ht="13.5" customHeight="1">
      <c r="A51" s="229" t="s">
        <v>41</v>
      </c>
      <c r="B51" s="227">
        <v>67639.070436010938</v>
      </c>
      <c r="C51" s="227">
        <v>51833.387794555689</v>
      </c>
      <c r="D51" s="227">
        <v>57466.097496328672</v>
      </c>
      <c r="E51" s="227">
        <v>44024.954705822696</v>
      </c>
      <c r="F51" s="227">
        <v>47101.266622165691</v>
      </c>
      <c r="G51" s="227">
        <v>48187.82797481319</v>
      </c>
      <c r="H51" s="227">
        <v>47789.865565058266</v>
      </c>
      <c r="I51" s="227">
        <v>43992.101268750077</v>
      </c>
      <c r="J51" s="227">
        <v>43436.379285890427</v>
      </c>
      <c r="K51" s="227">
        <v>38496.283724714063</v>
      </c>
      <c r="L51" s="227">
        <v>35574.372703113069</v>
      </c>
      <c r="M51" s="227">
        <v>36086.019957549535</v>
      </c>
      <c r="N51" s="227">
        <v>35927.846736235333</v>
      </c>
      <c r="O51" s="227">
        <v>42291.217400197173</v>
      </c>
      <c r="P51" s="227">
        <v>46884.806185618501</v>
      </c>
      <c r="Q51" s="227">
        <v>47721.909316033576</v>
      </c>
      <c r="R51" s="227">
        <v>46951.454937371767</v>
      </c>
      <c r="S51" s="227">
        <v>53399.564143958632</v>
      </c>
      <c r="T51" s="227">
        <v>55234.406899738213</v>
      </c>
      <c r="U51" s="227">
        <v>54424.621643978498</v>
      </c>
      <c r="V51" s="227">
        <v>52648.058843527004</v>
      </c>
      <c r="W51" s="227">
        <v>56659.150943409906</v>
      </c>
      <c r="X51" s="227">
        <v>51672.525426031236</v>
      </c>
      <c r="Y51" s="227">
        <v>52048.311356978928</v>
      </c>
      <c r="Z51" s="227">
        <v>51571.405825817616</v>
      </c>
      <c r="AA51" s="227">
        <v>45804.836318172762</v>
      </c>
      <c r="AB51" s="227">
        <v>43396.967166524344</v>
      </c>
      <c r="AC51" s="227">
        <v>41795.724103364097</v>
      </c>
      <c r="AD51" s="227">
        <v>44559.897662801253</v>
      </c>
      <c r="AE51" s="227">
        <v>42211.438569642931</v>
      </c>
      <c r="AF51" s="227">
        <v>44753.229982641453</v>
      </c>
      <c r="AG51" s="227">
        <v>42404.091692699913</v>
      </c>
      <c r="AH51" s="227">
        <v>39245.800966610404</v>
      </c>
      <c r="AI51" s="227">
        <v>38957.502175297217</v>
      </c>
    </row>
    <row r="52" spans="1:36" s="145" customFormat="1" ht="13.5" customHeight="1">
      <c r="A52" s="175" t="s">
        <v>44</v>
      </c>
      <c r="B52" s="175">
        <v>53.11060354254041</v>
      </c>
      <c r="C52" s="175">
        <v>41.809184134186694</v>
      </c>
      <c r="D52" s="175">
        <v>44.2491092827606</v>
      </c>
      <c r="E52" s="175">
        <v>37.584855600034544</v>
      </c>
      <c r="F52" s="175">
        <v>39.587128071659521</v>
      </c>
      <c r="G52" s="175">
        <v>36.984157970669116</v>
      </c>
      <c r="H52" s="175">
        <v>37.821712035901719</v>
      </c>
      <c r="I52" s="175">
        <v>38.599417518922884</v>
      </c>
      <c r="J52" s="175">
        <v>38.824869206245296</v>
      </c>
      <c r="K52" s="175">
        <v>35.997220474156798</v>
      </c>
      <c r="L52" s="175">
        <v>38.42654803458516</v>
      </c>
      <c r="M52" s="175">
        <v>40.235912252667731</v>
      </c>
      <c r="N52" s="175">
        <v>38.144307457087166</v>
      </c>
      <c r="O52" s="175">
        <v>37.423498277434476</v>
      </c>
      <c r="P52" s="175">
        <v>37.746957460041465</v>
      </c>
      <c r="Q52" s="175">
        <v>37.933668496221927</v>
      </c>
      <c r="R52" s="175">
        <v>37.421718128733424</v>
      </c>
      <c r="S52" s="175">
        <v>38.981681825089808</v>
      </c>
      <c r="T52" s="175">
        <v>37.559396691821988</v>
      </c>
      <c r="U52" s="175">
        <v>39.140010901483578</v>
      </c>
      <c r="V52" s="175">
        <v>39.74296665980166</v>
      </c>
      <c r="W52" s="175">
        <v>40.584949820764514</v>
      </c>
      <c r="X52" s="175">
        <v>40.097879730600248</v>
      </c>
      <c r="Y52" s="175">
        <v>39.026771134729501</v>
      </c>
      <c r="Z52" s="175">
        <v>39.189580586831823</v>
      </c>
      <c r="AA52" s="175">
        <v>41.865620394809909</v>
      </c>
      <c r="AB52" s="175">
        <v>39.187461227211756</v>
      </c>
      <c r="AC52" s="175">
        <v>37.239989040101413</v>
      </c>
      <c r="AD52" s="175">
        <v>37.742233447879556</v>
      </c>
      <c r="AE52" s="175">
        <v>37.694814642691142</v>
      </c>
      <c r="AF52" s="175">
        <v>39.114323004828627</v>
      </c>
      <c r="AG52" s="175">
        <v>35.746649296946032</v>
      </c>
      <c r="AH52" s="175">
        <v>37.244265117313276</v>
      </c>
      <c r="AI52" s="175">
        <v>36.035689512149936</v>
      </c>
    </row>
    <row r="53" spans="1:36" s="145" customFormat="1" ht="13.5" customHeight="1">
      <c r="A53" s="230" t="s">
        <v>45</v>
      </c>
      <c r="B53" s="175">
        <v>105.84482588820596</v>
      </c>
      <c r="C53" s="175">
        <v>79.248122439439086</v>
      </c>
      <c r="D53" s="175">
        <v>80.679561054008971</v>
      </c>
      <c r="E53" s="175">
        <v>66.229483397797452</v>
      </c>
      <c r="F53" s="175">
        <v>67.848592613532617</v>
      </c>
      <c r="G53" s="175">
        <v>61.635599481856396</v>
      </c>
      <c r="H53" s="175">
        <v>61.581694708032664</v>
      </c>
      <c r="I53" s="175">
        <v>61.883455691229031</v>
      </c>
      <c r="J53" s="175">
        <v>61.561636545626918</v>
      </c>
      <c r="K53" s="175">
        <v>56.458301167413119</v>
      </c>
      <c r="L53" s="175">
        <v>59.026234960630866</v>
      </c>
      <c r="M53" s="175">
        <v>60.386476196354856</v>
      </c>
      <c r="N53" s="175">
        <v>55.990531575152566</v>
      </c>
      <c r="O53" s="175">
        <v>53.81182629536454</v>
      </c>
      <c r="P53" s="175">
        <v>53.140585472543478</v>
      </c>
      <c r="Q53" s="175">
        <v>52.265188926043791</v>
      </c>
      <c r="R53" s="175">
        <v>50.454713327896904</v>
      </c>
      <c r="S53" s="175">
        <v>51.460913187100466</v>
      </c>
      <c r="T53" s="175">
        <v>48.012333139908378</v>
      </c>
      <c r="U53" s="175">
        <v>49.885683455329357</v>
      </c>
      <c r="V53" s="175">
        <v>49.850487589293792</v>
      </c>
      <c r="W53" s="175">
        <v>49.562344115217549</v>
      </c>
      <c r="X53" s="175">
        <v>47.773934830481593</v>
      </c>
      <c r="Y53" s="175">
        <v>45.875502152939227</v>
      </c>
      <c r="Z53" s="175">
        <v>45.868418035804964</v>
      </c>
      <c r="AA53" s="175">
        <v>48.907417745216932</v>
      </c>
      <c r="AB53" s="175">
        <v>45.673742597654169</v>
      </c>
      <c r="AC53" s="175">
        <v>42.742931024411931</v>
      </c>
      <c r="AD53" s="175">
        <v>42.574813744508397</v>
      </c>
      <c r="AE53" s="175">
        <v>42.018208459534151</v>
      </c>
      <c r="AF53" s="175">
        <v>43.492625294346851</v>
      </c>
      <c r="AG53" s="175">
        <v>38.744883752729962</v>
      </c>
      <c r="AH53" s="175">
        <v>37.244265117313276</v>
      </c>
      <c r="AI53" s="175">
        <v>34.183428735764153</v>
      </c>
    </row>
    <row r="54" spans="1:36" s="129" customFormat="1" ht="11.4">
      <c r="A54" s="145" t="s">
        <v>48</v>
      </c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181"/>
    </row>
  </sheetData>
  <pageMargins left="0.15748031496062992" right="0.18" top="0.6692913385826772" bottom="0.23622047244094491" header="0.19685039370078741" footer="0.19685039370078741"/>
  <pageSetup scale="71" orientation="landscape" r:id="rId1"/>
  <headerFooter alignWithMargins="0"/>
  <rowBreaks count="1" manualBreakCount="1">
    <brk id="3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2F9F-C62D-4CEB-8DDA-A8EF57EB20A0}">
  <sheetPr>
    <tabColor rgb="FF00B050"/>
  </sheetPr>
  <dimension ref="A1:AI18"/>
  <sheetViews>
    <sheetView workbookViewId="0">
      <pane xSplit="1" topLeftCell="S1" activePane="topRight" state="frozen"/>
      <selection pane="topRight"/>
    </sheetView>
  </sheetViews>
  <sheetFormatPr defaultRowHeight="13.2"/>
  <cols>
    <col min="1" max="1" width="93.109375" customWidth="1"/>
    <col min="2" max="4" width="10" bestFit="1" customWidth="1"/>
    <col min="5" max="21" width="8.88671875" bestFit="1" customWidth="1"/>
    <col min="22" max="22" width="10" bestFit="1" customWidth="1"/>
    <col min="23" max="25" width="8.88671875" bestFit="1" customWidth="1"/>
    <col min="26" max="26" width="8.88671875" customWidth="1"/>
    <col min="27" max="28" width="8.88671875" bestFit="1" customWidth="1"/>
    <col min="29" max="30" width="10" bestFit="1" customWidth="1"/>
    <col min="31" max="31" width="10.109375" customWidth="1"/>
    <col min="32" max="32" width="10" bestFit="1" customWidth="1"/>
  </cols>
  <sheetData>
    <row r="1" spans="1:35">
      <c r="A1" s="232" t="s">
        <v>37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81"/>
    </row>
    <row r="2" spans="1:35">
      <c r="A2" s="233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181"/>
      <c r="AB2" s="181"/>
      <c r="AC2" s="181"/>
      <c r="AD2" s="181"/>
      <c r="AE2" s="181"/>
      <c r="AF2" s="181"/>
      <c r="AG2" s="181"/>
      <c r="AH2" s="181"/>
      <c r="AI2" s="181"/>
    </row>
    <row r="3" spans="1:35">
      <c r="A3" s="235"/>
      <c r="B3" s="236">
        <v>1990</v>
      </c>
      <c r="C3" s="236">
        <v>1991</v>
      </c>
      <c r="D3" s="236">
        <v>1992</v>
      </c>
      <c r="E3" s="236">
        <v>1993</v>
      </c>
      <c r="F3" s="236">
        <v>1994</v>
      </c>
      <c r="G3" s="236">
        <v>1995</v>
      </c>
      <c r="H3" s="236">
        <v>1996</v>
      </c>
      <c r="I3" s="236">
        <v>1997</v>
      </c>
      <c r="J3" s="236">
        <v>1998</v>
      </c>
      <c r="K3" s="236">
        <v>1999</v>
      </c>
      <c r="L3" s="236">
        <v>2000</v>
      </c>
      <c r="M3" s="236">
        <v>2001</v>
      </c>
      <c r="N3" s="236">
        <v>2002</v>
      </c>
      <c r="O3" s="236">
        <v>2003</v>
      </c>
      <c r="P3" s="236">
        <v>2004</v>
      </c>
      <c r="Q3" s="236">
        <v>2005</v>
      </c>
      <c r="R3" s="236">
        <v>2006</v>
      </c>
      <c r="S3" s="236">
        <v>2007</v>
      </c>
      <c r="T3" s="236">
        <v>2008</v>
      </c>
      <c r="U3" s="236">
        <v>2009</v>
      </c>
      <c r="V3" s="236">
        <v>2010</v>
      </c>
      <c r="W3" s="236">
        <v>2011</v>
      </c>
      <c r="X3" s="236">
        <v>2012</v>
      </c>
      <c r="Y3" s="236">
        <v>2013</v>
      </c>
      <c r="Z3" s="236">
        <v>2014</v>
      </c>
      <c r="AA3" s="236">
        <v>2015</v>
      </c>
      <c r="AB3" s="236">
        <v>2016</v>
      </c>
      <c r="AC3" s="236">
        <v>2017</v>
      </c>
      <c r="AD3" s="236">
        <v>2018</v>
      </c>
      <c r="AE3" s="236">
        <v>2019</v>
      </c>
      <c r="AF3" s="236">
        <v>2020</v>
      </c>
      <c r="AG3" s="236">
        <v>2021</v>
      </c>
      <c r="AH3" s="236">
        <v>2022</v>
      </c>
      <c r="AI3" s="181"/>
    </row>
    <row r="4" spans="1:35">
      <c r="A4" s="237" t="s">
        <v>26</v>
      </c>
      <c r="B4" s="238">
        <v>359.01981342046963</v>
      </c>
      <c r="C4" s="238">
        <v>427.77842587448845</v>
      </c>
      <c r="D4" s="238">
        <v>480.51970413166151</v>
      </c>
      <c r="E4" s="238">
        <v>373.50587141610004</v>
      </c>
      <c r="F4" s="238">
        <v>399.68246228801064</v>
      </c>
      <c r="G4" s="238">
        <v>395.15757557313867</v>
      </c>
      <c r="H4" s="238">
        <v>339.27964716224363</v>
      </c>
      <c r="I4" s="238">
        <v>357.00886989368809</v>
      </c>
      <c r="J4" s="238">
        <v>322.74502056474671</v>
      </c>
      <c r="K4" s="238">
        <v>310.17549170203421</v>
      </c>
      <c r="L4" s="238">
        <v>307.05846226169177</v>
      </c>
      <c r="M4" s="238">
        <v>284.89086504549795</v>
      </c>
      <c r="N4" s="238">
        <v>282.34991381822744</v>
      </c>
      <c r="O4" s="238">
        <v>267.88496717140976</v>
      </c>
      <c r="P4" s="238">
        <v>252.84337060194633</v>
      </c>
      <c r="Q4" s="239">
        <v>255.60783333333336</v>
      </c>
      <c r="R4" s="239">
        <v>258.60788625000004</v>
      </c>
      <c r="S4" s="239">
        <v>229.52275000000003</v>
      </c>
      <c r="T4" s="239">
        <v>310.33175</v>
      </c>
      <c r="U4" s="239">
        <v>274.88675000000001</v>
      </c>
      <c r="V4" s="239">
        <v>279.02824999999996</v>
      </c>
      <c r="W4" s="239">
        <v>260.43049999999999</v>
      </c>
      <c r="X4" s="239">
        <v>271.298</v>
      </c>
      <c r="Y4" s="239">
        <v>259.59399999999999</v>
      </c>
      <c r="Z4" s="239">
        <v>265</v>
      </c>
      <c r="AA4" s="239">
        <v>264.68150000000003</v>
      </c>
      <c r="AB4" s="239">
        <v>293.63575000000003</v>
      </c>
      <c r="AC4" s="239">
        <v>360.84725000000003</v>
      </c>
      <c r="AD4" s="239">
        <v>393.85399999999998</v>
      </c>
      <c r="AE4" s="238"/>
      <c r="AF4" s="238"/>
      <c r="AG4" s="238"/>
      <c r="AH4" s="238"/>
      <c r="AI4" s="181"/>
    </row>
    <row r="5" spans="1:35">
      <c r="A5" s="237" t="s">
        <v>32</v>
      </c>
      <c r="B5" s="240">
        <v>689.76578644662482</v>
      </c>
      <c r="C5" s="240">
        <v>788.67956817962681</v>
      </c>
      <c r="D5" s="240">
        <v>860.02752206264506</v>
      </c>
      <c r="E5" s="240">
        <v>649.06532078673104</v>
      </c>
      <c r="F5" s="240">
        <v>677.21365760968615</v>
      </c>
      <c r="G5" s="240">
        <v>651.09470688611634</v>
      </c>
      <c r="H5" s="240">
        <v>542.99231586978658</v>
      </c>
      <c r="I5" s="240">
        <v>558.55094263174033</v>
      </c>
      <c r="J5" s="240">
        <v>497.19959434939796</v>
      </c>
      <c r="K5" s="240">
        <v>467.51042733987214</v>
      </c>
      <c r="L5" s="240">
        <v>447.7614940949282</v>
      </c>
      <c r="M5" s="240">
        <v>403.94178683783093</v>
      </c>
      <c r="N5" s="240">
        <v>394.10805897250492</v>
      </c>
      <c r="O5" s="240">
        <v>365.58581767125651</v>
      </c>
      <c r="P5" s="240">
        <v>336.10767740467412</v>
      </c>
      <c r="Q5" s="240">
        <v>328.64780442823007</v>
      </c>
      <c r="R5" s="240">
        <v>322.11433776080736</v>
      </c>
      <c r="S5" s="240">
        <v>277.96958254598684</v>
      </c>
      <c r="T5" s="240">
        <v>361.93863878928767</v>
      </c>
      <c r="U5" s="240">
        <v>321.74397484932666</v>
      </c>
      <c r="V5" s="240">
        <v>321.32088441845207</v>
      </c>
      <c r="W5" s="240">
        <v>290.72735969974082</v>
      </c>
      <c r="X5" s="240">
        <v>296.71867246530832</v>
      </c>
      <c r="Y5" s="240">
        <v>279.81932527462152</v>
      </c>
      <c r="Z5" s="240">
        <v>281.08675909029472</v>
      </c>
      <c r="AA5" s="240">
        <v>280.41607741427839</v>
      </c>
      <c r="AB5" s="240">
        <v>307.21600734666072</v>
      </c>
      <c r="AC5" s="240">
        <v>369.66086164225686</v>
      </c>
      <c r="AD5" s="240">
        <v>393.85399999999998</v>
      </c>
      <c r="AE5" s="240"/>
      <c r="AF5" s="240"/>
      <c r="AG5" s="240"/>
      <c r="AH5" s="240"/>
      <c r="AI5" s="181"/>
    </row>
    <row r="6" spans="1:35">
      <c r="A6" s="237" t="s">
        <v>27</v>
      </c>
      <c r="B6" s="240">
        <v>1560.9557105237811</v>
      </c>
      <c r="C6" s="240">
        <v>1527.7800924088872</v>
      </c>
      <c r="D6" s="240">
        <v>1298.7019030585448</v>
      </c>
      <c r="E6" s="240">
        <v>982.91018793710521</v>
      </c>
      <c r="F6" s="240">
        <v>999.20615572002669</v>
      </c>
      <c r="G6" s="240">
        <v>940.85137041223481</v>
      </c>
      <c r="H6" s="240">
        <v>916.97201935741509</v>
      </c>
      <c r="I6" s="240">
        <v>870.75334120411731</v>
      </c>
      <c r="J6" s="240">
        <v>768.44052515415876</v>
      </c>
      <c r="K6" s="240">
        <v>775.43872925508549</v>
      </c>
      <c r="L6" s="240">
        <v>787.32939041459429</v>
      </c>
      <c r="M6" s="240">
        <v>769.97531093377813</v>
      </c>
      <c r="N6" s="240">
        <v>743.0260889953355</v>
      </c>
      <c r="O6" s="240">
        <v>765.38562048974222</v>
      </c>
      <c r="P6" s="240">
        <v>815.62377613531078</v>
      </c>
      <c r="Q6" s="240">
        <v>696</v>
      </c>
      <c r="R6" s="240">
        <v>839</v>
      </c>
      <c r="S6" s="240">
        <v>638</v>
      </c>
      <c r="T6" s="240">
        <v>819</v>
      </c>
      <c r="U6" s="240">
        <v>881</v>
      </c>
      <c r="V6" s="240">
        <v>1132</v>
      </c>
      <c r="W6" s="240">
        <v>873</v>
      </c>
      <c r="X6" s="240">
        <v>774</v>
      </c>
      <c r="Y6" s="240">
        <v>720</v>
      </c>
      <c r="Z6" s="240">
        <v>722</v>
      </c>
      <c r="AA6" s="240">
        <v>762</v>
      </c>
      <c r="AB6" s="240">
        <v>889</v>
      </c>
      <c r="AC6" s="240">
        <v>1050</v>
      </c>
      <c r="AD6" s="240">
        <v>1031</v>
      </c>
      <c r="AE6" s="240"/>
      <c r="AF6" s="240"/>
      <c r="AG6" s="240"/>
      <c r="AH6" s="240"/>
      <c r="AI6" s="181"/>
    </row>
    <row r="7" spans="1:35">
      <c r="A7" s="237" t="s">
        <v>33</v>
      </c>
      <c r="B7" s="240">
        <v>2998.9816802027167</v>
      </c>
      <c r="C7" s="240">
        <v>2816.7127434986669</v>
      </c>
      <c r="D7" s="240">
        <v>2324.3987082774192</v>
      </c>
      <c r="E7" s="240">
        <v>1708.0666336492918</v>
      </c>
      <c r="F7" s="240">
        <v>1693.0341440242155</v>
      </c>
      <c r="G7" s="240">
        <v>1550.2254925859911</v>
      </c>
      <c r="H7" s="240">
        <v>1467.5467996480716</v>
      </c>
      <c r="I7" s="240">
        <v>1362.3193722725375</v>
      </c>
      <c r="J7" s="240">
        <v>1183.8085579747569</v>
      </c>
      <c r="K7" s="240">
        <v>1168.7760683496804</v>
      </c>
      <c r="L7" s="240">
        <v>1148.1063951152005</v>
      </c>
      <c r="M7" s="240">
        <v>1091.7345590211646</v>
      </c>
      <c r="N7" s="240">
        <v>1037.1264709802765</v>
      </c>
      <c r="O7" s="240">
        <v>1044.5309076321616</v>
      </c>
      <c r="P7" s="240">
        <v>1084.2183142086262</v>
      </c>
      <c r="Q7" s="240">
        <v>894.88208909370201</v>
      </c>
      <c r="R7" s="240">
        <v>1045.0335962301588</v>
      </c>
      <c r="S7" s="240">
        <v>772.66673418795995</v>
      </c>
      <c r="T7" s="240">
        <v>955.1963186764699</v>
      </c>
      <c r="U7" s="240">
        <v>1031.175354367778</v>
      </c>
      <c r="V7" s="240">
        <v>1303.5785486297098</v>
      </c>
      <c r="W7" s="240">
        <v>974.55937387469498</v>
      </c>
      <c r="X7" s="240">
        <v>846.52394226329955</v>
      </c>
      <c r="Y7" s="240">
        <v>776.09618942551629</v>
      </c>
      <c r="Z7" s="240">
        <v>765.82883042714252</v>
      </c>
      <c r="AA7" s="240">
        <v>807.29877603716193</v>
      </c>
      <c r="AB7" s="240">
        <v>930.11505081101791</v>
      </c>
      <c r="AC7" s="240">
        <v>1075.6460101174935</v>
      </c>
      <c r="AD7" s="240">
        <v>1031</v>
      </c>
      <c r="AE7" s="240"/>
      <c r="AF7" s="240"/>
      <c r="AG7" s="240"/>
      <c r="AH7" s="240"/>
      <c r="AI7" s="181"/>
    </row>
    <row r="8" spans="1:35" ht="34.200000000000003">
      <c r="A8" s="241" t="s">
        <v>49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81"/>
      <c r="AB8" s="181"/>
      <c r="AC8" s="181"/>
      <c r="AD8" s="181"/>
      <c r="AE8" s="181"/>
      <c r="AF8" s="181"/>
      <c r="AG8" s="181"/>
      <c r="AH8" s="181"/>
      <c r="AI8" s="181"/>
    </row>
    <row r="9" spans="1:35">
      <c r="A9" s="242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</row>
    <row r="10" spans="1:35">
      <c r="A10" s="232" t="s">
        <v>38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81"/>
    </row>
    <row r="11" spans="1:35">
      <c r="A11" s="242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</row>
    <row r="12" spans="1:35">
      <c r="A12" s="235"/>
      <c r="B12" s="236">
        <v>1990</v>
      </c>
      <c r="C12" s="236">
        <v>1991</v>
      </c>
      <c r="D12" s="236">
        <v>1992</v>
      </c>
      <c r="E12" s="236">
        <v>1993</v>
      </c>
      <c r="F12" s="236">
        <v>1994</v>
      </c>
      <c r="G12" s="236">
        <v>1995</v>
      </c>
      <c r="H12" s="236">
        <v>1996</v>
      </c>
      <c r="I12" s="236">
        <v>1997</v>
      </c>
      <c r="J12" s="236">
        <v>1998</v>
      </c>
      <c r="K12" s="236">
        <v>1999</v>
      </c>
      <c r="L12" s="236">
        <v>2000</v>
      </c>
      <c r="M12" s="236">
        <v>2001</v>
      </c>
      <c r="N12" s="236">
        <v>2002</v>
      </c>
      <c r="O12" s="236">
        <v>2003</v>
      </c>
      <c r="P12" s="236">
        <v>2004</v>
      </c>
      <c r="Q12" s="236">
        <v>2005</v>
      </c>
      <c r="R12" s="236">
        <v>2006</v>
      </c>
      <c r="S12" s="236">
        <v>2007</v>
      </c>
      <c r="T12" s="236">
        <v>2008</v>
      </c>
      <c r="U12" s="236">
        <v>2009</v>
      </c>
      <c r="V12" s="236">
        <v>2010</v>
      </c>
      <c r="W12" s="236">
        <v>2011</v>
      </c>
      <c r="X12" s="236">
        <v>2012</v>
      </c>
      <c r="Y12" s="236">
        <v>2013</v>
      </c>
      <c r="Z12" s="236">
        <v>2014</v>
      </c>
      <c r="AA12" s="236">
        <v>2015</v>
      </c>
      <c r="AB12" s="236">
        <v>2016</v>
      </c>
      <c r="AC12" s="236">
        <v>2017</v>
      </c>
      <c r="AD12" s="236">
        <v>2018</v>
      </c>
      <c r="AE12" s="236">
        <v>2019</v>
      </c>
      <c r="AF12" s="236">
        <v>2020</v>
      </c>
      <c r="AG12" s="236">
        <v>2021</v>
      </c>
      <c r="AH12" s="236">
        <v>2022</v>
      </c>
      <c r="AI12" s="181"/>
    </row>
    <row r="13" spans="1:35">
      <c r="A13" s="243" t="s">
        <v>21</v>
      </c>
      <c r="B13" s="240">
        <v>162500</v>
      </c>
      <c r="C13" s="240">
        <v>155000</v>
      </c>
      <c r="D13" s="240">
        <v>150000</v>
      </c>
      <c r="E13" s="240">
        <v>146000</v>
      </c>
      <c r="F13" s="240">
        <v>142500</v>
      </c>
      <c r="G13" s="240">
        <v>146000</v>
      </c>
      <c r="H13" s="240">
        <v>141875</v>
      </c>
      <c r="I13" s="240">
        <v>129375</v>
      </c>
      <c r="J13" s="240">
        <v>125000</v>
      </c>
      <c r="K13" s="240">
        <v>107000</v>
      </c>
      <c r="L13" s="240">
        <v>81200</v>
      </c>
      <c r="M13" s="240">
        <v>59500</v>
      </c>
      <c r="N13" s="240">
        <v>50750</v>
      </c>
      <c r="O13" s="240">
        <v>68800</v>
      </c>
      <c r="P13" s="240">
        <v>65500</v>
      </c>
      <c r="Q13" s="240">
        <v>65000</v>
      </c>
      <c r="R13" s="240">
        <v>65000</v>
      </c>
      <c r="S13" s="240">
        <v>71200</v>
      </c>
      <c r="T13" s="240">
        <v>57500</v>
      </c>
      <c r="U13" s="240">
        <v>65053.25</v>
      </c>
      <c r="V13" s="240">
        <v>65750</v>
      </c>
      <c r="W13" s="240">
        <v>55583.33</v>
      </c>
      <c r="X13" s="240">
        <v>61000</v>
      </c>
      <c r="Y13" s="240">
        <v>61000</v>
      </c>
      <c r="Z13" s="244">
        <v>64666.665000000001</v>
      </c>
      <c r="AA13" s="240">
        <v>68333.33</v>
      </c>
      <c r="AB13" s="240">
        <v>59500</v>
      </c>
      <c r="AC13" s="240">
        <v>53333.333333333336</v>
      </c>
      <c r="AD13" s="240">
        <v>53333.333333333336</v>
      </c>
      <c r="AE13" s="244"/>
      <c r="AF13" s="238"/>
      <c r="AG13" s="238"/>
      <c r="AH13" s="238"/>
      <c r="AI13" s="181"/>
    </row>
    <row r="14" spans="1:35">
      <c r="A14" s="240" t="s">
        <v>29</v>
      </c>
      <c r="B14" s="240">
        <v>312202.65876052028</v>
      </c>
      <c r="C14" s="240">
        <v>285767.87812041119</v>
      </c>
      <c r="D14" s="240">
        <v>268467.92587312899</v>
      </c>
      <c r="E14" s="240">
        <v>253713.64705882352</v>
      </c>
      <c r="F14" s="240">
        <v>241449.03846153847</v>
      </c>
      <c r="G14" s="240">
        <v>240561.82414698164</v>
      </c>
      <c r="H14" s="240">
        <v>227060.58397068197</v>
      </c>
      <c r="I14" s="240">
        <v>202411.01635514016</v>
      </c>
      <c r="J14" s="240">
        <v>192566.71779141107</v>
      </c>
      <c r="K14" s="240">
        <v>161275.20408163266</v>
      </c>
      <c r="L14" s="240">
        <v>118408.17886178863</v>
      </c>
      <c r="M14" s="240">
        <v>84364.011857707519</v>
      </c>
      <c r="N14" s="240">
        <v>70837.577821011684</v>
      </c>
      <c r="O14" s="240">
        <v>93892.182608695672</v>
      </c>
      <c r="P14" s="240">
        <v>87069.923239809417</v>
      </c>
      <c r="Q14" s="240">
        <v>83573.758320532506</v>
      </c>
      <c r="R14" s="240">
        <v>80962.078373015873</v>
      </c>
      <c r="S14" s="240">
        <v>86228.638674267626</v>
      </c>
      <c r="T14" s="240">
        <v>67062.012605490861</v>
      </c>
      <c r="U14" s="240">
        <v>76142.233963139224</v>
      </c>
      <c r="V14" s="240">
        <v>75715.803509190286</v>
      </c>
      <c r="W14" s="240">
        <v>62049.54786102011</v>
      </c>
      <c r="X14" s="240">
        <v>66715.711211965463</v>
      </c>
      <c r="Y14" s="240">
        <v>65752.593826328477</v>
      </c>
      <c r="Z14" s="240">
        <v>68592.238815199205</v>
      </c>
      <c r="AA14" s="240">
        <v>72395.555999400895</v>
      </c>
      <c r="AB14" s="240">
        <v>62251.794739320096</v>
      </c>
      <c r="AC14" s="240">
        <v>54635.987815491731</v>
      </c>
      <c r="AD14" s="240">
        <v>53333.333333333336</v>
      </c>
      <c r="AE14" s="240"/>
      <c r="AF14" s="240"/>
      <c r="AG14" s="240"/>
      <c r="AH14" s="240"/>
      <c r="AI14" s="181"/>
    </row>
    <row r="15" spans="1:35" ht="22.8">
      <c r="A15" s="245" t="s">
        <v>22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</row>
    <row r="16" spans="1:35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</row>
    <row r="17" spans="1:35">
      <c r="A17" s="181" t="s">
        <v>36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</row>
    <row r="18" spans="1:35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CE84-FF6E-4641-B887-3A53B199ED93}">
  <sheetPr>
    <tabColor rgb="FF00B050"/>
  </sheetPr>
  <dimension ref="A1:AI18"/>
  <sheetViews>
    <sheetView workbookViewId="0">
      <selection activeCell="A35" sqref="A35"/>
    </sheetView>
  </sheetViews>
  <sheetFormatPr defaultRowHeight="13.2"/>
  <cols>
    <col min="1" max="1" width="102.5546875" bestFit="1" customWidth="1"/>
    <col min="17" max="17" width="11.5546875" bestFit="1" customWidth="1"/>
    <col min="32" max="32" width="11.44140625" bestFit="1" customWidth="1"/>
  </cols>
  <sheetData>
    <row r="1" spans="1:35">
      <c r="A1" s="128" t="s">
        <v>23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 spans="1:35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181"/>
      <c r="AB2" s="181"/>
      <c r="AC2" s="181"/>
      <c r="AD2" s="181"/>
      <c r="AE2" s="181"/>
      <c r="AF2" s="181"/>
      <c r="AG2" s="181"/>
      <c r="AH2" s="181"/>
      <c r="AI2" s="181"/>
    </row>
    <row r="3" spans="1:35">
      <c r="A3" s="246"/>
      <c r="B3" s="236">
        <v>1990</v>
      </c>
      <c r="C3" s="236">
        <v>1991</v>
      </c>
      <c r="D3" s="236">
        <v>1992</v>
      </c>
      <c r="E3" s="236">
        <v>1993</v>
      </c>
      <c r="F3" s="236">
        <v>1994</v>
      </c>
      <c r="G3" s="236">
        <v>1995</v>
      </c>
      <c r="H3" s="236">
        <v>1996</v>
      </c>
      <c r="I3" s="236">
        <v>1997</v>
      </c>
      <c r="J3" s="236">
        <v>1998</v>
      </c>
      <c r="K3" s="236">
        <v>1999</v>
      </c>
      <c r="L3" s="236">
        <v>2000</v>
      </c>
      <c r="M3" s="236">
        <v>2001</v>
      </c>
      <c r="N3" s="236">
        <v>2002</v>
      </c>
      <c r="O3" s="236">
        <v>2003</v>
      </c>
      <c r="P3" s="236">
        <v>2004</v>
      </c>
      <c r="Q3" s="236">
        <v>2005</v>
      </c>
      <c r="R3" s="236">
        <v>2006</v>
      </c>
      <c r="S3" s="236">
        <v>2007</v>
      </c>
      <c r="T3" s="236">
        <v>2008</v>
      </c>
      <c r="U3" s="236">
        <v>2009</v>
      </c>
      <c r="V3" s="236">
        <v>2010</v>
      </c>
      <c r="W3" s="236">
        <v>2011</v>
      </c>
      <c r="X3" s="236">
        <v>2012</v>
      </c>
      <c r="Y3" s="236">
        <v>2013</v>
      </c>
      <c r="Z3" s="236">
        <v>2014</v>
      </c>
      <c r="AA3" s="236">
        <v>2015</v>
      </c>
      <c r="AB3" s="236">
        <v>2016</v>
      </c>
      <c r="AC3" s="236">
        <v>2017</v>
      </c>
      <c r="AD3" s="236">
        <v>2018</v>
      </c>
      <c r="AE3" s="236">
        <v>2019</v>
      </c>
      <c r="AF3" s="236">
        <v>2020</v>
      </c>
      <c r="AG3" s="236">
        <v>2021</v>
      </c>
      <c r="AH3" s="236">
        <v>2022</v>
      </c>
      <c r="AI3" s="236">
        <v>2023</v>
      </c>
    </row>
    <row r="4" spans="1:35">
      <c r="A4" s="237" t="s">
        <v>26</v>
      </c>
      <c r="B4" s="238">
        <v>79.948666028252546</v>
      </c>
      <c r="C4" s="238">
        <v>76.583862258852562</v>
      </c>
      <c r="D4" s="238">
        <v>72.786281202865382</v>
      </c>
      <c r="E4" s="238">
        <v>74.108370864807881</v>
      </c>
      <c r="F4" s="238">
        <v>68.005523771716327</v>
      </c>
      <c r="G4" s="238">
        <v>72.007885052185543</v>
      </c>
      <c r="H4" s="238">
        <v>73.030790496492926</v>
      </c>
      <c r="I4" s="238">
        <v>72.372335399799724</v>
      </c>
      <c r="J4" s="238">
        <v>72.492308167562726</v>
      </c>
      <c r="K4" s="238">
        <v>70.218476347463366</v>
      </c>
      <c r="L4" s="238">
        <v>76.731264977795192</v>
      </c>
      <c r="M4" s="238">
        <v>73.539099539201629</v>
      </c>
      <c r="N4" s="238">
        <v>71.026619303177853</v>
      </c>
      <c r="O4" s="238">
        <v>73.779292882963745</v>
      </c>
      <c r="P4" s="238">
        <v>69.633478649495345</v>
      </c>
      <c r="Q4" s="239">
        <v>66.177027333333342</v>
      </c>
      <c r="R4" s="239">
        <v>64.026474000000007</v>
      </c>
      <c r="S4" s="239">
        <v>69.620249999999999</v>
      </c>
      <c r="T4" s="239">
        <v>78.284750000000003</v>
      </c>
      <c r="U4" s="239">
        <v>83.678750000000008</v>
      </c>
      <c r="V4" s="239">
        <v>83.73899999999999</v>
      </c>
      <c r="W4" s="239">
        <v>84.876499999999993</v>
      </c>
      <c r="X4" s="239">
        <v>96.392999999999986</v>
      </c>
      <c r="Y4" s="239">
        <v>98.715499999999992</v>
      </c>
      <c r="Z4" s="239">
        <v>103.08574999999999</v>
      </c>
      <c r="AA4" s="239">
        <v>103</v>
      </c>
      <c r="AB4" s="239">
        <v>91.78925000000001</v>
      </c>
      <c r="AC4" s="239">
        <v>98</v>
      </c>
      <c r="AD4" s="239">
        <v>101</v>
      </c>
      <c r="AE4" s="247">
        <v>120</v>
      </c>
      <c r="AF4" s="248">
        <v>120</v>
      </c>
      <c r="AG4" s="248">
        <v>120</v>
      </c>
      <c r="AH4" s="248"/>
      <c r="AI4" s="248"/>
    </row>
    <row r="5" spans="1:35">
      <c r="A5" s="237" t="s">
        <v>31</v>
      </c>
      <c r="B5" s="238">
        <v>165.7696135704395</v>
      </c>
      <c r="C5" s="238">
        <v>152.38051888508846</v>
      </c>
      <c r="D5" s="238">
        <v>140.59217538115834</v>
      </c>
      <c r="E5" s="238">
        <v>138.98524916514143</v>
      </c>
      <c r="F5" s="238">
        <v>124.35557990644486</v>
      </c>
      <c r="G5" s="238">
        <v>128.04551738282336</v>
      </c>
      <c r="H5" s="238">
        <v>126.13986121446514</v>
      </c>
      <c r="I5" s="238">
        <v>122.19877192115717</v>
      </c>
      <c r="J5" s="238">
        <v>120.52402155465951</v>
      </c>
      <c r="K5" s="238">
        <v>114.22093091334078</v>
      </c>
      <c r="L5" s="238">
        <v>120.75593965727352</v>
      </c>
      <c r="M5" s="238">
        <v>112.53018619493869</v>
      </c>
      <c r="N5" s="238">
        <v>106.99396237443688</v>
      </c>
      <c r="O5" s="238">
        <v>108.66406723523465</v>
      </c>
      <c r="P5" s="238">
        <v>99.897685092711697</v>
      </c>
      <c r="Q5" s="238">
        <v>91.827825946407245</v>
      </c>
      <c r="R5" s="238">
        <v>86.067333601190484</v>
      </c>
      <c r="S5" s="238">
        <v>90.995011864455805</v>
      </c>
      <c r="T5" s="238">
        <v>98.536329033966069</v>
      </c>
      <c r="U5" s="238">
        <v>105.70177288766041</v>
      </c>
      <c r="V5" s="238">
        <v>104.07083042888064</v>
      </c>
      <c r="W5" s="238">
        <v>102.25675183049627</v>
      </c>
      <c r="X5" s="238">
        <v>113.77694103504446</v>
      </c>
      <c r="Y5" s="238">
        <v>114.83621655498655</v>
      </c>
      <c r="Z5" s="238">
        <v>118.00587257535821</v>
      </c>
      <c r="AA5" s="238">
        <v>117.76792381981041</v>
      </c>
      <c r="AB5" s="238">
        <v>103.6423385567921</v>
      </c>
      <c r="AC5" s="238">
        <v>108.34693211488251</v>
      </c>
      <c r="AD5" s="238">
        <v>109.00134205736995</v>
      </c>
      <c r="AE5" s="238">
        <v>127.20168037644186</v>
      </c>
      <c r="AF5" s="238">
        <v>125.65153722214282</v>
      </c>
      <c r="AG5" s="238">
        <v>120</v>
      </c>
      <c r="AH5" s="238"/>
      <c r="AI5" s="238"/>
    </row>
    <row r="6" spans="1:35">
      <c r="A6" s="237" t="s">
        <v>27</v>
      </c>
      <c r="B6" s="239">
        <v>140.26081759342554</v>
      </c>
      <c r="C6" s="239">
        <v>114.30427202813814</v>
      </c>
      <c r="D6" s="239">
        <v>110.28224424676573</v>
      </c>
      <c r="E6" s="239">
        <v>110.60950875344459</v>
      </c>
      <c r="F6" s="239">
        <v>101.50078174883035</v>
      </c>
      <c r="G6" s="239">
        <v>112.5123203940399</v>
      </c>
      <c r="H6" s="239">
        <v>105.84172535723611</v>
      </c>
      <c r="I6" s="239">
        <v>108.01841104447719</v>
      </c>
      <c r="J6" s="239">
        <v>105.06131618487352</v>
      </c>
      <c r="K6" s="239">
        <v>111.45789896422758</v>
      </c>
      <c r="L6" s="239">
        <v>132.29528444447448</v>
      </c>
      <c r="M6" s="239">
        <v>126.79155092965799</v>
      </c>
      <c r="N6" s="239">
        <v>107.61608985329978</v>
      </c>
      <c r="O6" s="239">
        <v>113.50660443532884</v>
      </c>
      <c r="P6" s="239">
        <v>100.9180849992686</v>
      </c>
      <c r="Q6" s="239">
        <v>99.499364506590481</v>
      </c>
      <c r="R6" s="239">
        <v>93.088796161674921</v>
      </c>
      <c r="S6" s="239">
        <v>114.08480131093815</v>
      </c>
      <c r="T6" s="239">
        <v>152.60185185185185</v>
      </c>
      <c r="U6" s="239">
        <v>178.60992529348988</v>
      </c>
      <c r="V6" s="239">
        <v>183.73889193636862</v>
      </c>
      <c r="W6" s="239">
        <v>172.95262353540497</v>
      </c>
      <c r="X6" s="239">
        <v>215.40335195530724</v>
      </c>
      <c r="Y6" s="239">
        <v>205.80020847810977</v>
      </c>
      <c r="Z6" s="239">
        <v>219.79904051172707</v>
      </c>
      <c r="AA6" s="239">
        <v>216.38655462184875</v>
      </c>
      <c r="AB6" s="239">
        <v>171.72918615528533</v>
      </c>
      <c r="AC6" s="239">
        <v>159.60912052117263</v>
      </c>
      <c r="AD6" s="239">
        <v>155.20553207837114</v>
      </c>
      <c r="AE6" s="238">
        <v>184.40261237034193</v>
      </c>
      <c r="AF6" s="238">
        <v>184.40261237034193</v>
      </c>
      <c r="AG6" s="238">
        <v>184.40261237034193</v>
      </c>
      <c r="AH6" s="238"/>
      <c r="AI6" s="238"/>
    </row>
    <row r="7" spans="1:35">
      <c r="A7" s="237" t="s">
        <v>35</v>
      </c>
      <c r="B7" s="238">
        <v>290.82388345691146</v>
      </c>
      <c r="C7" s="238">
        <v>227.43361027625139</v>
      </c>
      <c r="D7" s="238">
        <v>213.01844754720958</v>
      </c>
      <c r="E7" s="238">
        <v>207.44067039573343</v>
      </c>
      <c r="F7" s="238">
        <v>185.60534314394758</v>
      </c>
      <c r="G7" s="238">
        <v>200.07112091066151</v>
      </c>
      <c r="H7" s="238">
        <v>182.81139306444223</v>
      </c>
      <c r="I7" s="238">
        <v>182.38622674799575</v>
      </c>
      <c r="J7" s="238">
        <v>174.67249500675294</v>
      </c>
      <c r="K7" s="238">
        <v>181.30306494181079</v>
      </c>
      <c r="L7" s="238">
        <v>208.19989596081641</v>
      </c>
      <c r="M7" s="238">
        <v>194.01756240506668</v>
      </c>
      <c r="N7" s="238">
        <v>162.11206420369226</v>
      </c>
      <c r="O7" s="238">
        <v>167.17548805420716</v>
      </c>
      <c r="P7" s="238">
        <v>144.77925375755316</v>
      </c>
      <c r="Q7" s="238">
        <v>138.06619447663093</v>
      </c>
      <c r="R7" s="238">
        <v>125.13424484034674</v>
      </c>
      <c r="S7" s="238">
        <v>149.11103951569982</v>
      </c>
      <c r="T7" s="238">
        <v>192.07861410129837</v>
      </c>
      <c r="U7" s="238">
        <v>225.61744479756757</v>
      </c>
      <c r="V7" s="238">
        <v>228.35069759491091</v>
      </c>
      <c r="W7" s="238">
        <v>208.36831753539738</v>
      </c>
      <c r="X7" s="238">
        <v>254.25014756434518</v>
      </c>
      <c r="Y7" s="238">
        <v>239.40837363791493</v>
      </c>
      <c r="Z7" s="238">
        <v>251.61166860417529</v>
      </c>
      <c r="AA7" s="238">
        <v>247.41160466346724</v>
      </c>
      <c r="AB7" s="238">
        <v>193.90521713151003</v>
      </c>
      <c r="AC7" s="238">
        <v>176.46080149003666</v>
      </c>
      <c r="AD7" s="238">
        <v>167.50110189376869</v>
      </c>
      <c r="AE7" s="238">
        <v>195.4693513276095</v>
      </c>
      <c r="AF7" s="238">
        <v>193.08726426760327</v>
      </c>
      <c r="AG7" s="238">
        <v>184.40261237034193</v>
      </c>
      <c r="AH7" s="238"/>
      <c r="AI7" s="238"/>
    </row>
    <row r="8" spans="1:35" ht="34.200000000000003">
      <c r="A8" s="241" t="s">
        <v>49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</row>
    <row r="9" spans="1:35">
      <c r="A9" s="181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249"/>
      <c r="AB9" s="181"/>
      <c r="AC9" s="181"/>
      <c r="AD9" s="181"/>
      <c r="AE9" s="181"/>
      <c r="AF9" s="181"/>
      <c r="AG9" s="181"/>
      <c r="AH9" s="181"/>
      <c r="AI9" s="181"/>
    </row>
    <row r="10" spans="1:35">
      <c r="A10" s="128" t="s">
        <v>24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</row>
    <row r="11" spans="1:35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</row>
    <row r="12" spans="1:35">
      <c r="A12" s="246"/>
      <c r="B12" s="236">
        <v>1990</v>
      </c>
      <c r="C12" s="236">
        <v>1991</v>
      </c>
      <c r="D12" s="236">
        <v>1992</v>
      </c>
      <c r="E12" s="236">
        <v>1993</v>
      </c>
      <c r="F12" s="236">
        <v>1994</v>
      </c>
      <c r="G12" s="236">
        <v>1995</v>
      </c>
      <c r="H12" s="236">
        <v>1996</v>
      </c>
      <c r="I12" s="236">
        <v>1997</v>
      </c>
      <c r="J12" s="236">
        <v>1998</v>
      </c>
      <c r="K12" s="236">
        <v>1999</v>
      </c>
      <c r="L12" s="236">
        <v>2000</v>
      </c>
      <c r="M12" s="236">
        <v>2001</v>
      </c>
      <c r="N12" s="236">
        <v>2002</v>
      </c>
      <c r="O12" s="236">
        <v>2003</v>
      </c>
      <c r="P12" s="236">
        <v>2004</v>
      </c>
      <c r="Q12" s="236">
        <v>2005</v>
      </c>
      <c r="R12" s="236">
        <v>2006</v>
      </c>
      <c r="S12" s="236">
        <v>2007</v>
      </c>
      <c r="T12" s="236">
        <v>2008</v>
      </c>
      <c r="U12" s="236">
        <v>2009</v>
      </c>
      <c r="V12" s="236">
        <v>2010</v>
      </c>
      <c r="W12" s="236">
        <v>2011</v>
      </c>
      <c r="X12" s="236">
        <v>2012</v>
      </c>
      <c r="Y12" s="236">
        <v>2013</v>
      </c>
      <c r="Z12" s="236">
        <v>2014</v>
      </c>
      <c r="AA12" s="236">
        <v>2015</v>
      </c>
      <c r="AB12" s="236">
        <v>2016</v>
      </c>
      <c r="AC12" s="236">
        <v>2017</v>
      </c>
      <c r="AD12" s="236">
        <v>2018</v>
      </c>
      <c r="AE12" s="236">
        <v>2019</v>
      </c>
      <c r="AF12" s="236">
        <v>2020</v>
      </c>
      <c r="AG12" s="236">
        <v>2021</v>
      </c>
      <c r="AH12" s="236">
        <v>2022</v>
      </c>
      <c r="AI12" s="236">
        <v>2023</v>
      </c>
    </row>
    <row r="13" spans="1:35">
      <c r="A13" s="250" t="s">
        <v>21</v>
      </c>
      <c r="B13" s="240">
        <v>48300</v>
      </c>
      <c r="C13" s="240">
        <v>48100</v>
      </c>
      <c r="D13" s="240">
        <v>44730</v>
      </c>
      <c r="E13" s="240">
        <v>42180</v>
      </c>
      <c r="F13" s="240">
        <v>38640</v>
      </c>
      <c r="G13" s="240">
        <v>35700</v>
      </c>
      <c r="H13" s="240">
        <v>34320</v>
      </c>
      <c r="I13" s="240">
        <v>31960</v>
      </c>
      <c r="J13" s="240">
        <v>30870</v>
      </c>
      <c r="K13" s="240">
        <v>29580</v>
      </c>
      <c r="L13" s="240">
        <v>21500</v>
      </c>
      <c r="M13" s="240">
        <v>23000</v>
      </c>
      <c r="N13" s="240">
        <v>21500</v>
      </c>
      <c r="O13" s="240">
        <v>22066</v>
      </c>
      <c r="P13" s="240">
        <v>20500</v>
      </c>
      <c r="Q13" s="240">
        <v>20500</v>
      </c>
      <c r="R13" s="240">
        <v>26500</v>
      </c>
      <c r="S13" s="240">
        <v>31000</v>
      </c>
      <c r="T13" s="240">
        <v>26500</v>
      </c>
      <c r="U13" s="240">
        <v>28250</v>
      </c>
      <c r="V13" s="240">
        <v>30750</v>
      </c>
      <c r="W13" s="240">
        <v>40800</v>
      </c>
      <c r="X13" s="240">
        <v>29000</v>
      </c>
      <c r="Y13" s="240">
        <v>28750</v>
      </c>
      <c r="Z13" s="240">
        <v>29000</v>
      </c>
      <c r="AA13" s="240">
        <v>28250</v>
      </c>
      <c r="AB13" s="240">
        <v>28000</v>
      </c>
      <c r="AC13" s="240">
        <v>28000</v>
      </c>
      <c r="AD13" s="240">
        <v>26000</v>
      </c>
      <c r="AE13" s="240">
        <v>29000</v>
      </c>
      <c r="AF13" s="238">
        <v>29750</v>
      </c>
      <c r="AG13" s="240">
        <v>30500</v>
      </c>
      <c r="AH13" s="240"/>
      <c r="AI13" s="240"/>
    </row>
    <row r="14" spans="1:35">
      <c r="A14" s="251" t="s">
        <v>34</v>
      </c>
      <c r="B14" s="252">
        <v>100147.6664116297</v>
      </c>
      <c r="C14" s="252">
        <v>95705.58002936859</v>
      </c>
      <c r="D14" s="252">
        <v>86399.358517462562</v>
      </c>
      <c r="E14" s="252">
        <v>79105.743944636677</v>
      </c>
      <c r="F14" s="252">
        <v>70657.489878542518</v>
      </c>
      <c r="G14" s="252">
        <v>63482.283464566921</v>
      </c>
      <c r="H14" s="252">
        <v>59278.011472275328</v>
      </c>
      <c r="I14" s="252">
        <v>53963.61370716511</v>
      </c>
      <c r="J14" s="252">
        <v>51323.742331288347</v>
      </c>
      <c r="K14" s="252">
        <v>48116.326530612248</v>
      </c>
      <c r="L14" s="252">
        <v>33835.656213704999</v>
      </c>
      <c r="M14" s="252">
        <v>35194.805194805187</v>
      </c>
      <c r="N14" s="252">
        <v>32387.437465258474</v>
      </c>
      <c r="O14" s="252">
        <v>32499.380434782608</v>
      </c>
      <c r="P14" s="252">
        <v>29409.740603493912</v>
      </c>
      <c r="Q14" s="252">
        <v>28445.980542754733</v>
      </c>
      <c r="R14" s="252">
        <v>35622.519841269845</v>
      </c>
      <c r="S14" s="252">
        <v>40517.598942809454</v>
      </c>
      <c r="T14" s="252">
        <v>33355.317854372668</v>
      </c>
      <c r="U14" s="252">
        <v>35684.986738884203</v>
      </c>
      <c r="V14" s="252">
        <v>38216.100451260223</v>
      </c>
      <c r="W14" s="252">
        <v>49154.659707742991</v>
      </c>
      <c r="X14" s="252">
        <v>34229.988588551969</v>
      </c>
      <c r="Y14" s="252">
        <v>33445.013457419183</v>
      </c>
      <c r="Z14" s="252">
        <v>33197.316842389839</v>
      </c>
      <c r="AA14" s="252">
        <v>32300.425707860621</v>
      </c>
      <c r="AB14" s="252">
        <v>31615.744540784224</v>
      </c>
      <c r="AC14" s="252">
        <v>30956.266318537859</v>
      </c>
      <c r="AD14" s="252">
        <v>28059.751420709097</v>
      </c>
      <c r="AE14" s="244">
        <v>30740.406090973447</v>
      </c>
      <c r="AF14" s="244">
        <v>31151.110269656238</v>
      </c>
      <c r="AG14" s="244">
        <v>30500</v>
      </c>
      <c r="AH14" s="244"/>
      <c r="AI14" s="244"/>
    </row>
    <row r="15" spans="1:35">
      <c r="A15" s="129" t="s">
        <v>25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</row>
    <row r="18" spans="17:33" ht="14.4"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2"/>
      <c r="AE18" s="83"/>
      <c r="AF18" s="83"/>
      <c r="AG18" s="8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5F9E3-2596-4596-8088-91AEEE254A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9763AC-9D44-4BBF-9690-855EDF75E042}">
  <ds:schemaRefs>
    <ds:schemaRef ds:uri="8bde3967-4b29-49c8-add0-1b77de20389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f1cb922-524b-4a63-a729-f715e5c73bc5"/>
    <ds:schemaRef ds:uri="http://www.w3.org/XML/1998/namespace"/>
    <ds:schemaRef ds:uri="http://purl.org/dc/dcmitype/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2D515D66-3ECA-4A28-8547-66339BD93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Heroin_WesternEurope</vt:lpstr>
      <vt:lpstr>Cocaine_WesternEurope</vt:lpstr>
      <vt:lpstr>Heroin_US</vt:lpstr>
      <vt:lpstr>Cocaine_US</vt:lpstr>
      <vt:lpstr>Cocaine_WesternEurope!Print_Area</vt:lpstr>
      <vt:lpstr>Heroin_WesternEurope!Print_Area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Ariel Epstein</dc:creator>
  <cp:lastModifiedBy>Markus Schwabe</cp:lastModifiedBy>
  <dcterms:created xsi:type="dcterms:W3CDTF">2018-12-06T15:14:44Z</dcterms:created>
  <dcterms:modified xsi:type="dcterms:W3CDTF">2025-06-20T15:57:54Z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WorkbookGuid">
    <vt:lpwstr>10b828df-ef61-457a-ac5d-82259beb5937</vt:lpwstr>
  </property>
  <property fmtid="{D5CDD505-2E9C-101B-9397-08002B2CF9AE}" pid="4" name="MediaServiceImageTags">
    <vt:lpwstr/>
  </property>
</Properties>
</file>